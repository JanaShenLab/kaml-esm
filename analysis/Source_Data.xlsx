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" sheetId="1" r:id="rId4"/>
    <sheet state="visible" name="1_Test_holdouts" sheetId="2" r:id="rId5"/>
    <sheet state="visible" name="2_Test_CDHIT" sheetId="3" r:id="rId6"/>
    <sheet state="visible" name="3_Test_EXP67S" sheetId="4" r:id="rId7"/>
    <sheet state="visible" name="4_Test_external" sheetId="5" r:id="rId8"/>
    <sheet state="visible" name="5_Test_OBTRUDEs" sheetId="6" r:id="rId9"/>
    <sheet state="visible" name="6_Data_OBTRUDEs" sheetId="7" r:id="rId10"/>
    <sheet state="visible" name="7_Data_no_aug" sheetId="8" r:id="rId11"/>
    <sheet state="visible" name="8_Data_50_holdouts" sheetId="9" r:id="rId12"/>
    <sheet state="visible" name="9_Data_Cys_Pfam" sheetId="10" r:id="rId13"/>
    <sheet state="visible" name="Fig1a" sheetId="11" r:id="rId14"/>
    <sheet state="visible" name="Fig1b" sheetId="12" r:id="rId15"/>
    <sheet state="visible" name="Fig1c" sheetId="13" r:id="rId16"/>
    <sheet state="visible" name="Fig2bc" sheetId="14" r:id="rId17"/>
    <sheet state="visible" name="Fig3" sheetId="15" r:id="rId18"/>
    <sheet state="visible" name="Fig4" sheetId="16" r:id="rId19"/>
    <sheet state="visible" name="Fig6b" sheetId="17" r:id="rId20"/>
  </sheets>
  <definedNames/>
  <calcPr/>
  <extLst>
    <ext uri="GoogleSheetsCustomDataVersion2">
      <go:sheetsCustomData xmlns:go="http://customooxmlschemas.google.com/" r:id="rId21" roundtripDataChecksum="L4/znZfoV5MeKVw118wqpDEuAo1F7LxhfH48skf3ByA="/>
    </ext>
  </extLst>
</workbook>
</file>

<file path=xl/sharedStrings.xml><?xml version="1.0" encoding="utf-8"?>
<sst xmlns="http://schemas.openxmlformats.org/spreadsheetml/2006/main" count="25629" uniqueCount="2901">
  <si>
    <t>Table of content</t>
  </si>
  <si>
    <t>Performance of KaMLs and Alternative ML and PB Models on 20 holdouts from CDHit clusters of PKAD-3r (10% holdout)</t>
  </si>
  <si>
    <t>Performance of KaMLs and Alternative ML and PB Models on 50 holdouts from random splits of PKAD-3r (10% holdout)</t>
  </si>
  <si>
    <t xml:space="preserve">Performance Comparison of KaMLs and Alternative ML Models on EXP67S* </t>
  </si>
  <si>
    <t>Input</t>
  </si>
  <si>
    <t>Sheet</t>
  </si>
  <si>
    <t>Content</t>
  </si>
  <si>
    <t>RMSE_all</t>
  </si>
  <si>
    <t>PCC_all</t>
  </si>
  <si>
    <t>R2_all</t>
  </si>
  <si>
    <t>RMSE_DEHK</t>
  </si>
  <si>
    <t>CER</t>
  </si>
  <si>
    <t>CER (%)</t>
  </si>
  <si>
    <t>RMSE_ASP</t>
  </si>
  <si>
    <t>PCC_ASP</t>
  </si>
  <si>
    <t>RMSE_GLU</t>
  </si>
  <si>
    <t>PCC_GLU</t>
  </si>
  <si>
    <t>RMSE_HIS</t>
  </si>
  <si>
    <t>PCC_HIS</t>
  </si>
  <si>
    <t>RMSE_CYS</t>
  </si>
  <si>
    <t>RMSE</t>
  </si>
  <si>
    <t>PCC_CYS</t>
  </si>
  <si>
    <t>R(pka_shift)</t>
  </si>
  <si>
    <t>RMSE_TYR</t>
  </si>
  <si>
    <t>PCC_TYR</t>
  </si>
  <si>
    <t>Method</t>
  </si>
  <si>
    <t>RMSE_LYS</t>
  </si>
  <si>
    <t>Method Reference</t>
  </si>
  <si>
    <t>PCC_LYS</t>
  </si>
  <si>
    <t>Notes</t>
  </si>
  <si>
    <t>Training data</t>
  </si>
  <si>
    <t>Reference</t>
  </si>
  <si>
    <t>KaML-ESM2</t>
  </si>
  <si>
    <t>sequence</t>
  </si>
  <si>
    <t>1_Test_holdouts</t>
  </si>
  <si>
    <t>Notes**</t>
  </si>
  <si>
    <t>KaML-ESM2(w/ GAINES)</t>
  </si>
  <si>
    <t>Sequence</t>
  </si>
  <si>
    <t>0.43±0.02</t>
  </si>
  <si>
    <t>0.98±0.01</t>
  </si>
  <si>
    <t>0.96±0.01</t>
  </si>
  <si>
    <t>0.41±0.02</t>
  </si>
  <si>
    <t>ML-MLP (LLM)</t>
  </si>
  <si>
    <t>25/4307</t>
  </si>
  <si>
    <t>This work</t>
  </si>
  <si>
    <t>EXP67S excluded</t>
  </si>
  <si>
    <t>Performance metrics across 50 stratified holdout sets for KaML-ESMs and alternative approaches</t>
  </si>
  <si>
    <t>0.48±0.02</t>
  </si>
  <si>
    <t>KaML-ESM2(w/o GAINES)</t>
  </si>
  <si>
    <t>0.48±0.01</t>
  </si>
  <si>
    <t>49/6183</t>
  </si>
  <si>
    <t>0.46±0.03</t>
  </si>
  <si>
    <t>0.89±0.02</t>
  </si>
  <si>
    <t>0.39±0.04</t>
  </si>
  <si>
    <t>0.83±0.02</t>
  </si>
  <si>
    <t>2_Test_CDHIT</t>
  </si>
  <si>
    <t>0.37±0.03</t>
  </si>
  <si>
    <t>Performance metrics across 20 CD-HIT-partitioned holdout sets for KaML-ESMs and alternative approaches</t>
  </si>
  <si>
    <t>0.90±0.02</t>
  </si>
  <si>
    <t>0.72±0.08</t>
  </si>
  <si>
    <t>0.94±0.02</t>
  </si>
  <si>
    <t>0.28±0.05</t>
  </si>
  <si>
    <t>0.72±0.10</t>
  </si>
  <si>
    <t>0.22±0.04</t>
  </si>
  <si>
    <t>0.59±0.12</t>
  </si>
  <si>
    <t>Expt PKAD-3r</t>
  </si>
  <si>
    <t>0.54±0.02</t>
  </si>
  <si>
    <t>KaML-ESMC(w GAINES)</t>
  </si>
  <si>
    <t>KaML-ESMC</t>
  </si>
  <si>
    <t>3_Test_EXP67S</t>
  </si>
  <si>
    <t>Performance metrics on the EXP67S test set for KaML-ESMs and alternative approaches</t>
  </si>
  <si>
    <t>0.95±0.01</t>
  </si>
  <si>
    <t>0.42±0.02</t>
  </si>
  <si>
    <t>0.91±0.01</t>
  </si>
  <si>
    <t>0.94±0.01</t>
  </si>
  <si>
    <t>0.44±0.02</t>
  </si>
  <si>
    <t>0.39±0.01</t>
  </si>
  <si>
    <t>28/4516</t>
  </si>
  <si>
    <t>0.92±0.01</t>
  </si>
  <si>
    <t>0.50±0.05</t>
  </si>
  <si>
    <t>0.95±0.02</t>
  </si>
  <si>
    <t>0.32±0.03</t>
  </si>
  <si>
    <t>4_Test_external</t>
  </si>
  <si>
    <t>0.44±0.04</t>
  </si>
  <si>
    <t>0.34±0.11</t>
  </si>
  <si>
    <t>Performance metrics on the external evaluation set for KaML-ESMs and alternative approaches</t>
  </si>
  <si>
    <t>0.52±0.03</t>
  </si>
  <si>
    <t>0.45±0.04</t>
  </si>
  <si>
    <t>0.82±0.02</t>
  </si>
  <si>
    <t>0.89±0.01</t>
  </si>
  <si>
    <t>0.31±0.02</t>
  </si>
  <si>
    <t>0.92±0.08</t>
  </si>
  <si>
    <t>0.92±0.02</t>
  </si>
  <si>
    <t>0.45±0.10</t>
  </si>
  <si>
    <t>0.58±0.13</t>
  </si>
  <si>
    <t>0.58±0.21</t>
  </si>
  <si>
    <t>0.64±0.07</t>
  </si>
  <si>
    <t>KaML-ESMC(w/o GAINES)</t>
  </si>
  <si>
    <t>5_Test_OBTRUDEs</t>
  </si>
  <si>
    <t>Performance metrics on the OBTRUDE testset for KaML-ESMs and alternative approaches</t>
  </si>
  <si>
    <t>DeepKa**</t>
  </si>
  <si>
    <t>structure</t>
  </si>
  <si>
    <t>0.53±0.02</t>
  </si>
  <si>
    <t>1.05±0.03</t>
  </si>
  <si>
    <t>0.87±0.01</t>
  </si>
  <si>
    <t>0.97±0.01</t>
  </si>
  <si>
    <t>0.75±0.02</t>
  </si>
  <si>
    <t>0.88±0.03</t>
  </si>
  <si>
    <t>147/4463</t>
  </si>
  <si>
    <t>0.51±0.02</t>
  </si>
  <si>
    <t>72/6258</t>
  </si>
  <si>
    <t>6_Data_OBTRUDEs</t>
  </si>
  <si>
    <t>The SNase OBTRUDE dataset</t>
  </si>
  <si>
    <t>0.52±0.04</t>
  </si>
  <si>
    <t>0.56±0.04</t>
  </si>
  <si>
    <t>0.87±0.02</t>
  </si>
  <si>
    <t>KaML-CBT2</t>
  </si>
  <si>
    <t>0.37±0.02</t>
  </si>
  <si>
    <t>Structure</t>
  </si>
  <si>
    <t>0.93±0.01</t>
  </si>
  <si>
    <t>0.57±0.08</t>
  </si>
  <si>
    <t>0.92±0.16</t>
  </si>
  <si>
    <t>ML-Tree</t>
  </si>
  <si>
    <t>0.34±0.21</t>
  </si>
  <si>
    <t>0.45±0.03</t>
  </si>
  <si>
    <t>0.90±0.03</t>
  </si>
  <si>
    <t>7_Data_no_aug</t>
  </si>
  <si>
    <t>1.09±0.06</t>
  </si>
  <si>
    <t>Residues without GAINES augmentation</t>
  </si>
  <si>
    <t>0.41±0.05</t>
  </si>
  <si>
    <t>0.70±0.06</t>
  </si>
  <si>
    <t>0.54±0.04</t>
  </si>
  <si>
    <t>KaML-CBTree2</t>
  </si>
  <si>
    <t>0.66±0.01</t>
  </si>
  <si>
    <t>0.82±0.06</t>
  </si>
  <si>
    <t>0.61±0.03</t>
  </si>
  <si>
    <t>0.65±0.01</t>
  </si>
  <si>
    <t>2.82±0.11*</t>
  </si>
  <si>
    <t>0*</t>
  </si>
  <si>
    <t>74/5948</t>
  </si>
  <si>
    <t>0.81±0.11*</t>
  </si>
  <si>
    <t>pKAML</t>
  </si>
  <si>
    <t>0.55±0.12</t>
  </si>
  <si>
    <t>0.24±0.10</t>
  </si>
  <si>
    <t>ML-CNN</t>
  </si>
  <si>
    <t>CpHMD cal. pKa's</t>
  </si>
  <si>
    <t>Cai_Huang_2023_J.Chem.Inf.Model.</t>
  </si>
  <si>
    <t>8_Data_50_holdouts</t>
  </si>
  <si>
    <t>Performance metrics from each of 50 holdout tests for KaML-ESM2 and KaML-ESMC</t>
  </si>
  <si>
    <t>0.70±0.03</t>
  </si>
  <si>
    <t>0.59±0.01</t>
  </si>
  <si>
    <t>pkaani**</t>
  </si>
  <si>
    <t>0.86±0.01</t>
  </si>
  <si>
    <t>0.88±0.06</t>
  </si>
  <si>
    <t>0.63±0.01</t>
  </si>
  <si>
    <t>0.90±0.01</t>
  </si>
  <si>
    <t>0.80±0.03</t>
  </si>
  <si>
    <t>0.61±0.04</t>
  </si>
  <si>
    <t>1.01±0.09</t>
  </si>
  <si>
    <t>124/4256</t>
  </si>
  <si>
    <t>0.73±0.08</t>
  </si>
  <si>
    <t>0.51±0.05</t>
  </si>
  <si>
    <t>0.08±0.12</t>
  </si>
  <si>
    <t>0.86±0.02</t>
  </si>
  <si>
    <t>ML-CBTree</t>
  </si>
  <si>
    <t>0.69±0.07</t>
  </si>
  <si>
    <t>0.82±0.03</t>
  </si>
  <si>
    <t>0.51±0.03</t>
  </si>
  <si>
    <t>0.75±0.03</t>
  </si>
  <si>
    <t>0.56±0.05</t>
  </si>
  <si>
    <t>0.83±0.03</t>
  </si>
  <si>
    <t>9_Data_Cys_Pfam</t>
  </si>
  <si>
    <t>Cysteines from the human proteome with a predicted pKa below 5, source data for Fig 6b</t>
  </si>
  <si>
    <t>KaML-CBTree*</t>
  </si>
  <si>
    <t>Xu_Onoda_2025_J.Chem.TheoryComput.</t>
  </si>
  <si>
    <t>0.77±0.02</t>
  </si>
  <si>
    <t>0.37±0.05</t>
  </si>
  <si>
    <t>Metrics from Xu_Onoda_2025_J.Chem.TheoryComput.</t>
  </si>
  <si>
    <t>0.68±0.10</t>
  </si>
  <si>
    <t>not calculated</t>
  </si>
  <si>
    <t>0.76±0.28</t>
  </si>
  <si>
    <t>0.60±0.05</t>
  </si>
  <si>
    <t>ML-MLP (QM)</t>
  </si>
  <si>
    <t>0.75±0.04</t>
  </si>
  <si>
    <t>Expt PKAD</t>
  </si>
  <si>
    <t>Gokcan_Isayev_2022_Chem.Sci.</t>
  </si>
  <si>
    <t>0.60±0.02</t>
  </si>
  <si>
    <t>0.84±0.01</t>
  </si>
  <si>
    <t>0.85±0.03</t>
  </si>
  <si>
    <t>0.51±0.04</t>
  </si>
  <si>
    <t>1.50±0.13</t>
  </si>
  <si>
    <t>aLCnet</t>
  </si>
  <si>
    <t>0.61±0.12</t>
  </si>
  <si>
    <t>1.15±0.03</t>
  </si>
  <si>
    <t>1.24±0.19</t>
  </si>
  <si>
    <t>0.83±0.01</t>
  </si>
  <si>
    <t>DeepKa</t>
  </si>
  <si>
    <t>0.69±0.02</t>
  </si>
  <si>
    <t>0.39±0.19</t>
  </si>
  <si>
    <t>1.05±0.01</t>
  </si>
  <si>
    <t>0.70±0.05</t>
  </si>
  <si>
    <t>195/4283</t>
  </si>
  <si>
    <t>0.80±0.04</t>
  </si>
  <si>
    <t>Expt PKAD-3</t>
  </si>
  <si>
    <t>Shen_Shen_2025_J.Chem.TheoryComput.</t>
  </si>
  <si>
    <t>Taken from Ref.</t>
  </si>
  <si>
    <t>1.07±0.05</t>
  </si>
  <si>
    <t>0.64±0.03</t>
  </si>
  <si>
    <t>0.89±0.07</t>
  </si>
  <si>
    <t>0.30±0.04</t>
  </si>
  <si>
    <t>1.23±0.05</t>
  </si>
  <si>
    <t>Fig1a</t>
  </si>
  <si>
    <t>0.57±0.03</t>
  </si>
  <si>
    <t>KaML-GAT*</t>
  </si>
  <si>
    <t>2.32±0.12</t>
  </si>
  <si>
    <t>0.43±0.07</t>
  </si>
  <si>
    <t>0.86±0.09</t>
  </si>
  <si>
    <t>0.94±0.20</t>
  </si>
  <si>
    <t>0.18±0.12</t>
  </si>
  <si>
    <t>ML-GNN</t>
  </si>
  <si>
    <t>Expt PKAD-2</t>
  </si>
  <si>
    <t>Wozniak_Feig_2025_J.Chem.TheoryComput.</t>
  </si>
  <si>
    <t>0.88±0.04</t>
  </si>
  <si>
    <t>0.76±0.02</t>
  </si>
  <si>
    <t>0.73±0.02</t>
  </si>
  <si>
    <t>0.86±0.04</t>
  </si>
  <si>
    <t>PROPKA3</t>
  </si>
  <si>
    <t>1.61±0.13</t>
  </si>
  <si>
    <t>1.28±0.03</t>
  </si>
  <si>
    <t>0.59±0.13</t>
  </si>
  <si>
    <t>GBNeck2 CpHMD</t>
  </si>
  <si>
    <t>0.81±0.01</t>
  </si>
  <si>
    <t>1.79±0.21</t>
  </si>
  <si>
    <t>0.61±0.02</t>
  </si>
  <si>
    <t>1.07±0.03</t>
  </si>
  <si>
    <t>-0.05±0.22</t>
  </si>
  <si>
    <t>214/4164</t>
  </si>
  <si>
    <t>0.87±0.06</t>
  </si>
  <si>
    <t>0.68±0.05</t>
  </si>
  <si>
    <t>Source data for Fig1a</t>
  </si>
  <si>
    <t>Harris_Shen_2019_J.Chem.Inf.Model.</t>
  </si>
  <si>
    <t>1.09±0.05</t>
  </si>
  <si>
    <t>No training</t>
  </si>
  <si>
    <t>0.49±0.04</t>
  </si>
  <si>
    <t>0.96±0.06</t>
  </si>
  <si>
    <t>1.10±0.03</t>
  </si>
  <si>
    <t>0.44±0.3</t>
  </si>
  <si>
    <t>3.39±0.07</t>
  </si>
  <si>
    <t>0.29±0.05</t>
  </si>
  <si>
    <t>0.55±0.03</t>
  </si>
  <si>
    <t>0.32±0.10</t>
  </si>
  <si>
    <t>0.58±0.05</t>
  </si>
  <si>
    <t>1.00±0.02*</t>
  </si>
  <si>
    <t>Empirical</t>
  </si>
  <si>
    <t>0.91±0.01*</t>
  </si>
  <si>
    <t>Expt pKa's</t>
  </si>
  <si>
    <t>0.82±0.01</t>
  </si>
  <si>
    <t>Olsson_Jensen_2011_J.Chem.TheoryComput.</t>
  </si>
  <si>
    <t>277/6774</t>
  </si>
  <si>
    <t>Fig1b</t>
  </si>
  <si>
    <t>Source data for Fig1b</t>
  </si>
  <si>
    <t>0.71±0.02</t>
  </si>
  <si>
    <t>222/4248</t>
  </si>
  <si>
    <t>1.14±0.03</t>
  </si>
  <si>
    <t>0.64±0.02</t>
  </si>
  <si>
    <t>0.75±0.01</t>
  </si>
  <si>
    <t>0.79±0.03</t>
  </si>
  <si>
    <t>0.96±0.05</t>
  </si>
  <si>
    <t>2.71±0.15*</t>
  </si>
  <si>
    <t>0.64±0.04</t>
  </si>
  <si>
    <t>0.71±0.04</t>
  </si>
  <si>
    <t>0.55±0.06</t>
  </si>
  <si>
    <t>1.15±0.08*</t>
  </si>
  <si>
    <t>1.12±0.05</t>
  </si>
  <si>
    <t>Metrics from Wozniak_Feig_2025_J.Chem.TheoryComput.</t>
  </si>
  <si>
    <t>0.41±0.04</t>
  </si>
  <si>
    <t>0.85±0.05</t>
  </si>
  <si>
    <t>2.98±0.09</t>
  </si>
  <si>
    <t>0.47±0.07</t>
  </si>
  <si>
    <t>0.77±0.03</t>
  </si>
  <si>
    <t>1.30±0.10</t>
  </si>
  <si>
    <t>0.28±0.19</t>
  </si>
  <si>
    <t>1.01±0.31</t>
  </si>
  <si>
    <t>0.14±0.12</t>
  </si>
  <si>
    <t>PKAI+</t>
  </si>
  <si>
    <t>1.26±0.02</t>
  </si>
  <si>
    <t>0.71±0.01</t>
  </si>
  <si>
    <t>Fig1c</t>
  </si>
  <si>
    <t>1.04±0.02</t>
  </si>
  <si>
    <t>157/4326</t>
  </si>
  <si>
    <t>1.10±0.01*</t>
  </si>
  <si>
    <t>0.89±0.01*</t>
  </si>
  <si>
    <t>0.78±0.01</t>
  </si>
  <si>
    <t>0.99±0.01</t>
  </si>
  <si>
    <t>1.49±0.02</t>
  </si>
  <si>
    <t>340/6290</t>
  </si>
  <si>
    <t>0.17±0.4</t>
  </si>
  <si>
    <t>0.86±0.03</t>
  </si>
  <si>
    <t>0.55±0.02</t>
  </si>
  <si>
    <t>3.28±0.13</t>
  </si>
  <si>
    <t>0.05±0.09</t>
  </si>
  <si>
    <t>1.07±0.11</t>
  </si>
  <si>
    <t>0.12±0.14</t>
  </si>
  <si>
    <t>1.13±0.03</t>
  </si>
  <si>
    <t>0.25±0.04</t>
  </si>
  <si>
    <t>Source data for Fig1c</t>
  </si>
  <si>
    <t>ML-MLP</t>
  </si>
  <si>
    <t>1.29±0.02</t>
  </si>
  <si>
    <t>PB calc. pKa's</t>
  </si>
  <si>
    <t>Reis_Clevert_2022_J.Chem.TheoryComput.</t>
  </si>
  <si>
    <t>0.85±0.02</t>
  </si>
  <si>
    <t>0.69±0.01</t>
  </si>
  <si>
    <t>PKAI</t>
  </si>
  <si>
    <t>1.38±0.06</t>
  </si>
  <si>
    <t>1.34±0.15</t>
  </si>
  <si>
    <t>0.80±0.01</t>
  </si>
  <si>
    <t>0.01±0.13</t>
  </si>
  <si>
    <t>1.13±0.04</t>
  </si>
  <si>
    <t>153/4191</t>
  </si>
  <si>
    <t>0.30±0.05</t>
  </si>
  <si>
    <t>Unclear</t>
  </si>
  <si>
    <t>1.23±0.12</t>
  </si>
  <si>
    <t>Fig2bc</t>
  </si>
  <si>
    <t>0.36±0.06</t>
  </si>
  <si>
    <t>Source data for Fig2bc</t>
  </si>
  <si>
    <t>0.37±0.04</t>
  </si>
  <si>
    <t>1.01±0.04</t>
  </si>
  <si>
    <t>3.79±0.18</t>
  </si>
  <si>
    <t>0.24±0.06</t>
  </si>
  <si>
    <t>0.67±0.08</t>
  </si>
  <si>
    <t>0.56±0.13</t>
  </si>
  <si>
    <t>0.88±0.24</t>
  </si>
  <si>
    <t>1.12±0.01</t>
  </si>
  <si>
    <t>0.88±0.01</t>
  </si>
  <si>
    <t>1.07±0.01</t>
  </si>
  <si>
    <t>370/6296</t>
  </si>
  <si>
    <t>PypKa</t>
  </si>
  <si>
    <t>1.88±0.09</t>
  </si>
  <si>
    <t>Fig3</t>
  </si>
  <si>
    <t>0.67±0.02</t>
  </si>
  <si>
    <t>Source data for Fig3</t>
  </si>
  <si>
    <t>0.16±0.06</t>
  </si>
  <si>
    <t>1.77±0.07</t>
  </si>
  <si>
    <t>358/4211</t>
  </si>
  <si>
    <t>ML-DNN</t>
  </si>
  <si>
    <t>0.98±0.02</t>
  </si>
  <si>
    <t>1.65±0.18</t>
  </si>
  <si>
    <t>0.32±0.06</t>
  </si>
  <si>
    <t>1.12±0.02</t>
  </si>
  <si>
    <t>1.62±0.09</t>
  </si>
  <si>
    <t>0.28±0.04</t>
  </si>
  <si>
    <t>0.62±0.02</t>
  </si>
  <si>
    <t>1.71±0.08</t>
  </si>
  <si>
    <t>1.72±0.09</t>
  </si>
  <si>
    <t>0.19±0.05</t>
  </si>
  <si>
    <t>3.40±0.23</t>
  </si>
  <si>
    <t>0.33±0.09</t>
  </si>
  <si>
    <t>0.27±0.08</t>
  </si>
  <si>
    <t>1.86±0.13</t>
  </si>
  <si>
    <t>0.69±0.06</t>
  </si>
  <si>
    <t>0.74±0.11</t>
  </si>
  <si>
    <t>-0.13±0.13</t>
  </si>
  <si>
    <t>1.63±0.26</t>
  </si>
  <si>
    <t>0.22±0.08</t>
  </si>
  <si>
    <t>PB</t>
  </si>
  <si>
    <t>Reis_Machuqueiro_2020_J.Chem.Inf.Model.</t>
  </si>
  <si>
    <t>Fig4</t>
  </si>
  <si>
    <t>Source data for Fig4</t>
  </si>
  <si>
    <t>Null</t>
  </si>
  <si>
    <t>Model pKa's</t>
  </si>
  <si>
    <t>1.18±0.04</t>
  </si>
  <si>
    <t>0.68±0.02</t>
  </si>
  <si>
    <t>1.04±0.04</t>
  </si>
  <si>
    <t>303/4644</t>
  </si>
  <si>
    <t>1.27±0.02</t>
  </si>
  <si>
    <t>1.19±0.08</t>
  </si>
  <si>
    <t>1.14±0.02</t>
  </si>
  <si>
    <t>335/6136</t>
  </si>
  <si>
    <t>Fig6b</t>
  </si>
  <si>
    <t>Source data for Fig6b</t>
  </si>
  <si>
    <t>0.85±0.09</t>
  </si>
  <si>
    <t>1.38±0.03</t>
  </si>
  <si>
    <t>0.50±0.04</t>
  </si>
  <si>
    <t>1.01±0.05</t>
  </si>
  <si>
    <t>0.99±0.02</t>
  </si>
  <si>
    <t>0.72±0.01</t>
  </si>
  <si>
    <t>1.04±0.03</t>
  </si>
  <si>
    <t>0.43±0.03</t>
  </si>
  <si>
    <t>3.57±0.17</t>
  </si>
  <si>
    <t>0.16±0.10</t>
  </si>
  <si>
    <t>1.27±0.19</t>
  </si>
  <si>
    <t>0.13±0.14</t>
  </si>
  <si>
    <t>2.82±0.11</t>
  </si>
  <si>
    <t>0.90±0.04</t>
  </si>
  <si>
    <t>0.71±0.03</t>
  </si>
  <si>
    <t>0.81±0.11</t>
  </si>
  <si>
    <t>0.83±0.24</t>
  </si>
  <si>
    <t>/</t>
  </si>
  <si>
    <t>1.28±0.02</t>
  </si>
  <si>
    <t>0.70±0.01</t>
  </si>
  <si>
    <t>1.19±0.02</t>
  </si>
  <si>
    <t>433/6253</t>
  </si>
  <si>
    <t>*Taken from our previous work Shen_Shen_2025_J.Chem.TheoryComput.</t>
  </si>
  <si>
    <t>0.48±0.03</t>
  </si>
  <si>
    <t>0.99±0.03</t>
  </si>
  <si>
    <t>2.99±0.13</t>
  </si>
  <si>
    <t>0.46±0.09</t>
  </si>
  <si>
    <t>1.53±0.10</t>
  </si>
  <si>
    <t>0.46±0.12</t>
  </si>
  <si>
    <t>1.37±0.05</t>
  </si>
  <si>
    <t>0.07±0.06</t>
  </si>
  <si>
    <t>**pkaani training has partial overlap with this test set. It cannot predict Cys pKa's; model pKa's are used for Cys. Overlap with the model training is ignored.</t>
  </si>
  <si>
    <t>1.30±0.02</t>
  </si>
  <si>
    <t>0.85±0.01</t>
  </si>
  <si>
    <t>`</t>
  </si>
  <si>
    <t>1.21±0.01</t>
  </si>
  <si>
    <t>374/6615</t>
  </si>
  <si>
    <t>1.59±0.02</t>
  </si>
  <si>
    <t>** DeepKa cannot make predictions for Cys and Tyr. Model pKa's are used for Cys and Tyr.</t>
  </si>
  <si>
    <t>0.17±0.04</t>
  </si>
  <si>
    <t>1.00±0.02</t>
  </si>
  <si>
    <t>0.56±0.02</t>
  </si>
  <si>
    <t>*EXP67S is a test dataset proposed in the work of Huang and coworkers (Cai_Huang_2023_J.Chem.Inf.Model.)</t>
  </si>
  <si>
    <t>0.05±0.19</t>
  </si>
  <si>
    <t>1.06±0.12</t>
  </si>
  <si>
    <t>0.14±0.14</t>
  </si>
  <si>
    <t>1.17±0.03</t>
  </si>
  <si>
    <t>0.25±0.05</t>
  </si>
  <si>
    <t>Lowest RMSEs are highlighted in red</t>
  </si>
  <si>
    <t>1.47±0.02</t>
  </si>
  <si>
    <t>0.61±0.01</t>
  </si>
  <si>
    <t>1.33±0.02</t>
  </si>
  <si>
    <t>329/6152</t>
  </si>
  <si>
    <t>**Unless noted, the metrics are from Huang and coworkers (Cai_Huang_2023_J.Chem.Inf.Model.)</t>
  </si>
  <si>
    <t>1.76±0.04</t>
  </si>
  <si>
    <t>0.19±0.04</t>
  </si>
  <si>
    <t>1.06±0.02</t>
  </si>
  <si>
    <t>0.96±0.04</t>
  </si>
  <si>
    <t>3.99±0.15</t>
  </si>
  <si>
    <t>0.03±0.09</t>
  </si>
  <si>
    <t>1.23±0.15</t>
  </si>
  <si>
    <t>0.18±0.14</t>
  </si>
  <si>
    <t>1.25±0.04</t>
  </si>
  <si>
    <t>0.24±0.05</t>
  </si>
  <si>
    <t>1.99±0.05</t>
  </si>
  <si>
    <t>0.33±0.03</t>
  </si>
  <si>
    <t>1.93±0.05</t>
  </si>
  <si>
    <t>689/6188</t>
  </si>
  <si>
    <t>2.08±0.08</t>
  </si>
  <si>
    <t>0.18±0.04</t>
  </si>
  <si>
    <t>1.59±0.07</t>
  </si>
  <si>
    <t>0.44±0.03</t>
  </si>
  <si>
    <t>1.68±0.09</t>
  </si>
  <si>
    <t>0.18±0.05</t>
  </si>
  <si>
    <t>3.52±0.16</t>
  </si>
  <si>
    <t>0.22±0.09</t>
  </si>
  <si>
    <t>1.30±0.17</t>
  </si>
  <si>
    <t>0.10±0.14</t>
  </si>
  <si>
    <t>2.08±0.19</t>
  </si>
  <si>
    <t>1.31±0.01</t>
  </si>
  <si>
    <t>1.26±0.01</t>
  </si>
  <si>
    <t>579/7060</t>
  </si>
  <si>
    <t>1.57±0.02</t>
  </si>
  <si>
    <t>1.13±0.01</t>
  </si>
  <si>
    <t>2.71±0.15</t>
  </si>
  <si>
    <t>1.15±0.08</t>
  </si>
  <si>
    <t>1.11±0.03</t>
  </si>
  <si>
    <t>Me-pKa</t>
  </si>
  <si>
    <t>0.85***</t>
  </si>
  <si>
    <t>**pkaani training has partial overlap with the test data. It cannot predict Cys pKa's; model pKa's are used for Cys.</t>
  </si>
  <si>
    <t>*** RMSEs for ME-pKa is author-reported with different data splitting schemes.</t>
  </si>
  <si>
    <t>Performance Comparison of KaMLs and Alternative ML Models on a newly collected experimental pKa dataset</t>
  </si>
  <si>
    <t>RMSE_all*</t>
  </si>
  <si>
    <t>PCC_CYS**</t>
  </si>
  <si>
    <t>PCC_TYR**</t>
  </si>
  <si>
    <t>Method reference</t>
  </si>
  <si>
    <t>All</t>
  </si>
  <si>
    <t>H</t>
  </si>
  <si>
    <t>C</t>
  </si>
  <si>
    <t>Y</t>
  </si>
  <si>
    <t>K</t>
  </si>
  <si>
    <t>N(res)</t>
  </si>
  <si>
    <t>0/42</t>
  </si>
  <si>
    <t>n/d</t>
  </si>
  <si>
    <t>LLM-MLP</t>
  </si>
  <si>
    <t>0/41</t>
  </si>
  <si>
    <t>0/53</t>
  </si>
  <si>
    <t>DeepKa*</t>
  </si>
  <si>
    <t>0.65*</t>
  </si>
  <si>
    <t>0.97*</t>
  </si>
  <si>
    <t>0.86*</t>
  </si>
  <si>
    <t>0/52</t>
  </si>
  <si>
    <t>0.7*</t>
  </si>
  <si>
    <t>1.5*</t>
  </si>
  <si>
    <t>CNN</t>
  </si>
  <si>
    <t>pkaani*</t>
  </si>
  <si>
    <t>0.74*</t>
  </si>
  <si>
    <t>0.87*</t>
  </si>
  <si>
    <t>0/39</t>
  </si>
  <si>
    <t>QM-MLP</t>
  </si>
  <si>
    <t>GNN</t>
  </si>
  <si>
    <t>KaML-CBTree</t>
  </si>
  <si>
    <t>0/43</t>
  </si>
  <si>
    <t>Tree</t>
  </si>
  <si>
    <t>0/27</t>
  </si>
  <si>
    <t>0/19</t>
  </si>
  <si>
    <t>MLP</t>
  </si>
  <si>
    <t>0/20</t>
  </si>
  <si>
    <t>2/29</t>
  </si>
  <si>
    <t>Methods ordered based on the increasing overall RMSE</t>
  </si>
  <si>
    <t>* Note, model pKa of Cys is used, as pkaani cannot predict Cys pKa's.</t>
  </si>
  <si>
    <t>* Note, model pKa's for Cys and Tyr are used, as DeepKa cannot make predictions for Cys and Tyr</t>
  </si>
  <si>
    <t>Performance Comparison of KaMLs and Alternative ML Models on OBTRUDE</t>
  </si>
  <si>
    <t>** Number of Cys and Tyr is too small for PCC calculation.</t>
  </si>
  <si>
    <t>All data are calculated by us using online servers or command line programs.</t>
  </si>
  <si>
    <t>KaML-ESM2_no_OB</t>
  </si>
  <si>
    <t>34/65</t>
  </si>
  <si>
    <t>OBTRUDE excluded from training</t>
  </si>
  <si>
    <t>KaML-ESMC_no_OB</t>
  </si>
  <si>
    <t>25/54</t>
  </si>
  <si>
    <t>26/48</t>
  </si>
  <si>
    <t>Boosted trees</t>
  </si>
  <si>
    <t>16/56</t>
  </si>
  <si>
    <t>Trained on GBNeck2-CpHMD predicted pKa's</t>
  </si>
  <si>
    <t>pkaani</t>
  </si>
  <si>
    <t>40/67</t>
  </si>
  <si>
    <t>OBTRUDE NOT in model training</t>
  </si>
  <si>
    <t>aLCnet*</t>
  </si>
  <si>
    <t>17/60</t>
  </si>
  <si>
    <t>Training contains 17 OBTRUDES</t>
  </si>
  <si>
    <t>PROPKA3*</t>
  </si>
  <si>
    <t>9/48</t>
  </si>
  <si>
    <t xml:space="preserve">OBTRUDE data included in model training. </t>
  </si>
  <si>
    <t>Trained on PB calculated pKa's</t>
  </si>
  <si>
    <t>31/57</t>
  </si>
  <si>
    <t>28/59</t>
  </si>
  <si>
    <t>PB predictions</t>
  </si>
  <si>
    <t>38/65</t>
  </si>
  <si>
    <t>GBSW-CpHMD</t>
  </si>
  <si>
    <t>10/57</t>
  </si>
  <si>
    <t>Wallace_Shen_2011_Proteins</t>
  </si>
  <si>
    <t>Temperature replica exchange GBSW-CpHMD simulations</t>
  </si>
  <si>
    <t>*aLCnet training contains part of the OBTRUDE dataset</t>
  </si>
  <si>
    <t>* PROPKA3 parameters were adjusted using the OBTRUDE dataset.</t>
  </si>
  <si>
    <t>SNase OBTRUDE dataset -- titratable mutations of buried residues in hyperstabilized variants of SNase.</t>
  </si>
  <si>
    <t xml:space="preserve">Δ+PHS = SNase (G50F/V51N/P117G/H142L/S128A + deletion 44-49) </t>
  </si>
  <si>
    <t xml:space="preserve">Note: UniProt_resid is different from the PDB resID </t>
  </si>
  <si>
    <t>Running no.</t>
  </si>
  <si>
    <t>Uniprot_ID</t>
  </si>
  <si>
    <t>WT/Eng. Variant</t>
  </si>
  <si>
    <t>Mutant</t>
  </si>
  <si>
    <t>Res_Name</t>
  </si>
  <si>
    <t>Uni_resid</t>
  </si>
  <si>
    <t>Expt_pKa</t>
  </si>
  <si>
    <t>P00644</t>
  </si>
  <si>
    <t>Δ+PHS</t>
  </si>
  <si>
    <t>G20D</t>
  </si>
  <si>
    <t>D</t>
  </si>
  <si>
    <t>G20E</t>
  </si>
  <si>
    <t>E</t>
  </si>
  <si>
    <t>G20K</t>
  </si>
  <si>
    <t>V23D</t>
  </si>
  <si>
    <t>V23E</t>
  </si>
  <si>
    <t>V23K</t>
  </si>
  <si>
    <t>L25D</t>
  </si>
  <si>
    <t>L25E</t>
  </si>
  <si>
    <t>L25K</t>
  </si>
  <si>
    <t>F34D</t>
  </si>
  <si>
    <t>F34E</t>
  </si>
  <si>
    <t>F34K</t>
  </si>
  <si>
    <t>L36D</t>
  </si>
  <si>
    <t>L36E</t>
  </si>
  <si>
    <t>L36K</t>
  </si>
  <si>
    <t>L37D</t>
  </si>
  <si>
    <t>Residues w/o GAINES aug (SNase_mut_ROI separated out)</t>
  </si>
  <si>
    <t>L37E</t>
  </si>
  <si>
    <t>L37K</t>
  </si>
  <si>
    <t>L38D</t>
  </si>
  <si>
    <t>L38D/E122Q</t>
  </si>
  <si>
    <t>Eng. Variant?</t>
  </si>
  <si>
    <t>Mutation</t>
  </si>
  <si>
    <t>PDB ResID</t>
  </si>
  <si>
    <t>L38E</t>
  </si>
  <si>
    <t>L38E/D77N</t>
  </si>
  <si>
    <t>L38E/E122Q</t>
  </si>
  <si>
    <t>Harms JMB 2009</t>
  </si>
  <si>
    <t>L38E/E122D</t>
  </si>
  <si>
    <t>L38E/R126Q</t>
  </si>
  <si>
    <t>L38K</t>
  </si>
  <si>
    <t>L38K/E122Q</t>
  </si>
  <si>
    <t>L38K/E122A</t>
  </si>
  <si>
    <t>V39D</t>
  </si>
  <si>
    <t>V39E</t>
  </si>
  <si>
    <t>V39K</t>
  </si>
  <si>
    <t>T41D</t>
  </si>
  <si>
    <t>T41E</t>
  </si>
  <si>
    <t>T41K</t>
  </si>
  <si>
    <t>A58D</t>
  </si>
  <si>
    <t>A58E</t>
  </si>
  <si>
    <t>A58K</t>
  </si>
  <si>
    <t>T62D</t>
  </si>
  <si>
    <t>T62E</t>
  </si>
  <si>
    <t>T62K</t>
  </si>
  <si>
    <t>V66K/K64A</t>
  </si>
  <si>
    <t>V66K/K64G/E67G</t>
  </si>
  <si>
    <t>V66K/K64G</t>
  </si>
  <si>
    <t>V66D</t>
  </si>
  <si>
    <t>PHS</t>
  </si>
  <si>
    <t>V66E</t>
  </si>
  <si>
    <t>V66K</t>
  </si>
  <si>
    <t>V66K/E67A</t>
  </si>
  <si>
    <t>V66K/E67G</t>
  </si>
  <si>
    <t>I72D</t>
  </si>
  <si>
    <t>I72E</t>
  </si>
  <si>
    <t>I72K</t>
  </si>
  <si>
    <t>V74D</t>
  </si>
  <si>
    <t>V74E</t>
  </si>
  <si>
    <t>V74K</t>
  </si>
  <si>
    <t>A90D</t>
  </si>
  <si>
    <t>A90E</t>
  </si>
  <si>
    <t>A90K</t>
  </si>
  <si>
    <t>Y91D</t>
  </si>
  <si>
    <t>Y91E</t>
  </si>
  <si>
    <t>Y91K</t>
  </si>
  <si>
    <t>I92D</t>
  </si>
  <si>
    <t>I92E</t>
  </si>
  <si>
    <t>I92K</t>
  </si>
  <si>
    <t>V99D</t>
  </si>
  <si>
    <t>V99E</t>
  </si>
  <si>
    <t>V99K</t>
  </si>
  <si>
    <t>N100D</t>
  </si>
  <si>
    <t>E122Q</t>
  </si>
  <si>
    <t>N100E</t>
  </si>
  <si>
    <t>N100K</t>
  </si>
  <si>
    <t>L103D</t>
  </si>
  <si>
    <t>L103E</t>
  </si>
  <si>
    <t>L103K</t>
  </si>
  <si>
    <t>V104D</t>
  </si>
  <si>
    <t>V104E</t>
  </si>
  <si>
    <t>V104K</t>
  </si>
  <si>
    <t>A109D</t>
  </si>
  <si>
    <t>A109E</t>
  </si>
  <si>
    <t>A109K</t>
  </si>
  <si>
    <t>N118D</t>
  </si>
  <si>
    <t>N118E</t>
  </si>
  <si>
    <t>N118K</t>
  </si>
  <si>
    <t>L125D</t>
  </si>
  <si>
    <t>WT</t>
  </si>
  <si>
    <t>L125E</t>
  </si>
  <si>
    <t>L125K</t>
  </si>
  <si>
    <t>A132D</t>
  </si>
  <si>
    <t>Castanena Proteins 2009</t>
  </si>
  <si>
    <t>A132E</t>
  </si>
  <si>
    <t>A132K</t>
  </si>
  <si>
    <t>Fitch BJ 2002</t>
  </si>
  <si>
    <t>https://pubmed.ncbi.nlm.nih.gov/11969427/</t>
  </si>
  <si>
    <t>https://pubs.acs.org/doi/pdf/10.1021/bi0119417</t>
  </si>
  <si>
    <t>https://pubs.acs.org/doi/10.1021/acs.biochem.5b00522</t>
  </si>
  <si>
    <t>Richman, Biochem 2015</t>
  </si>
  <si>
    <t>1U2U</t>
  </si>
  <si>
    <t>B2AM55</t>
  </si>
  <si>
    <t>O00244</t>
  </si>
  <si>
    <t>O00762</t>
  </si>
  <si>
    <t>O31156</t>
  </si>
  <si>
    <t>P00004</t>
  </si>
  <si>
    <t>P00392</t>
  </si>
  <si>
    <t>P00432</t>
  </si>
  <si>
    <t>P00648</t>
  </si>
  <si>
    <t>P00651</t>
  </si>
  <si>
    <t>P00698</t>
  </si>
  <si>
    <t>P00703</t>
  </si>
  <si>
    <t>P00720</t>
  </si>
  <si>
    <t>P00974</t>
  </si>
  <si>
    <t>P01001</t>
  </si>
  <si>
    <t>P01006</t>
  </si>
  <si>
    <t>P01009</t>
  </si>
  <si>
    <t>P01053</t>
  </si>
  <si>
    <t>P01132</t>
  </si>
  <si>
    <t>P02185</t>
  </si>
  <si>
    <t>P02417</t>
  </si>
  <si>
    <t>P02633</t>
  </si>
  <si>
    <t>P02640</t>
  </si>
  <si>
    <t>P02649</t>
  </si>
  <si>
    <t>P02751</t>
  </si>
  <si>
    <t>P02920</t>
  </si>
  <si>
    <t>P03069</t>
  </si>
  <si>
    <t>P04905</t>
  </si>
  <si>
    <t>P05798</t>
  </si>
  <si>
    <t>P06654</t>
  </si>
  <si>
    <t>50 holdout tests of KaML-ESM2</t>
  </si>
  <si>
    <t>Hold-out</t>
  </si>
  <si>
    <t>rmse</t>
  </si>
  <si>
    <t>pcc</t>
  </si>
  <si>
    <t>R2</t>
  </si>
  <si>
    <t>pcc_dpka</t>
  </si>
  <si>
    <t>R2_dpka</t>
  </si>
  <si>
    <t>maxe</t>
  </si>
  <si>
    <t>rmse_asp</t>
  </si>
  <si>
    <t>pcc_asp</t>
  </si>
  <si>
    <t>r2_asp</t>
  </si>
  <si>
    <t>rmse_glu</t>
  </si>
  <si>
    <t>pcc_glu</t>
  </si>
  <si>
    <t>r2_glu</t>
  </si>
  <si>
    <t>rmse_his</t>
  </si>
  <si>
    <t>pcc_his</t>
  </si>
  <si>
    <t>r2_his</t>
  </si>
  <si>
    <t>rmse_cys</t>
  </si>
  <si>
    <t>pcc_cys</t>
  </si>
  <si>
    <t>r2_cys</t>
  </si>
  <si>
    <t>rmse_tyr</t>
  </si>
  <si>
    <t>pcc_tyr</t>
  </si>
  <si>
    <t>r2_tyr</t>
  </si>
  <si>
    <t>rmse_lys</t>
  </si>
  <si>
    <t>pcc_lys</t>
  </si>
  <si>
    <t>r2_lys</t>
  </si>
  <si>
    <t/>
  </si>
  <si>
    <t>50 holdout tests of KaML-ESMC</t>
  </si>
  <si>
    <t>P08921</t>
  </si>
  <si>
    <t>P09850</t>
  </si>
  <si>
    <t>A115E</t>
  </si>
  <si>
    <t>G92D</t>
  </si>
  <si>
    <t>N63D</t>
  </si>
  <si>
    <t>Q127H</t>
  </si>
  <si>
    <t>Q7E</t>
  </si>
  <si>
    <t>Q7K</t>
  </si>
  <si>
    <t>R112E</t>
  </si>
  <si>
    <t>R112G</t>
  </si>
  <si>
    <t>R73A</t>
  </si>
  <si>
    <t>S117D</t>
  </si>
  <si>
    <t>T110D</t>
  </si>
  <si>
    <t>T111D</t>
  </si>
  <si>
    <t>T126D</t>
  </si>
  <si>
    <t>T67D</t>
  </si>
  <si>
    <t>Y174D</t>
  </si>
  <si>
    <t>Y88D</t>
  </si>
  <si>
    <t>P0A7Y4</t>
  </si>
  <si>
    <t>P0AA04</t>
  </si>
  <si>
    <t>P0AEG4</t>
  </si>
  <si>
    <t>P0AES9</t>
  </si>
  <si>
    <t>P0AFG6</t>
  </si>
  <si>
    <t>P10599</t>
  </si>
  <si>
    <t>P11064</t>
  </si>
  <si>
    <t>P13123</t>
  </si>
  <si>
    <t>P14262</t>
  </si>
  <si>
    <t>P15570</t>
  </si>
  <si>
    <t>P26747</t>
  </si>
  <si>
    <t>P31224</t>
  </si>
  <si>
    <t>P33517</t>
  </si>
  <si>
    <t>P39476</t>
  </si>
  <si>
    <t>P42196</t>
  </si>
  <si>
    <t>P52270</t>
  </si>
  <si>
    <t>P61823</t>
  </si>
  <si>
    <t>Details of Cys with predicted pKa &lt;= 5 from human proteome</t>
  </si>
  <si>
    <t>resid</t>
  </si>
  <si>
    <t>Pred_pKa</t>
  </si>
  <si>
    <t>Name</t>
  </si>
  <si>
    <t>Gene_Name</t>
  </si>
  <si>
    <t>P43234</t>
  </si>
  <si>
    <t>Papain family cysteine protease</t>
  </si>
  <si>
    <t>CTSO</t>
  </si>
  <si>
    <t>Q96FW1</t>
  </si>
  <si>
    <t>Peptidase C65 Otubain</t>
  </si>
  <si>
    <t>OTUB1</t>
  </si>
  <si>
    <t>P30101</t>
  </si>
  <si>
    <t>Thioredoxin</t>
  </si>
  <si>
    <t>PDIA3</t>
  </si>
  <si>
    <t>Q96JJ7</t>
  </si>
  <si>
    <t>TMX3</t>
  </si>
  <si>
    <t>A6NCW7</t>
  </si>
  <si>
    <t>Ubiquitin carboxyl-terminal hydrolase</t>
  </si>
  <si>
    <t>USP17L4</t>
  </si>
  <si>
    <t>C9J2P7</t>
  </si>
  <si>
    <t>USP17L15</t>
  </si>
  <si>
    <t>Q6QN14</t>
  </si>
  <si>
    <t>USP17L6P</t>
  </si>
  <si>
    <t>Q9UMW8</t>
  </si>
  <si>
    <t>USP18</t>
  </si>
  <si>
    <t>P09668</t>
  </si>
  <si>
    <t>CTSH</t>
  </si>
  <si>
    <t>Q12974</t>
  </si>
  <si>
    <t>Protein-tyrosine phosphatase</t>
  </si>
  <si>
    <t>PTP4A2</t>
  </si>
  <si>
    <t>P07237</t>
  </si>
  <si>
    <t>P4HB</t>
  </si>
  <si>
    <t>P07384</t>
  </si>
  <si>
    <t>Calpain family cysteine protease</t>
  </si>
  <si>
    <t>CAPN1</t>
  </si>
  <si>
    <t>Q5BKX5</t>
  </si>
  <si>
    <t>Actin maturation protease-like, C-terminal domain</t>
  </si>
  <si>
    <t>ACTMAP</t>
  </si>
  <si>
    <t>Q6R6M4</t>
  </si>
  <si>
    <t>USP17L2</t>
  </si>
  <si>
    <t>Q9Y4E8</t>
  </si>
  <si>
    <t>USP15</t>
  </si>
  <si>
    <t>A6NCW0</t>
  </si>
  <si>
    <t>USP17L3</t>
  </si>
  <si>
    <t>Q9Y2G8</t>
  </si>
  <si>
    <t>DNAJC16</t>
  </si>
  <si>
    <t>O75319</t>
  </si>
  <si>
    <t>Dual specificity phosphatase, catalytic domain</t>
  </si>
  <si>
    <t>DUSP11</t>
  </si>
  <si>
    <t>A8MX76</t>
  </si>
  <si>
    <t>CAPN14</t>
  </si>
  <si>
    <t>P53634</t>
  </si>
  <si>
    <t>CTSC</t>
  </si>
  <si>
    <t>Q4G0W2</t>
  </si>
  <si>
    <t>DUSP28</t>
  </si>
  <si>
    <t>D6RBQ6</t>
  </si>
  <si>
    <t>USP17L17</t>
  </si>
  <si>
    <t>Q86VQ6</t>
  </si>
  <si>
    <t>Glutaredoxin</t>
  </si>
  <si>
    <t>TXNRD3</t>
  </si>
  <si>
    <t>P61991</t>
  </si>
  <si>
    <t>Q93096</t>
  </si>
  <si>
    <t>Polymorphic toxin system, DSP-PTPase phosphatase</t>
  </si>
  <si>
    <t>PTP4A1</t>
  </si>
  <si>
    <t>O95833</t>
  </si>
  <si>
    <t>CLIC-like N-terminal domain</t>
  </si>
  <si>
    <t>CLIC3</t>
  </si>
  <si>
    <t>Q8TD06</t>
  </si>
  <si>
    <t>Thioredoxin-like</t>
  </si>
  <si>
    <t>AGR3</t>
  </si>
  <si>
    <t>C9JJH3</t>
  </si>
  <si>
    <t>USP17L10</t>
  </si>
  <si>
    <t>P62942</t>
  </si>
  <si>
    <t>Q70EL3</t>
  </si>
  <si>
    <t>USP50</t>
  </si>
  <si>
    <t>Q68J44</t>
  </si>
  <si>
    <t>P63239</t>
  </si>
  <si>
    <t>DUSP29</t>
  </si>
  <si>
    <t>P20807</t>
  </si>
  <si>
    <t>CAPN3</t>
  </si>
  <si>
    <t>O75317</t>
  </si>
  <si>
    <t>USP12</t>
  </si>
  <si>
    <t>P68082</t>
  </si>
  <si>
    <t>Q9BS26</t>
  </si>
  <si>
    <t>ERP44</t>
  </si>
  <si>
    <t>Q9NUQ7</t>
  </si>
  <si>
    <t>Peptidase family C78</t>
  </si>
  <si>
    <t>UFSP2</t>
  </si>
  <si>
    <t>O14815</t>
  </si>
  <si>
    <t>CAPN9</t>
  </si>
  <si>
    <t>Q9UBX1</t>
  </si>
  <si>
    <t>CTSF</t>
  </si>
  <si>
    <t>Q14554</t>
  </si>
  <si>
    <t>PDIA5</t>
  </si>
  <si>
    <t>A6NHC0</t>
  </si>
  <si>
    <t>CAPN8</t>
  </si>
  <si>
    <t>D6RCP7</t>
  </si>
  <si>
    <t>USP17L19</t>
  </si>
  <si>
    <t>O95994</t>
  </si>
  <si>
    <t>AGR2</t>
  </si>
  <si>
    <t>D6R9N7</t>
  </si>
  <si>
    <t>USP17L18</t>
  </si>
  <si>
    <t>Q13087</t>
  </si>
  <si>
    <t>PDIA2</t>
  </si>
  <si>
    <t>P78417</t>
  </si>
  <si>
    <t>Glutathione S-transferase, N-terminal domain</t>
  </si>
  <si>
    <t>GSTO1</t>
  </si>
  <si>
    <t>P51452</t>
  </si>
  <si>
    <t>DUSP3</t>
  </si>
  <si>
    <t>O00391</t>
  </si>
  <si>
    <t>QSOX1</t>
  </si>
  <si>
    <t>Q9Y696</t>
  </si>
  <si>
    <t>CLIC4</t>
  </si>
  <si>
    <t>P68390</t>
  </si>
  <si>
    <t>P15374</t>
  </si>
  <si>
    <t>Ubiquitin carboxyl-terminal hydrolase, family 1</t>
  </si>
  <si>
    <t>UCHL3</t>
  </si>
  <si>
    <t>Q9NS18</t>
  </si>
  <si>
    <t>GLRX2</t>
  </si>
  <si>
    <t>O15484</t>
  </si>
  <si>
    <t>CAPN5</t>
  </si>
  <si>
    <t>Q0WX57</t>
  </si>
  <si>
    <t>USP17L24</t>
  </si>
  <si>
    <t>P68699</t>
  </si>
  <si>
    <t>Q9UII6</t>
  </si>
  <si>
    <t>DUSP13B</t>
  </si>
  <si>
    <t>Q15084</t>
  </si>
  <si>
    <t>PDIA6</t>
  </si>
  <si>
    <t>P80028</t>
  </si>
  <si>
    <t>Q13867</t>
  </si>
  <si>
    <t>Peptidase C1-like family</t>
  </si>
  <si>
    <t>BLMH</t>
  </si>
  <si>
    <t>P9WHJ3</t>
  </si>
  <si>
    <t>A8MUK1</t>
  </si>
  <si>
    <t>USP17L5</t>
  </si>
  <si>
    <t>P9WJN3</t>
  </si>
  <si>
    <t>O15247</t>
  </si>
  <si>
    <t>CLIC2</t>
  </si>
  <si>
    <t>Q54323</t>
  </si>
  <si>
    <t>Q6ZSI9</t>
  </si>
  <si>
    <t>CAPN12</t>
  </si>
  <si>
    <t>Q9BVJ7</t>
  </si>
  <si>
    <t>Swiss Army Knife protein, DSP-PTPase phosphatase domain</t>
  </si>
  <si>
    <t>DUSP23</t>
  </si>
  <si>
    <t>Q96NT3</t>
  </si>
  <si>
    <t>Guanylylate cyclase</t>
  </si>
  <si>
    <t>GUCD1</t>
  </si>
  <si>
    <t>P25774</t>
  </si>
  <si>
    <t>CTSS</t>
  </si>
  <si>
    <t>Q6J4G7</t>
  </si>
  <si>
    <t>A178C</t>
  </si>
  <si>
    <t>P35754</t>
  </si>
  <si>
    <t>GLRX</t>
  </si>
  <si>
    <t>A178D</t>
  </si>
  <si>
    <t>Q8NBS9</t>
  </si>
  <si>
    <t>TXNDC5</t>
  </si>
  <si>
    <t>A178E</t>
  </si>
  <si>
    <t>A178F</t>
  </si>
  <si>
    <t>P54252</t>
  </si>
  <si>
    <t>Josephin</t>
  </si>
  <si>
    <t>ATXN3</t>
  </si>
  <si>
    <t>A178G</t>
  </si>
  <si>
    <t>Q8NBR6</t>
  </si>
  <si>
    <t>MINDY deubiquitinase</t>
  </si>
  <si>
    <t>MINDY2</t>
  </si>
  <si>
    <t>A178H</t>
  </si>
  <si>
    <t>Q6NVU6</t>
  </si>
  <si>
    <t>UFSP1</t>
  </si>
  <si>
    <t>A178I</t>
  </si>
  <si>
    <t>Q96G74</t>
  </si>
  <si>
    <t>OTU-like cysteine protease</t>
  </si>
  <si>
    <t>OTUD5</t>
  </si>
  <si>
    <t>A178K</t>
  </si>
  <si>
    <t>A6NC05</t>
  </si>
  <si>
    <t>Glutaredoxin-like domain (DUF836)</t>
  </si>
  <si>
    <t>C5orf63</t>
  </si>
  <si>
    <t>A178L</t>
  </si>
  <si>
    <t>Q8N5J2</t>
  </si>
  <si>
    <t>MINDY1</t>
  </si>
  <si>
    <t>Q5T2D3</t>
  </si>
  <si>
    <t>A178M</t>
  </si>
  <si>
    <t>OTUD3</t>
  </si>
  <si>
    <t>P30044</t>
  </si>
  <si>
    <t>Redoxin</t>
  </si>
  <si>
    <t>PRDX5</t>
  </si>
  <si>
    <t>A178N</t>
  </si>
  <si>
    <t>P17655</t>
  </si>
  <si>
    <t>CAPN2</t>
  </si>
  <si>
    <t>A178P</t>
  </si>
  <si>
    <t>Q14694</t>
  </si>
  <si>
    <t>USP10</t>
  </si>
  <si>
    <t>A178Q</t>
  </si>
  <si>
    <t>P56202</t>
  </si>
  <si>
    <t>CTSW</t>
  </si>
  <si>
    <t>C9JPN9</t>
  </si>
  <si>
    <t>USP17L12</t>
  </si>
  <si>
    <t>A178R</t>
  </si>
  <si>
    <t>C9JLJ4</t>
  </si>
  <si>
    <t>USP17L13</t>
  </si>
  <si>
    <t>A178S</t>
  </si>
  <si>
    <t>C9JVI0</t>
  </si>
  <si>
    <t>USP17L11</t>
  </si>
  <si>
    <t>P43235</t>
  </si>
  <si>
    <t>CTSK</t>
  </si>
  <si>
    <t>A178T</t>
  </si>
  <si>
    <t>Q86UB2</t>
  </si>
  <si>
    <t>BIVM</t>
  </si>
  <si>
    <t>A178V</t>
  </si>
  <si>
    <t>P30041</t>
  </si>
  <si>
    <t>AhpC/TSA family</t>
  </si>
  <si>
    <t>PRDX6</t>
  </si>
  <si>
    <t>Q6PKC3</t>
  </si>
  <si>
    <t>TXNDC11</t>
  </si>
  <si>
    <t>A178W</t>
  </si>
  <si>
    <t>A178Y</t>
  </si>
  <si>
    <t>Q96DC9</t>
  </si>
  <si>
    <t>OTUB2</t>
  </si>
  <si>
    <t>Q7L8S5</t>
  </si>
  <si>
    <t>OTUD6A</t>
  </si>
  <si>
    <t>Q72F37</t>
  </si>
  <si>
    <t>Q9P2H5</t>
  </si>
  <si>
    <t>USP35</t>
  </si>
  <si>
    <t>Q7SIE3</t>
  </si>
  <si>
    <t>Q9HC96</t>
  </si>
  <si>
    <t>CAPN10</t>
  </si>
  <si>
    <t>Q9H3N1</t>
  </si>
  <si>
    <t>TMX1</t>
  </si>
  <si>
    <t>P13667</t>
  </si>
  <si>
    <t>PDIA4</t>
  </si>
  <si>
    <t>P0C7I0</t>
  </si>
  <si>
    <t>USP17L8</t>
  </si>
  <si>
    <t>Q9H4Y5</t>
  </si>
  <si>
    <t>GSTO2</t>
  </si>
  <si>
    <t>P13284</t>
  </si>
  <si>
    <t>Gamma interferon inducible lysosomal thiol reductase (GILT)</t>
  </si>
  <si>
    <t>IFI30</t>
  </si>
  <si>
    <t>Q90VW1</t>
  </si>
  <si>
    <t>Q96AP4</t>
  </si>
  <si>
    <t>ZUP1</t>
  </si>
  <si>
    <t>Q9F7P4</t>
  </si>
  <si>
    <t>Q9UMQ6</t>
  </si>
  <si>
    <t>CAPN11</t>
  </si>
  <si>
    <t>Q9UGP5</t>
  </si>
  <si>
    <t>Q9UBR2</t>
  </si>
  <si>
    <t>CTSZ</t>
  </si>
  <si>
    <t>Q9Y6W3</t>
  </si>
  <si>
    <t>CAPN7</t>
  </si>
  <si>
    <t>P07711</t>
  </si>
  <si>
    <t>CTSL</t>
  </si>
  <si>
    <t>Q9H0E7</t>
  </si>
  <si>
    <t>USP44</t>
  </si>
  <si>
    <t>D6RJB6</t>
  </si>
  <si>
    <t>USP17L20</t>
  </si>
  <si>
    <t>P62068</t>
  </si>
  <si>
    <t>USP46</t>
  </si>
  <si>
    <t>Q16881</t>
  </si>
  <si>
    <t>TXNRD1</t>
  </si>
  <si>
    <t>Q96J42</t>
  </si>
  <si>
    <t>TXNDC15</t>
  </si>
  <si>
    <t>Q9H7Z7</t>
  </si>
  <si>
    <t>PTGES2</t>
  </si>
  <si>
    <t>O60942</t>
  </si>
  <si>
    <t>RNGTT</t>
  </si>
  <si>
    <t>Q7RTZ2</t>
  </si>
  <si>
    <t>USP17L1</t>
  </si>
  <si>
    <t>P07858</t>
  </si>
  <si>
    <t>CTSB</t>
  </si>
  <si>
    <t>Q6MZZ7</t>
  </si>
  <si>
    <t>CAPN13</t>
  </si>
  <si>
    <t>Q9H8M7</t>
  </si>
  <si>
    <t>Deubiquitinating enzyme MINDY-3/4, conserved domain</t>
  </si>
  <si>
    <t>MINDY3</t>
  </si>
  <si>
    <t>Q8WUK0</t>
  </si>
  <si>
    <t>PTPMT1</t>
  </si>
  <si>
    <t>Q9H1E5</t>
  </si>
  <si>
    <t>TMX4</t>
  </si>
  <si>
    <t>Q4G0A6</t>
  </si>
  <si>
    <t>MINDY4</t>
  </si>
  <si>
    <t>D6RA61</t>
  </si>
  <si>
    <t>USP17L22</t>
  </si>
  <si>
    <t>P09936</t>
  </si>
  <si>
    <t>UCHL1</t>
  </si>
  <si>
    <t>Q6ZRP7</t>
  </si>
  <si>
    <t>QSOX2</t>
  </si>
  <si>
    <t>Q9BV47</t>
  </si>
  <si>
    <t>DUSP26</t>
  </si>
  <si>
    <t>P09211</t>
  </si>
  <si>
    <t>GSTP1</t>
  </si>
  <si>
    <t>Q4W4Y0</t>
  </si>
  <si>
    <t>DORIP1</t>
  </si>
  <si>
    <t>O60911</t>
  </si>
  <si>
    <t>CTSV</t>
  </si>
  <si>
    <t>D6R901</t>
  </si>
  <si>
    <t>USP17L21</t>
  </si>
  <si>
    <t>Q15040</t>
  </si>
  <si>
    <t>JOSD1</t>
  </si>
  <si>
    <t>Q8TAC2</t>
  </si>
  <si>
    <t>JOSD2</t>
  </si>
  <si>
    <t>Q8IXB1</t>
  </si>
  <si>
    <t>DNAJC10</t>
  </si>
  <si>
    <t>Q9NQC7</t>
  </si>
  <si>
    <t>CYLD</t>
  </si>
  <si>
    <t>ESM2</t>
  </si>
  <si>
    <t>ESMC</t>
  </si>
  <si>
    <t>Dim_1</t>
  </si>
  <si>
    <t>Dim_2</t>
  </si>
  <si>
    <t>label</t>
  </si>
  <si>
    <t>source</t>
  </si>
  <si>
    <t>ID</t>
  </si>
  <si>
    <t>ASP</t>
  </si>
  <si>
    <t>expt</t>
  </si>
  <si>
    <t>Q7SIE3-0-S-1H4G_A_D_5_5</t>
  </si>
  <si>
    <t>P00655-0-S-1DE3_A_D_57_84</t>
  </si>
  <si>
    <t>Q6J4G7-A178R-S-Swiss_A_D_98_98</t>
  </si>
  <si>
    <t>P15570-0-S-1BEO_A_D_30_50</t>
  </si>
  <si>
    <t>P00698-0-S-1LSE_A_D_87_105</t>
  </si>
  <si>
    <t>Q6J4G7-A178K-S-Swiss_A_D_98_98</t>
  </si>
  <si>
    <t>P01001-0-S-2BUS_A_D_6_29</t>
  </si>
  <si>
    <t>P00648-0-S-1BNR_A_D_22_69</t>
  </si>
  <si>
    <t>P39476-0-S-1C8C_A_D_35_35</t>
  </si>
  <si>
    <t>P06654-0-S-2IGD_A_D_52_343</t>
  </si>
  <si>
    <t>P13123-0-S-1AZP_A_D_35_35</t>
  </si>
  <si>
    <t>P02640-0-S-1VII_A_D_46_796</t>
  </si>
  <si>
    <t>P0A7Y4-0-S-1GOA_A_D_10_10</t>
  </si>
  <si>
    <t>P00648-0-S-1BNJ_A_D_22_69</t>
  </si>
  <si>
    <t>P03367-0-S-3FX5_B_D_130_530</t>
  </si>
  <si>
    <t>P00698-0-S-2LZT_A_D_48_66</t>
  </si>
  <si>
    <t>P61823-0-S-1KF3_A_D_38_64</t>
  </si>
  <si>
    <t>P01132-0-S-3EGF_A_D_40_1016</t>
  </si>
  <si>
    <t>P19909-0-S-2QMT_A_D_40_341</t>
  </si>
  <si>
    <t>P00651-0-S-1YGW_A_D_29_55</t>
  </si>
  <si>
    <t>P00720-1-S-1CX6_A_D_159_159</t>
  </si>
  <si>
    <t>Q9F7P4-0-S-2L6X_A_D_97_97</t>
  </si>
  <si>
    <t>P00648-0-S-1A2P_A_D_44_91</t>
  </si>
  <si>
    <t>P06654-0-S-1GB1_A_D_46_272</t>
  </si>
  <si>
    <t>P09850-0-S-1XNB_A_D_4_32</t>
  </si>
  <si>
    <t>P05798-0-S-1RGG_A_D_84_84</t>
  </si>
  <si>
    <t>P06396-0-S-5H3M_A_D_23_77</t>
  </si>
  <si>
    <t>P02640-0-S-1VII_A_D_44_794</t>
  </si>
  <si>
    <t>P06654-0-S-2IGH_A_D_41_332</t>
  </si>
  <si>
    <t>Q7SIE3-0-S-1QH7_A_D_90_90</t>
  </si>
  <si>
    <t>P00720-0-S-2LZM_A_D_70_70</t>
  </si>
  <si>
    <t>Q6J4G7-A178L-S-Swiss_A_D_98_98</t>
  </si>
  <si>
    <t>P13123-1-S-1BF4_A_D_35_35</t>
  </si>
  <si>
    <t>P15570-0-S-1BEG_A_D_21_41</t>
  </si>
  <si>
    <t>P15570-0-S-1BEO_A_D_21_41</t>
  </si>
  <si>
    <t>Q6J4G7-A178D-S-Swiss_A_D_98_98</t>
  </si>
  <si>
    <t>P09850-0-S-1XNB_A_D_11_39</t>
  </si>
  <si>
    <t>P61823-0-S-7RSA_A_D_53_79</t>
  </si>
  <si>
    <t>P02640-0-S-1YRF_A_D_44_794</t>
  </si>
  <si>
    <t>P06654-0-S-2GB1_A_D_46_272</t>
  </si>
  <si>
    <t>P06654-0-S-1PGA_A_D_22_248</t>
  </si>
  <si>
    <t>P19909-0-S-2QMT_A_D_36_337</t>
  </si>
  <si>
    <t>P61823-0-S-1RNZ_A_D_38_64</t>
  </si>
  <si>
    <t>P00651-0-S-9RNT_A_D_76_102</t>
  </si>
  <si>
    <t>P06654-0-S-1PGA_A_D_40_266</t>
  </si>
  <si>
    <t>P10599-1-S-1TRS_A_D_58_58</t>
  </si>
  <si>
    <t>P00651-0-S-9RNT_A_D_29_55</t>
  </si>
  <si>
    <t>P00698-0-S-4LZT_A_D_87_105</t>
  </si>
  <si>
    <t>P10599-2-S-1TRW_A_D_26_26</t>
  </si>
  <si>
    <t>P10599-1-S-1TRS_A_D_26_26</t>
  </si>
  <si>
    <t>P00648-0-S-1A2P_A_D_8_55</t>
  </si>
  <si>
    <t>P00655-0-S-1DE3_A_D_75_102</t>
  </si>
  <si>
    <t>P03367-0-S-3FX5_A_D_30_530</t>
  </si>
  <si>
    <t>P09850-0-S-1XNB_A_D_106_134</t>
  </si>
  <si>
    <t>P06654-0-S-1GB1_A_D_36_262</t>
  </si>
  <si>
    <t>P01132-0-S-1EPG_A_D_40_1016</t>
  </si>
  <si>
    <t>P00703-0-S-1TEW_A_D_52_70</t>
  </si>
  <si>
    <t>P0AES9-0-S-1BG8_A_D_76_97</t>
  </si>
  <si>
    <t>P01132-0-S-3EGF_A_D_46_1022</t>
  </si>
  <si>
    <t>Q7SIE3-0-S-1QH7_A_D_21_21</t>
  </si>
  <si>
    <t>P08921-0-S-1HNG_A_D_26_48</t>
  </si>
  <si>
    <t>P06654-0-S-1IGC_A_D_52_343</t>
  </si>
  <si>
    <t>P06654-0-S-1GB1_A_D_22_248</t>
  </si>
  <si>
    <t>P00648-0-S-1BNR_A_D_86_133</t>
  </si>
  <si>
    <t>P13123-0-S-1CA5_A_D_35_35</t>
  </si>
  <si>
    <t>P61823-1-S-3RN3_A_D_14_40</t>
  </si>
  <si>
    <t>P0CG48-0-S-1UBQ_A_D_39_647</t>
  </si>
  <si>
    <t>P03367-0-S-3FX5_B_D_160_560</t>
  </si>
  <si>
    <t>P00698-0-S-4LZT_A_D_52_70</t>
  </si>
  <si>
    <t>P08921-0-S-1CDC_A_D_28_50</t>
  </si>
  <si>
    <t>P00651-0-S-1BVI_B_D_76_102</t>
  </si>
  <si>
    <t>P13123-0-S-1SAP_A_D_35_35</t>
  </si>
  <si>
    <t>P19909-0-S-2QMT_A_D_22_323</t>
  </si>
  <si>
    <t>P06396-0-S-5H3M_A_D_39_93</t>
  </si>
  <si>
    <t>P09850-0-S-1BCX_A_D_4_32</t>
  </si>
  <si>
    <t>P00648-0-S-1FW7_A_D_86_133</t>
  </si>
  <si>
    <t>P19909-0-S-2QMT_A_D_46_347</t>
  </si>
  <si>
    <t>P0A432-0-S-5G39_A_D_24_50</t>
  </si>
  <si>
    <t>P0CG48-0-S-1UBQ_A_D_52_660</t>
  </si>
  <si>
    <t>P19909-0-S-2QMT_A_D_47_348</t>
  </si>
  <si>
    <t>P0A7Y4-0-S-1RDD_A_D_10_10</t>
  </si>
  <si>
    <t>P00698-0-S-1LYS_A_D_66_84</t>
  </si>
  <si>
    <t>P08921-0-S-1HNG_A_D_72_94</t>
  </si>
  <si>
    <t>P00648-0-S-1BNJ_A_D_12_59</t>
  </si>
  <si>
    <t>P01068-0-S-1BI6_H_D_13_200</t>
  </si>
  <si>
    <t>P06654-0-S-1IGC_A_D_27_318</t>
  </si>
  <si>
    <t>P10599-1-S-1TRS_A_D_61_61</t>
  </si>
  <si>
    <t>P00698-0-S-1LSE_A_D_48_66</t>
  </si>
  <si>
    <t>P0AES9-0-S-1BG8_A_D_69_90</t>
  </si>
  <si>
    <t>P00648-0-S-1B2X_A_D_8_55</t>
  </si>
  <si>
    <t>P08921-0-S-1HNG_A_D_2_24</t>
  </si>
  <si>
    <t>P05798-0-S-1RGG_A_D_93_93</t>
  </si>
  <si>
    <t>P00648-0-S-1BNI_A_D_22_69</t>
  </si>
  <si>
    <t>P01132-0-S-1EPI_A_D_46_1022</t>
  </si>
  <si>
    <t>P00651-0-S-1I0V_A_D_15_41</t>
  </si>
  <si>
    <t>P00648-0-S-1A2P_A_D_101_148</t>
  </si>
  <si>
    <t>P00655-0-S-1DE3_A_D_109_136</t>
  </si>
  <si>
    <t>P01001-0-S-1BUS_A_D_6_29</t>
  </si>
  <si>
    <t>P13123-0-S-1SAP_A_D_36_36</t>
  </si>
  <si>
    <t>P00698-0-S-2LZT_A_D_66_84</t>
  </si>
  <si>
    <t>P10599-2-S-1TRW_A_D_64_64</t>
  </si>
  <si>
    <t>P00703-0-S-135L_A_D_18_36</t>
  </si>
  <si>
    <t>Q6J4G7-A178Y-S-Swiss_A_D_98_98</t>
  </si>
  <si>
    <t>P0CG48-0-S-1UBQ_A_D_21_629</t>
  </si>
  <si>
    <t>P01050-0-S-1HIC_A_D_5_5</t>
  </si>
  <si>
    <t>P02417-0-S-2HBA_A_D_23_23</t>
  </si>
  <si>
    <t>P00651-0-S-9RNT_A_D_15_41</t>
  </si>
  <si>
    <t>P00651-0-S-1BVI_B_D_15_41</t>
  </si>
  <si>
    <t>P00648-0-S-1BNI_A_D_12_59</t>
  </si>
  <si>
    <t>P68390-0-S-1PPF_I_D_7_136</t>
  </si>
  <si>
    <t>P00698-0-S-2LZT_A_D_87_105</t>
  </si>
  <si>
    <t>P10599-1-S-1TRS_A_D_16_16</t>
  </si>
  <si>
    <t>P01132-0-S-1EPH_A_D_27_1003</t>
  </si>
  <si>
    <t>P0AES9-0-S-1BG8_A_D_25_46</t>
  </si>
  <si>
    <t>P39476-0-S-1C8C_A_D_16_16</t>
  </si>
  <si>
    <t>P00648-0-S-1BNI_A_D_8_55</t>
  </si>
  <si>
    <t>Q6J4G7-A178F-S-Swiss_A_D_98_98</t>
  </si>
  <si>
    <t>P39476-0-S-1BNZ_A_D_35_35</t>
  </si>
  <si>
    <t>P00648-0-S-1BNI_A_D_86_133</t>
  </si>
  <si>
    <t>P10599-2-S-1ERT_A_D_26_26</t>
  </si>
  <si>
    <t>P01132-0-S-1EPH_A_D_46_1022</t>
  </si>
  <si>
    <t>P68699-0-S-1A91_A_D_44_44</t>
  </si>
  <si>
    <t>P08921-0-S-1HNG_A_D_25_47</t>
  </si>
  <si>
    <t>P10599-2-S-1ERT_A_D_64_64</t>
  </si>
  <si>
    <t>P0A7Y4-0-S-1RNH_A_D_134_134</t>
  </si>
  <si>
    <t>P13123-0-S-1SAP_A_D_49_49</t>
  </si>
  <si>
    <t>P00651-0-S-1YGW_A_D_15_41</t>
  </si>
  <si>
    <t>Q6J4G7-A178I-S-Swiss_A_D_98_98</t>
  </si>
  <si>
    <t>P13123-0-S-1AZP_A_D_56_56</t>
  </si>
  <si>
    <t>P26747-0-S-2M5S_A_D_316_316</t>
  </si>
  <si>
    <t>B2AM55-0-S-3MKH_A_D_399_399</t>
  </si>
  <si>
    <t>P13123-0-S-1SAP_A_D_56_56</t>
  </si>
  <si>
    <t>P00651-0-S-1I0V_A_D_66_92</t>
  </si>
  <si>
    <t>P05798-1-S-1LNI_A_D_17_17</t>
  </si>
  <si>
    <t>P39476-0-S-1C8C_A_D_50_50</t>
  </si>
  <si>
    <t>P00698-0-S-1LYS_A_D_48_66</t>
  </si>
  <si>
    <t>P06396-0-S-5H3M_A_D_83_137</t>
  </si>
  <si>
    <t>P00648-0-S-1B2X_A_D_44_91</t>
  </si>
  <si>
    <t>P00703-0-S-1TEW_A_D_119_137</t>
  </si>
  <si>
    <t>P56817-0-S-1SGZ_A_D_228_289</t>
  </si>
  <si>
    <t>P13123-1-S-1BF4_A_D_50_49</t>
  </si>
  <si>
    <t>P13123-0-S-1CA5_A_D_49_49</t>
  </si>
  <si>
    <t>P08921-0-S-1HNG_A_D_28_50</t>
  </si>
  <si>
    <t>P06654-0-S-3GB1_A_D_22_248</t>
  </si>
  <si>
    <t>P01132-0-S-1EGF_A_D_40_1016</t>
  </si>
  <si>
    <t>P00720-1-S-1CX6_A_D_20_20</t>
  </si>
  <si>
    <t>P9WJN3-0-S-1Q74_A_D_15_15</t>
  </si>
  <si>
    <t>P03367-0-S-1HPX_A_D_60_560</t>
  </si>
  <si>
    <t>P61823-0-S-1RNZ_A_D_83_109</t>
  </si>
  <si>
    <t>P05798-1-S-1LNI_A_D_25_25</t>
  </si>
  <si>
    <t>P01050-0-S-1HIC_A_D_33_33</t>
  </si>
  <si>
    <t>P00651-0-S-9RNT_A_D_49_75</t>
  </si>
  <si>
    <t>P00974-1-S-1BPI_A_D_3_38</t>
  </si>
  <si>
    <t>P0AFG6-0-S-1W4H_A_D_129_112</t>
  </si>
  <si>
    <t>P08921-0-S-1HNG_A_D_71_93</t>
  </si>
  <si>
    <t>P61823-1-S-3RN3_A_D_38_64</t>
  </si>
  <si>
    <t>P00655-0-S-1DE3_A_D_9_36</t>
  </si>
  <si>
    <t>P05798-0-S-1RGG_A_D_79_79</t>
  </si>
  <si>
    <t>P00720-2-S-1QT8_A_D_127_127</t>
  </si>
  <si>
    <t>P00698-0-S-2LZT_A_D_52_70</t>
  </si>
  <si>
    <t>P13123-0-S-1AZP_A_D_36_36</t>
  </si>
  <si>
    <t>P61991-0-S-1SSO_A_D_49_50</t>
  </si>
  <si>
    <t>Q6J4G7-A178V-S-Swiss_A_D_98_98</t>
  </si>
  <si>
    <t>P00648-0-S-1A2P_A_D_12_59</t>
  </si>
  <si>
    <t>P00655-0-S-1DE3_A_D_85_112</t>
  </si>
  <si>
    <t>P06654-0-S-2IGH_A_D_52_343</t>
  </si>
  <si>
    <t>P06654-0-S-1PGB_A_D_40_266</t>
  </si>
  <si>
    <t>P06654-0-S-2IGH_A_D_45_336</t>
  </si>
  <si>
    <t>P00648-0-S-1BNI_A_D_44_91</t>
  </si>
  <si>
    <t>P62375-0-S-1CVO_A_D_42_63</t>
  </si>
  <si>
    <t>P00698-0-S-4LZT_A_D_18_36</t>
  </si>
  <si>
    <t>P00648-0-S-1B2X_A_D_86_133</t>
  </si>
  <si>
    <t>P61823-0-S-9RAT_A_D_38_64</t>
  </si>
  <si>
    <t>P00720-2-S-1QT8_A_D_72_72</t>
  </si>
  <si>
    <t>P06654-0-S-1PGA_A_D_46_272</t>
  </si>
  <si>
    <t>P05798-1-S-1LNI_A_D_84_84</t>
  </si>
  <si>
    <t>P0A432-0-S-5G39_A_D_23_49</t>
  </si>
  <si>
    <t>P61823-0-S-9RAT_A_D_53_79</t>
  </si>
  <si>
    <t>P62375-0-S-1KXI_A_D_59_80</t>
  </si>
  <si>
    <t>P00698-0-S-1LSE_A_D_52_70</t>
  </si>
  <si>
    <t>P10599-1-S-1ERU_A_D_61_61</t>
  </si>
  <si>
    <t>P0A7Y4-0-S-1RNH_A_D_70_70</t>
  </si>
  <si>
    <t>P06654-0-S-1IGC_A_D_41_332</t>
  </si>
  <si>
    <t>P06654-0-S-1IGD_A_D_45_336</t>
  </si>
  <si>
    <t>P26747-0-S-2M5S_A_D_336_336</t>
  </si>
  <si>
    <t>P67954-0-S-2OVO_A_D_27_27</t>
  </si>
  <si>
    <t>P06654-0-S-1PGB_A_D_22_248</t>
  </si>
  <si>
    <t>P00720-1-S-1CX6_A_D_127_127</t>
  </si>
  <si>
    <t>P00651-0-S-1BVI_B_D_66_92</t>
  </si>
  <si>
    <t>P08921-0-S-1CDC_A_D_94_116</t>
  </si>
  <si>
    <t>P0AES9-0-S-1BG8_A_D_51_72</t>
  </si>
  <si>
    <t>P06654-0-S-1IGD_A_D_52_343</t>
  </si>
  <si>
    <t>P0A7Y4-0-S-2RN2_A_D_70_70</t>
  </si>
  <si>
    <t>P01068-0-S-1BI6_H_D_32_219</t>
  </si>
  <si>
    <t>P00651-0-S-1I0V_A_D_76_102</t>
  </si>
  <si>
    <t>Q6J4G7-A178M-S-Swiss_A_D_98_98</t>
  </si>
  <si>
    <t>P01132-0-S-1EGF_A_D_11_987</t>
  </si>
  <si>
    <t>P10599-1-S-1ERU_A_D_64_64</t>
  </si>
  <si>
    <t>P0A7Y4-0-S-1RDD_A_D_70_70</t>
  </si>
  <si>
    <t>P00760-1-S-2TGA_A_D_102_107</t>
  </si>
  <si>
    <t>P00655-0-S-1DE3_A_D_59_86</t>
  </si>
  <si>
    <t>P01132-0-S-1EGF_A_D_27_1003</t>
  </si>
  <si>
    <t>Q7SIE3-0-S-1QH7_A_D_12_12</t>
  </si>
  <si>
    <t>P10599-2-S-1ERT_A_D_60_60</t>
  </si>
  <si>
    <t>P02751-0-S-1FNA_A_D_80_1617</t>
  </si>
  <si>
    <t>P06396-0-S-5H3M_A_D_82_136</t>
  </si>
  <si>
    <t>P0A7Y4-0-S-1RDD_A_D_94_94</t>
  </si>
  <si>
    <t>P09850-0-S-1BCX_A_D_121_149</t>
  </si>
  <si>
    <t>P00703-0-S-135L_A_D_52_70</t>
  </si>
  <si>
    <t>P00766-1-S-1EX3_A_D_102_102</t>
  </si>
  <si>
    <t>P01053-0-S-2SNI_I_D_64_65</t>
  </si>
  <si>
    <t>P00698-0-S-4LZT_A_D_48_66</t>
  </si>
  <si>
    <t>P05798-1-S-1LNI_A_D_1_1</t>
  </si>
  <si>
    <t>P02417-0-S-2HBB_A_D_23_23</t>
  </si>
  <si>
    <t>Q6J4G7-A178E-S-Swiss_A_D_98_98</t>
  </si>
  <si>
    <t>P0A7Y4-0-S-1RDD_A_D_134_134</t>
  </si>
  <si>
    <t>P03069-2-S-2ZTA_A_D_7_255</t>
  </si>
  <si>
    <t>Q54323-0-S-3FT7_B_D_23_23</t>
  </si>
  <si>
    <t>P39476-0-S-1BNZ_A_D_16_16</t>
  </si>
  <si>
    <t>P00974-0-S-4PTI_A_D_50_85</t>
  </si>
  <si>
    <t>P61823-0-S-1RNZ_A_D_53_79</t>
  </si>
  <si>
    <t>P01132-0-S-1EPG_A_D_27_1003</t>
  </si>
  <si>
    <t>P00648-0-S-1B2X_A_D_22_69</t>
  </si>
  <si>
    <t>P39476-0-S-1BNZ_A_D_50_50</t>
  </si>
  <si>
    <t>P06654-0-S-2IGD_A_D_45_336</t>
  </si>
  <si>
    <t>P10599-2-S-1ERT_A_D_61_61</t>
  </si>
  <si>
    <t>P10599-2-S-1TRW_A_D_60_60</t>
  </si>
  <si>
    <t>P00648-0-S-1FW7_A_D_12_59</t>
  </si>
  <si>
    <t>P00648-0-S-1A2P_A_D_22_69</t>
  </si>
  <si>
    <t>P61823-1-S-3RN3_A_D_121_147</t>
  </si>
  <si>
    <t>Q7SIE3-0-S-1H4G_A_D_90_90</t>
  </si>
  <si>
    <t>P03367-0-S-3FX5_A_D_60_560</t>
  </si>
  <si>
    <t>P00648-0-S-1BNJ_A_D_44_91</t>
  </si>
  <si>
    <t>P06654-0-S-2IGH_A_D_27_318</t>
  </si>
  <si>
    <t>P08921-0-S-1HNG_A_D_94_116</t>
  </si>
  <si>
    <t>P01132-0-S-3EGF_A_D_27_1003</t>
  </si>
  <si>
    <t>P00648-0-S-1BNR_A_D_12_59</t>
  </si>
  <si>
    <t>P00720-2-S-1QT8_A_D_89_89</t>
  </si>
  <si>
    <t>P00766-0-S-1YPH_C_D_102_102</t>
  </si>
  <si>
    <t>P06654-0-S-3GB1_A_D_40_266</t>
  </si>
  <si>
    <t>P00703-0-S-135L_A_D_119_137</t>
  </si>
  <si>
    <t>P0AA25-0-S-1XOB_A_D_26_27</t>
  </si>
  <si>
    <t>P02640-0-S-1YRF_A_D_46_796</t>
  </si>
  <si>
    <t>P00651-0-S-1YGW_A_D_66_92</t>
  </si>
  <si>
    <t>P01132-0-S-1EPI_A_D_27_1003</t>
  </si>
  <si>
    <t>P68699-0-S-1A91_A_D_61_61</t>
  </si>
  <si>
    <t>P08921-0-S-1HNG_A_D_62_84</t>
  </si>
  <si>
    <t>P00698-0-S-1LSE_A_D_66_84</t>
  </si>
  <si>
    <t>P05798-1-S-1LNI_A_D_93_93</t>
  </si>
  <si>
    <t>P03367-0-S-1HPX_A_D_30_530</t>
  </si>
  <si>
    <t>P02417-0-S-1DIV_A_D_23_23</t>
  </si>
  <si>
    <t>P13123-0-S-1AZP_A_D_49_49</t>
  </si>
  <si>
    <t>P0AA25-0-S-2TRX_A_D_26_27</t>
  </si>
  <si>
    <t>P00720-1-S-1CX6_A_D_61_61</t>
  </si>
  <si>
    <t>P08921-0-S-1CDC_A_D_25_47</t>
  </si>
  <si>
    <t>P0A7Y4-0-S-2RN2_A_D_94_94</t>
  </si>
  <si>
    <t>P00698-0-S-4LZT_A_D_66_84</t>
  </si>
  <si>
    <t>P01001-0-S-1BUS_A_D_12_35</t>
  </si>
  <si>
    <t>Q54323-0-S-3FT7_B_D_49_49</t>
  </si>
  <si>
    <t>P00720-2-S-1QT8_A_D_159_159</t>
  </si>
  <si>
    <t>P0A7Y4-0-S-1GOA_A_D_70_70</t>
  </si>
  <si>
    <t>P01053-0-S-2CI2_I_D_71_72</t>
  </si>
  <si>
    <t>P15570-0-S-1BEG_A_D_72_92</t>
  </si>
  <si>
    <t>P01132-0-S-1EPG_A_D_46_1022</t>
  </si>
  <si>
    <t>P06654-0-S-1IGD_A_D_27_318</t>
  </si>
  <si>
    <t>P00651-0-S-1I0V_A_D_29_55</t>
  </si>
  <si>
    <t>P06654-0-S-3GB1_A_D_36_262</t>
  </si>
  <si>
    <t>P61823-0-S-9RAT_A_D_83_109</t>
  </si>
  <si>
    <t>P05798-1-S-1LNI_A_D_79_79</t>
  </si>
  <si>
    <t>P00648-0-S-1FW7_A_D_8_55</t>
  </si>
  <si>
    <t>P10599-1-S-1TRS_A_D_60_60</t>
  </si>
  <si>
    <t>P06654-0-S-2GB1_A_D_22_248</t>
  </si>
  <si>
    <t>P0A7Y4-0-S-1RNH_A_D_10_10</t>
  </si>
  <si>
    <t>P13123-1-S-1BF4_A_D_16_16</t>
  </si>
  <si>
    <t>P08921-0-S-1CDC_A_D_72_94</t>
  </si>
  <si>
    <t>P01068-0-S-1BI6_H_D_9_196</t>
  </si>
  <si>
    <t>Q54323-0-S-3FT7_B_D_52_52</t>
  </si>
  <si>
    <t>P00648-0-S-1BNR_A_D_44_91</t>
  </si>
  <si>
    <t>P00698-0-S-1LYS_A_D_52_70</t>
  </si>
  <si>
    <t>Q6J4G7-A178P-S-Swiss_A_D_98_98</t>
  </si>
  <si>
    <t>P06654-0-S-2IGD_A_D_41_332</t>
  </si>
  <si>
    <t>P00651-0-S-1BVI_B_D_49_75</t>
  </si>
  <si>
    <t>Q6J4G7-A178N-S-Swiss_A_D_98_98</t>
  </si>
  <si>
    <t>P00720-2-S-1QT8_A_D_61_61</t>
  </si>
  <si>
    <t>P00648-0-S-1FW7_A_D_22_69</t>
  </si>
  <si>
    <t>Q7SIE3-0-S-1QH7_A_D_5_5</t>
  </si>
  <si>
    <t>P0A7Y4-0-S-1RNH_A_D_94_94</t>
  </si>
  <si>
    <t>P00974-1-S-1BPI_A_D_50_85</t>
  </si>
  <si>
    <t>P09850-0-S-1BCX_A_D_106_134</t>
  </si>
  <si>
    <t>P00651-0-S-9RNT_A_D_66_92</t>
  </si>
  <si>
    <t>P00720-2-S-1QT8_A_D_20_20</t>
  </si>
  <si>
    <t>P10599-1-S-1ERU_A_D_26_26</t>
  </si>
  <si>
    <t>P06654-0-S-3GB1_A_D_46_272</t>
  </si>
  <si>
    <t>P01132-0-S-1EPG_A_D_11_987</t>
  </si>
  <si>
    <t>P00651-0-S-1I0V_A_D_3_29</t>
  </si>
  <si>
    <t>P06654-0-S-1PGB_A_D_36_262</t>
  </si>
  <si>
    <t>P09850-0-S-1XNB_A_D_121_149</t>
  </si>
  <si>
    <t>P01053-0-S-2CI2_I_D_42_43</t>
  </si>
  <si>
    <t>P01053-0-S-2SNI_I_D_71_72</t>
  </si>
  <si>
    <t>P01132-0-S-1EPI_A_D_40_1016</t>
  </si>
  <si>
    <t>P05798-0-S-1RGG_A_D_25_25</t>
  </si>
  <si>
    <t>P01132-0-S-1EPH_A_D_40_1016</t>
  </si>
  <si>
    <t>P09850-0-S-1BCX_A_D_119_147</t>
  </si>
  <si>
    <t>P01132-0-S-1EGF_A_D_46_1022</t>
  </si>
  <si>
    <t>P42196-0-S-1GU8_A_D_75_75</t>
  </si>
  <si>
    <t>Q7SIE3-0-S-1H4G_A_D_21_21</t>
  </si>
  <si>
    <t>P00648-0-S-1FW7_A_D_44_91</t>
  </si>
  <si>
    <t>P10599-2-S-1TRW_A_D_61_61</t>
  </si>
  <si>
    <t>P0A7Y4-0-S-2RN2_A_D_134_134</t>
  </si>
  <si>
    <t>P00703-0-S-1TEW_A_D_18_36</t>
  </si>
  <si>
    <t>P00648-0-S-1B2X_A_D_12_59</t>
  </si>
  <si>
    <t>P00760-1-S-2TGA_A_D_194_199</t>
  </si>
  <si>
    <t>P06654-0-S-2IGD_A_D_27_318</t>
  </si>
  <si>
    <t>P0AFG6-0-S-1W4H_A_D_162_145</t>
  </si>
  <si>
    <t>P00651-0-S-1RGA_A_D_76_102</t>
  </si>
  <si>
    <t>P00720-1-S-1CX6_A_D_89_89</t>
  </si>
  <si>
    <t>P00651-0-S-1YGW_A_D_49_75</t>
  </si>
  <si>
    <t>P01001-0-S-2BUS_A_D_12_35</t>
  </si>
  <si>
    <t>P62375-0-S-1KXI_A_D_42_63</t>
  </si>
  <si>
    <t>P61823-0-S-7RSA_A_D_38_64</t>
  </si>
  <si>
    <t>P0AA25-0-S-1XOA_A_D_26_27</t>
  </si>
  <si>
    <t>Acid</t>
  </si>
  <si>
    <t>P61823-0-S-1KF3_A_D_53_79</t>
  </si>
  <si>
    <t>Base</t>
  </si>
  <si>
    <t>expt_c</t>
  </si>
  <si>
    <t>P15570-0-S-1BEO_A_D_72_92</t>
  </si>
  <si>
    <t>P13123-0-S-1CA5_A_D_36_36</t>
  </si>
  <si>
    <t>HIS</t>
  </si>
  <si>
    <t>P68082-0-S-1WLA_A_H_116_117</t>
  </si>
  <si>
    <t>P00698-0-S-2LZT_A_D_18_36</t>
  </si>
  <si>
    <t>P00644-V66D-dPHS-Swiss_A_D_60_148</t>
  </si>
  <si>
    <t>P00698-0-S-4LZT_A_H_15_33</t>
  </si>
  <si>
    <t>P68699-0-S-1A91_A_D_7_7</t>
  </si>
  <si>
    <t>P00974-0-S-1BHC_J_D_50_85</t>
  </si>
  <si>
    <t>P69905-0-S-1HHO_A_H_112_113</t>
  </si>
  <si>
    <t>P08921-0-S-1CDC_A_D_62_84</t>
  </si>
  <si>
    <t>P0A7Y4-0-S-1GOA_A_H_127_127</t>
  </si>
  <si>
    <t>P0AES9-0-S-1BG8_A_D_20_41</t>
  </si>
  <si>
    <t>P02185-0-S-2MB5_A_H_36_37</t>
  </si>
  <si>
    <t>P00648-0-S-1BNR_A_D_8_55</t>
  </si>
  <si>
    <t>P02185-0-S-1DUK_A_H_116_117</t>
  </si>
  <si>
    <t>P0AES9-0-S-1BG8_A_D_83_104</t>
  </si>
  <si>
    <t>P00787-0-S-1THE_A_H_110_189</t>
  </si>
  <si>
    <t>P06654-0-S-1PGB_A_D_46_272</t>
  </si>
  <si>
    <t>P62942-0-S-1FKS_A_H_94_95</t>
  </si>
  <si>
    <t>P0A7Y4-0-S-1GOA_A_D_134_134</t>
  </si>
  <si>
    <t>P62937-0-S-2CPL_A_H_126_126</t>
  </si>
  <si>
    <t>P10599-2-S-1ERT_A_D_16_16</t>
  </si>
  <si>
    <t>P10599-2-S-1ERT_A_H_43_43</t>
  </si>
  <si>
    <t>P00974-0-S-1D0D_B_D_3_38</t>
  </si>
  <si>
    <t>P00651-0-S-9RNT_A_D_3_29</t>
  </si>
  <si>
    <t>Q72F37-1-S-2L6C_A_H_33_33</t>
  </si>
  <si>
    <t>P10599-1-S-1ERU_A_D_58_58</t>
  </si>
  <si>
    <t>P02185-0-S-4MBN_A_H_81_82</t>
  </si>
  <si>
    <t>P09850-0-S-1BCX_A_D_11_39</t>
  </si>
  <si>
    <t>P00703-0-S-1TEW_A_H_41_59</t>
  </si>
  <si>
    <t>Q6J4G7-0-S-7B03_A_D_98_98</t>
  </si>
  <si>
    <t>P68082-0-S-1YMB_A_H_36_37</t>
  </si>
  <si>
    <t>Q6J4G7-A178C-S-Swiss_A_D_98_98</t>
  </si>
  <si>
    <t>P00004-0-S-3NBS_A_H_18_19</t>
  </si>
  <si>
    <t>P00698-0-S-1LYS_A_D_87_105</t>
  </si>
  <si>
    <t>Q12432-0-S-6K5W_A_H_18_18</t>
  </si>
  <si>
    <t>Q6J4G7-A178G-S-Swiss_A_D_98_98</t>
  </si>
  <si>
    <t>P06654-0-S-2GB1_A_D_40_266</t>
  </si>
  <si>
    <t>P00651-0-S-9RNT_A_H_92_118</t>
  </si>
  <si>
    <t>P10599-1-S-1TRS_A_D_64_64</t>
  </si>
  <si>
    <t>P02185-0-S-1A6K_A_H_113_114</t>
  </si>
  <si>
    <t>P00698-0-S-1LYS_A_D_18_36</t>
  </si>
  <si>
    <t>P00648-0-S-1A2P_A_H_102_149</t>
  </si>
  <si>
    <t>P00720-1-S-1CX6_A_D_92_92</t>
  </si>
  <si>
    <t>P00655-0-S-1DE3_A_H_137_164</t>
  </si>
  <si>
    <t>P00651-0-S-1I0V_A_D_49_75</t>
  </si>
  <si>
    <t>P11064-0-S-1PNT_A_H_72_73</t>
  </si>
  <si>
    <t>P9WHJ3-0-S-2L8L_A_D_121_5121</t>
  </si>
  <si>
    <t>P00651-0-S-1YGW_A_H_27_53</t>
  </si>
  <si>
    <t>P61823-0-S-7RSA_A_D_83_109</t>
  </si>
  <si>
    <t>P05798-0-S-1RGG_A_D_1_1</t>
  </si>
  <si>
    <t>P14262-0-S-1GYM_A_H_92_123</t>
  </si>
  <si>
    <t>P06654-0-S-1GB1_A_D_40_266</t>
  </si>
  <si>
    <t>P00974-2-S-1JV8_A_D_50_85</t>
  </si>
  <si>
    <t>P02185-0-S-4MBN_A_H_36_37</t>
  </si>
  <si>
    <t>P02185-0-S-1A6M_A_H_81_82</t>
  </si>
  <si>
    <t>P10599-1-S-1ERU_A_D_60_60</t>
  </si>
  <si>
    <t>P01068-0-S-1BI6_H_D_38_225</t>
  </si>
  <si>
    <t>P01053-0-S-2SNI_I_D_42_43</t>
  </si>
  <si>
    <t>P06654-0-S-1PGA_A_D_36_262</t>
  </si>
  <si>
    <t>P00648-0-S-1BNR_A_H_102_149</t>
  </si>
  <si>
    <t>P08921-0-S-1CDC_A_D_26_48</t>
  </si>
  <si>
    <t>P00648-0-S-1FW7_A_H_18_65</t>
  </si>
  <si>
    <t>Q6J4G7-A178W-S-Swiss_A_D_98_98</t>
  </si>
  <si>
    <t>P62375-0-S-1CVO_A_D_59_80</t>
  </si>
  <si>
    <t>P01106-0-S-1A93_A_H_29_429</t>
  </si>
  <si>
    <t>P13123-0-S-1CA5_A_D_56_56</t>
  </si>
  <si>
    <t>P68082-0-S-1DWR_A_H_119_120</t>
  </si>
  <si>
    <t>P01132-0-S-1EPI_A_D_11_987</t>
  </si>
  <si>
    <t>P02185-0-S-1A6K_A_H_97_98</t>
  </si>
  <si>
    <t>P06654-0-S-2GB1_A_D_36_262</t>
  </si>
  <si>
    <t>P09341-0-S-1MGS_A_H_34_68</t>
  </si>
  <si>
    <t>P00648-0-S-1BNJ_A_D_86_133</t>
  </si>
  <si>
    <t>P68871-0-S-1HHO_B_H_77_78</t>
  </si>
  <si>
    <t>P0A7Y4-0-S-2RN2_A_D_10_10</t>
  </si>
  <si>
    <t>P02185-0-S-1A6K_A_H_116_117</t>
  </si>
  <si>
    <t>P10599-2-S-1TRW_A_D_16_16</t>
  </si>
  <si>
    <t>P00974-0-S-1BHC_J_D_3_38</t>
  </si>
  <si>
    <t>P00720-0-S-2LZM_A_H_31_31</t>
  </si>
  <si>
    <t>Q6J4G7-A178H-S-Swiss_A_D_98_98</t>
  </si>
  <si>
    <t>P04905-0-S-6GST_A_H_167_168</t>
  </si>
  <si>
    <t>P01132-0-S-3EGF_A_D_11_987</t>
  </si>
  <si>
    <t>P09850-0-S-1BCX_A_H_156_184</t>
  </si>
  <si>
    <t>P09850-0-S-1XNB_A_D_119_147</t>
  </si>
  <si>
    <t>P61823-0-S-3SRN_A_H_12_38</t>
  </si>
  <si>
    <t>P00648-0-S-1BNJ_A_D_8_55</t>
  </si>
  <si>
    <t>P00698-0-S-6LYZ_A_H_15_33</t>
  </si>
  <si>
    <t>P10599-1-S-1ERU_A_D_16_16</t>
  </si>
  <si>
    <t>P68871-0-S-1HHO_B_H_2_3</t>
  </si>
  <si>
    <t>P15570-0-S-1BEG_A_D_30_50</t>
  </si>
  <si>
    <t>P61823-0-S-1KF3_A_D_83_109</t>
  </si>
  <si>
    <t>P0ABQ4-0-S-5DFR_A_H_149_149</t>
  </si>
  <si>
    <t>Q7SIE3-0-S-1H4G_A_D_12_12</t>
  </si>
  <si>
    <t>P0A7Y4-0-S-1GOA_A_H_124_124</t>
  </si>
  <si>
    <t>P61991-0-S-1SSO_A_D_15_16</t>
  </si>
  <si>
    <t>P0CG48-0-S-1UBQ_A_D_58_666</t>
  </si>
  <si>
    <t>P00644-0-S-1EY0_A_H_8_90</t>
  </si>
  <si>
    <t>P01053-0-S-2CI2_I_D_64_65</t>
  </si>
  <si>
    <t>P61823-1-S-3RN3_A_H_12_38</t>
  </si>
  <si>
    <t>P0A7Y4-0-S-1GOA_A_D_94_94</t>
  </si>
  <si>
    <t>AAHAA-0-S-AAHAA_A_H_3_3</t>
  </si>
  <si>
    <t>P06654-0-S-1IGD_A_D_41_332</t>
  </si>
  <si>
    <t>P00644-0-S-1EY0_A_H_46_128</t>
  </si>
  <si>
    <t>P00974-0-S-1D0D_B_D_50_85</t>
  </si>
  <si>
    <t>P02185-0-S-1A6K_A_H_119_120</t>
  </si>
  <si>
    <t>P01132-0-S-1EPH_A_D_11_987</t>
  </si>
  <si>
    <t>P00651-0-S-1BVI_B_D_29_55</t>
  </si>
  <si>
    <t>P03069-2-S-2ZTA_A_H_18_266</t>
  </si>
  <si>
    <t>P00703-0-S-1TEW_A_H_121_139</t>
  </si>
  <si>
    <t>P06654-0-S-1IGC_A_D_45_336</t>
  </si>
  <si>
    <t>P02185-0-S-4MBN_A_H_116_117</t>
  </si>
  <si>
    <t>P08921-0-S-1CDC_A_D_71_93</t>
  </si>
  <si>
    <t>P67954-0-S-2OVO_A_D_7_7</t>
  </si>
  <si>
    <t>P0A7Y4-0-S-1GOA_A_H_62_62</t>
  </si>
  <si>
    <t>Q6J4G7-A178T-S-Swiss_A_D_98_98</t>
  </si>
  <si>
    <t>P00004-0-S-1HRC_A_H_33_34</t>
  </si>
  <si>
    <t>P00651-0-S-1BVI_B_D_3_29</t>
  </si>
  <si>
    <t>P00651-0-S-1YGW_A_D_3_29</t>
  </si>
  <si>
    <t>P61626-0-S-1LZ1_A_H_78_96</t>
  </si>
  <si>
    <t>P00648-0-S-1A2P_A_D_86_133</t>
  </si>
  <si>
    <t>P05798-1-S-1LNI_A_H_85_85</t>
  </si>
  <si>
    <t>P00644-0-S-1STN_A_D_95_177</t>
  </si>
  <si>
    <t>P00974-0-S-4PTI_A_D_3_38</t>
  </si>
  <si>
    <t>P00766-0-S-1YPH_C_H_40_40</t>
  </si>
  <si>
    <t>P00698-0-S-1LSE_A_D_18_36</t>
  </si>
  <si>
    <t>P00648-0-S-1BNI_A_H_18_65</t>
  </si>
  <si>
    <t>GLU</t>
  </si>
  <si>
    <t>P68082-0-S-1YMB_A_H_81_82</t>
  </si>
  <si>
    <t>P10599-1-S-1TRS_A_E_88_88</t>
  </si>
  <si>
    <t>P68082-0-S-1YMB_A_H_119_120</t>
  </si>
  <si>
    <t>P39476-0-S-1C8C_A_E_11_11</t>
  </si>
  <si>
    <t>P00644-L36D-dPHS-4HMJ_A_D_36_118</t>
  </si>
  <si>
    <t>P68082-0-S-1DWR_A_H_81_82</t>
  </si>
  <si>
    <t>P06654-0-S-1PGA_A_E_42_268</t>
  </si>
  <si>
    <t>P02185-0-S-2MB5_A_H_113_114</t>
  </si>
  <si>
    <t>P0A7Y4-0-S-2RN2_A_E_6_6</t>
  </si>
  <si>
    <t>P56636-0-S-1M2C_A_H_12_60</t>
  </si>
  <si>
    <t>P19909-0-S-2QMT_A_E_27_328</t>
  </si>
  <si>
    <t>P0A7Y4-0-S-2RN2_A_H_127_127</t>
  </si>
  <si>
    <t>P61823-0-S-1RNZ_A_E_111_137</t>
  </si>
  <si>
    <t>Q9TSF8-0-S-3O79_A_H_187_188</t>
  </si>
  <si>
    <t>P61823-0-S-9RAT_A_E_86_112</t>
  </si>
  <si>
    <t>P61823-0-S-1RNZ_A_H_12_38</t>
  </si>
  <si>
    <t>P0A7Y4-0-S-2RN2_A_E_147_147</t>
  </si>
  <si>
    <t>P00648-0-S-1BNI_A_H_102_149</t>
  </si>
  <si>
    <t>P39476-0-S-1C8C_A_E_48_48</t>
  </si>
  <si>
    <t>P37355-0-S-4MYD_A_H_232_232</t>
  </si>
  <si>
    <t>P03069-2-S-2ZTA_A_E_20_268</t>
  </si>
  <si>
    <t>P61823-0-S-7RSA_A_E_2_28</t>
  </si>
  <si>
    <t>P00698-0-S-1LYS_A_E_7_25</t>
  </si>
  <si>
    <t>P14262-0-S-1PTD_A_H_92_123</t>
  </si>
  <si>
    <t>P06654-0-S-1PGA_A_E_27_253</t>
  </si>
  <si>
    <t>P09850-1-S-3VZJ_A_H_172_200</t>
  </si>
  <si>
    <t>P14262-0-S-1GYM_A_H_32_63</t>
  </si>
  <si>
    <t>P08921-0-S-1HNG_A_E_56_78</t>
  </si>
  <si>
    <t>P68082-0-S-1WLA_A_H_113_114</t>
  </si>
  <si>
    <t>P13123-0-S-1CA5_A_E_62_62</t>
  </si>
  <si>
    <t>P02185-0-S-1A6M_A_H_113_114</t>
  </si>
  <si>
    <t>P01053-0-S-2SNI_I_E_23_24</t>
  </si>
  <si>
    <t>P11064-0-S-1PNT_A_H_66_67</t>
  </si>
  <si>
    <t>Q7SIE3-0-S-1QH7_A_E_167_167</t>
  </si>
  <si>
    <t>P00392-0-S-2KT2_A_H_17_17</t>
  </si>
  <si>
    <t>P01053-0-S-2SNI_I_E_34_35</t>
  </si>
  <si>
    <t>P69905-0-S-4HHB_A_H_112_113</t>
  </si>
  <si>
    <t>P09850-Q7E-S-Swiss_A_E_200_200</t>
  </si>
  <si>
    <t>P61823-0-S-1RNZ_A_E_9_35</t>
  </si>
  <si>
    <t>Q54450-0-S-1B2V_A_H_83_83</t>
  </si>
  <si>
    <t>P00698-0-S-1LSE_A_E_35_53</t>
  </si>
  <si>
    <t>P00651-0-S-9RNT_A_H_40_66</t>
  </si>
  <si>
    <t>P61823-1-S-3RN3_A_E_9_35</t>
  </si>
  <si>
    <t>P0A7Y4-0-S-1RNH_A_E_48_48</t>
  </si>
  <si>
    <t>P68082-0-S-1WLA_A_H_36_37</t>
  </si>
  <si>
    <t>P09850-0-S-1HV0_A_E_78_106</t>
  </si>
  <si>
    <t>P0A7Y4-0-S-1RDD_A_H_124_124</t>
  </si>
  <si>
    <t>P00651-0-S-1BVI_B_E_46_72</t>
  </si>
  <si>
    <t>P62937-0-S-2CPL_A_H_54_54</t>
  </si>
  <si>
    <t>P0A7Y4-0-S-2RN2_A_E_119_119</t>
  </si>
  <si>
    <t>P00644-A109D-dPHS-Swiss_A_D_103_191</t>
  </si>
  <si>
    <t>P09850-1-S-3VZJ_A_E_78_106</t>
  </si>
  <si>
    <t>P0A7Y4-0-S-1RDD_A_H_127_127</t>
  </si>
  <si>
    <t>P10599-1-S-1TRS_A_E_13_13</t>
  </si>
  <si>
    <t>P0AFG6-0-S-1W4H_A_H_166_149</t>
  </si>
  <si>
    <t>Q9ZMY2-0-S-5CCE_A_E_12_12</t>
  </si>
  <si>
    <t>P00644-0-S-1STG_A_H_46_128</t>
  </si>
  <si>
    <t>P0AA04-0-S-1POH_A_H_76_76</t>
  </si>
  <si>
    <t>P00648-0-S-1B2X_A_E_73_120</t>
  </si>
  <si>
    <t>P68871-0-S-4HHB_B_H_146_147</t>
  </si>
  <si>
    <t>P00651-0-S-1YGW_A_E_28_54</t>
  </si>
  <si>
    <t>P0AFG6-0-S-1W4H_A_H_142_125</t>
  </si>
  <si>
    <t>P00974-2-S-1JV8_A_E_7_42</t>
  </si>
  <si>
    <t>P00651-0-S-1RGA_A_H_40_66</t>
  </si>
  <si>
    <t>P00703-0-S-135L_A_E_35_53</t>
  </si>
  <si>
    <t>P0A7Y4-0-S-1RNH_A_H_124_124</t>
  </si>
  <si>
    <t>P01132-0-S-1EPH_A_E_24_1000</t>
  </si>
  <si>
    <t>P11064-0-S-1Z12_A_H_66_67</t>
  </si>
  <si>
    <t>P00644-A132D-dPHS-Swiss_A_D_126_214</t>
  </si>
  <si>
    <t>P01053-0-S-2SNI_I_E_26_27</t>
  </si>
  <si>
    <t>P00644-0-S-1STN_A_H_8_90</t>
  </si>
  <si>
    <t>P02920-0-S-2V8N_A_E_325_325</t>
  </si>
  <si>
    <t>P68082-0-S-1WLA_A_H_81_82</t>
  </si>
  <si>
    <t>P08337-0-S-1MUT_A_E_53_53</t>
  </si>
  <si>
    <t>P00655-0-S-1DE3_A_H_50_77</t>
  </si>
  <si>
    <t>P61823-0-S-7RSA_A_E_86_112</t>
  </si>
  <si>
    <t>P00655-0-S-1DE3_A_H_82_109</t>
  </si>
  <si>
    <t>P0A7Y4-0-S-2RN2_A_E_57_57</t>
  </si>
  <si>
    <t>P02185-0-S-1MBC_A_H_116_117</t>
  </si>
  <si>
    <t>P01053-0-S-2SNI_I_E_33_34</t>
  </si>
  <si>
    <t>P61823-0-S-1KF3_A_H_12_38</t>
  </si>
  <si>
    <t>P00644-I92D-dPHS-2OEO_A_D_92_174</t>
  </si>
  <si>
    <t>P13123-0-S-1AZP_A_E_47_47</t>
  </si>
  <si>
    <t>P61823-0-S-7RSA_A_H_12_38</t>
  </si>
  <si>
    <t>P13123-1-S-1BF4_A_E_12_12</t>
  </si>
  <si>
    <t>P26747-0-S-2M5S_A_H_305_305</t>
  </si>
  <si>
    <t>P0A7Y4-0-S-1GOA_A_E_6_6</t>
  </si>
  <si>
    <t>P02185-0-S-2MB5_A_H_119_120</t>
  </si>
  <si>
    <t>P06654-0-S-3GB1_A_E_42_268</t>
  </si>
  <si>
    <t>Q7SIE3-0-S-1QH7_A_H_11_11</t>
  </si>
  <si>
    <t>P13123-1-S-1BF4_A_E_60_62</t>
  </si>
  <si>
    <t>P02185-0-S-1DUK_A_H_119_120</t>
  </si>
  <si>
    <t>P06654-0-S-1PGB_A_E_56_282</t>
  </si>
  <si>
    <t>P0C6X7-0-S-2DUC_A_H_41_3281</t>
  </si>
  <si>
    <t>P06654-0-S-1IGC_A_E_61_352</t>
  </si>
  <si>
    <t>Q7SIE3-0-S-1H4G_A_H_60_60</t>
  </si>
  <si>
    <t>P61823-1-S-3RN3_A_E_111_137</t>
  </si>
  <si>
    <t>P08047-0-S-1VA3_A_H_611_700</t>
  </si>
  <si>
    <t>P19909-0-S-2QMT_A_E_19_320</t>
  </si>
  <si>
    <t>P00651-0-S-9RNT_A_H_27_53</t>
  </si>
  <si>
    <t>P39476-0-S-1BNZ_A_E_11_11</t>
  </si>
  <si>
    <t>P00651-0-S-1BVI_B_H_92_118</t>
  </si>
  <si>
    <t>P01053-0-S-2CI2_I_E_60_61</t>
  </si>
  <si>
    <t>P68082-0-S-1DWR_A_H_116_117</t>
  </si>
  <si>
    <t>P05798-1-S-1LNI_A_E_41_41</t>
  </si>
  <si>
    <t>P00651-0-S-1BVI_B_H_27_53</t>
  </si>
  <si>
    <t>P00648-0-S-1BNR_A_E_29_76</t>
  </si>
  <si>
    <t>P68871-0-S-4HHB_B_H_143_144</t>
  </si>
  <si>
    <t>P08921-0-S-1CDC_A_E_29_51</t>
  </si>
  <si>
    <t>P68082-0-S-1YMB_A_H_113_114</t>
  </si>
  <si>
    <t>P00644-V104D-dPHS-3P75_A_D_104_186</t>
  </si>
  <si>
    <t>P00698-0-S-2LZT_A_E_7_25</t>
  </si>
  <si>
    <t>P00004-0-S-3NBS_A_H_33_34</t>
  </si>
  <si>
    <t>P02633-0-S-3ICB_A_E_26_30</t>
  </si>
  <si>
    <t>P08047-0-S-1VA3_A_H_615_704</t>
  </si>
  <si>
    <t>P61823-0-S-9RAT_A_E_9_35</t>
  </si>
  <si>
    <t>P0ABQ4-0-S-5DFR_A_H_141_141</t>
  </si>
  <si>
    <t>P09850-T110D-S-Swiss_A_E_106_106</t>
  </si>
  <si>
    <t>Q90VW1-0-S-3EBX_A_H_6_27</t>
  </si>
  <si>
    <t>P00655-0-S-1DE3_A_H_92_119</t>
  </si>
  <si>
    <t>P0A7Y4-0-S-1GOA_A_E_64_64</t>
  </si>
  <si>
    <t>P02185-0-S-1DUK_A_H_113_114</t>
  </si>
  <si>
    <t>P00644-L25D-dPHS-4KY6_A_D_25_107</t>
  </si>
  <si>
    <t>P00648-0-S-1B2X_A_E_29_76</t>
  </si>
  <si>
    <t>P68871-0-S-4HHB_B_H_77_78</t>
  </si>
  <si>
    <t>Q54323-0-S-3FT7_B_E_27_27</t>
  </si>
  <si>
    <t>P00644-0-S-1STN_A_H_124_206</t>
  </si>
  <si>
    <t>P02185-0-S-1MBC_A_H_36_37</t>
  </si>
  <si>
    <t>P0A7Y4-0-S-1RNH_A_E_32_32</t>
  </si>
  <si>
    <t>P00720-2-S-1QT8_A_H_31_31</t>
  </si>
  <si>
    <t>P00644-L38K-dPHS-Swiss_A_D_89_95</t>
  </si>
  <si>
    <t>P62937-0-S-2CPL_A_H_92_92</t>
  </si>
  <si>
    <t>P00651-0-S-1BVI_B_E_82_108</t>
  </si>
  <si>
    <t>P00648-0-S-1B2X_A_H_18_65</t>
  </si>
  <si>
    <t>P68871-0-S-1HHO_B_H_146_147</t>
  </si>
  <si>
    <t>P00648-0-S-1BNJ_A_E_29_76</t>
  </si>
  <si>
    <t>P00703-0-S-1TEW_A_E_35_53</t>
  </si>
  <si>
    <t>P02185-0-S-4MBN_A_H_113_114</t>
  </si>
  <si>
    <t>P00655-0-S-1DE3_A_E_144_171</t>
  </si>
  <si>
    <t>P02185-0-S-4MBN_A_H_119_120</t>
  </si>
  <si>
    <t>P08921-0-S-1CDC_A_E_41_63</t>
  </si>
  <si>
    <t>P09382-0-S-1GZW_A_H_52_53</t>
  </si>
  <si>
    <t>P03069-1-S-1FMH_A_E_1_249</t>
  </si>
  <si>
    <t>P00766-0-S-1YPH_C_H_57_57</t>
  </si>
  <si>
    <t>P02640-0-S-1VII_A_E_45_795</t>
  </si>
  <si>
    <t>P14262-0-S-1PTD_A_H_32_63</t>
  </si>
  <si>
    <t>P10599-2-S-1ERT_A_E_70_70</t>
  </si>
  <si>
    <t>P00942-0-S-1YPI_A_H_103_103</t>
  </si>
  <si>
    <t>P00651-0-S-1RGA_A_E_28_54</t>
  </si>
  <si>
    <t>P00651-0-S-1I0V_A_H_40_66</t>
  </si>
  <si>
    <t>P00698-0-S-2LZT_A_E_35_53</t>
  </si>
  <si>
    <t>P0AA25-0-S-2TRX_A_H_6_7</t>
  </si>
  <si>
    <t>P05798-0-S-1RGG_A_H_85_85</t>
  </si>
  <si>
    <t>P09850-N63D-S-Swiss_A_E_200_200</t>
  </si>
  <si>
    <t>P0ABQ4-0-S-5DFR_A_H_124_124</t>
  </si>
  <si>
    <t>P09850-0-S-1BCX_A_E_78_106</t>
  </si>
  <si>
    <t>P68871-0-S-4HHB_B_H_2_3</t>
  </si>
  <si>
    <t>P13123-0-S-1SAP_A_E_62_62</t>
  </si>
  <si>
    <t>P00720-2-S-1QT8_A_H_26_26</t>
  </si>
  <si>
    <t>P01001-0-S-1BUS_A_E_9_32</t>
  </si>
  <si>
    <t>P0AA25-0-S-1XOB_A_H_6_7</t>
  </si>
  <si>
    <t>P13123-0-S-1AZP_A_E_12_12</t>
  </si>
  <si>
    <t>P68082-0-S-1YMB_A_H_116_117</t>
  </si>
  <si>
    <t>P61823-0-S-1KF3_A_E_86_112</t>
  </si>
  <si>
    <t>P00651-0-S-1YGW_A_H_92_118</t>
  </si>
  <si>
    <t>P04273-0-S-1B10_A_H_187_187</t>
  </si>
  <si>
    <t>P02633-0-S-1IGV_A_E_17_21</t>
  </si>
  <si>
    <t>P69905-0-S-1HHO_A_H_50_51</t>
  </si>
  <si>
    <t>P00655-0-S-1DE3_A_E_96_123</t>
  </si>
  <si>
    <t>Q7SIE3-0-S-1QH7_A_H_60_60</t>
  </si>
  <si>
    <t>P13123-0-S-1AZP_A_E_62_62</t>
  </si>
  <si>
    <t>P01006-0-S-3SSI_A_H_106_137</t>
  </si>
  <si>
    <t>P09850-Y88D-S-Swiss_A_E_200_200</t>
  </si>
  <si>
    <t>P08047-0-S-1VA3_A_H_619_708</t>
  </si>
  <si>
    <t>P61823-0-S-1RNZ_A_E_86_112</t>
  </si>
  <si>
    <t>P02185-0-S-1A6K_A_H_81_82</t>
  </si>
  <si>
    <t>P09850-2-S-3VZK_A_E_78_106</t>
  </si>
  <si>
    <t>P02185-0-S-1MBC_A_H_113_114</t>
  </si>
  <si>
    <t>P13123-0-S-1SAP_A_E_47_47</t>
  </si>
  <si>
    <t>P02185-0-S-1A6M_A_H_119_120</t>
  </si>
  <si>
    <t>P10599-2-S-1TRW_A_E_88_88</t>
  </si>
  <si>
    <t>P00648-0-S-1FW7_A_H_102_149</t>
  </si>
  <si>
    <t>P10599-2-S-1ERT_A_E_47_47</t>
  </si>
  <si>
    <t>P14262-0-S-1GYM_A_H_82_113</t>
  </si>
  <si>
    <t>Q7SIE3-0-S-1QH7_A_E_94_94</t>
  </si>
  <si>
    <t>P69905-0-S-3KMF_A_H_50_51</t>
  </si>
  <si>
    <t>P06654-0-S-1GB1_A_E_27_253</t>
  </si>
  <si>
    <t>P68082-0-S-1YMB_A_H_48_49</t>
  </si>
  <si>
    <t>P09850-3-S-3VZL_A_E_172_200</t>
  </si>
  <si>
    <t>P00648-0-S-1B2X_A_H_102_149</t>
  </si>
  <si>
    <t>P09850-Y88D-S-Swiss_A_E_106_106</t>
  </si>
  <si>
    <t>P11064-0-S-1DG9_A_H_72_73</t>
  </si>
  <si>
    <t>P02417-0-S-2HBB_A_E_48_48</t>
  </si>
  <si>
    <t>P0A7Y4-0-S-1RDD_A_H_62_62</t>
  </si>
  <si>
    <t>P61991-0-S-1SSO_A_E_11_12</t>
  </si>
  <si>
    <t>P02185-0-S-1A6M_A_H_116_117</t>
  </si>
  <si>
    <t>P10599-2-S-1TRW_A_E_70_70</t>
  </si>
  <si>
    <t>P14262-0-S-1PTD_A_H_227_258</t>
  </si>
  <si>
    <t>P01053-0-S-2CI2_I_E_23_24</t>
  </si>
  <si>
    <t>P06396-0-S-5H3M_A_H_92_146</t>
  </si>
  <si>
    <t>Q7SIE3-0-S-1H4G_A_E_17_17</t>
  </si>
  <si>
    <t>P02185-0-S-1A6K_A_H_36_37</t>
  </si>
  <si>
    <t>P13123-0-S-1SAP_A_E_12_12</t>
  </si>
  <si>
    <t>P00918-0-S-1A42_A_H_64_64</t>
  </si>
  <si>
    <t>P01001-0-S-2BUS_A_E_20_43</t>
  </si>
  <si>
    <t>P00644-F34D-dPHS-Swiss_A_D_34_116</t>
  </si>
  <si>
    <t>P00644-0-S-1STG_A_H_124_206</t>
  </si>
  <si>
    <t>P61823-0-S-7RSA_A_E_9_35</t>
  </si>
  <si>
    <t>P00648-0-S-1BNJ_A_H_102_149</t>
  </si>
  <si>
    <t>P00720-2-S-1QT8_A_E_108_108</t>
  </si>
  <si>
    <t>P00644-L37D-dPHS-Swiss_A_D_37_119</t>
  </si>
  <si>
    <t>P00720-1-S-1CX6_A_H_31_31</t>
  </si>
  <si>
    <t>P02633-0-S-1KQV_A_E_17_21</t>
  </si>
  <si>
    <t>P69905-0-S-1HHO_A_H_89_90</t>
  </si>
  <si>
    <t>P10599-1-S-1ERU_A_E_6_6</t>
  </si>
  <si>
    <t>P13123-0-S-1SAP_A_E_64_64</t>
  </si>
  <si>
    <t>P61823-0-S-9RAT_A_H_12_38</t>
  </si>
  <si>
    <t>P01053-0-S-2CI2_I_E_34_35</t>
  </si>
  <si>
    <t>P00760-1-S-2TGA_A_H_57_63</t>
  </si>
  <si>
    <t>P10599-2-S-1ERT_A_E_13_13</t>
  </si>
  <si>
    <t>P0A7Y4-0-S-2RN2_A_H_114_114</t>
  </si>
  <si>
    <t>P09850-R112G-S-Swiss_A_E_106_106</t>
  </si>
  <si>
    <t>P00720-2-S-1QT8_A_E_45_45</t>
  </si>
  <si>
    <t>P67954-0-S-2OVO_A_H_52_52</t>
  </si>
  <si>
    <t>P02633-0-S-2BCA_A_E_26_30</t>
  </si>
  <si>
    <t>P00004-0-S-1HRC_A_H_18_19</t>
  </si>
  <si>
    <t>P01001-0-S-1BUS_A_E_20_43</t>
  </si>
  <si>
    <t>P02185-0-S-1A6M_A_H_97_98</t>
  </si>
  <si>
    <t>P02633-0-S-3ICB_A_E_48_52</t>
  </si>
  <si>
    <t>P63239-0-S-1KN6_A_H_40_67</t>
  </si>
  <si>
    <t>P0A7Y4-0-S-1RNH_A_E_61_61</t>
  </si>
  <si>
    <t>P00655-0-S-1DE3_A_H_104_131</t>
  </si>
  <si>
    <t>P03069-1-S-1FMH_A_E_15_263</t>
  </si>
  <si>
    <t>P00644-0-S-1EY0_A_H_124_206</t>
  </si>
  <si>
    <t>P68390-0-S-1PPF_I_E_19_148</t>
  </si>
  <si>
    <t>P00782-0-S-1DUI_A_H_64_171</t>
  </si>
  <si>
    <t>Q54323-0-S-3FT7_B_E_20_20</t>
  </si>
  <si>
    <t>P68082-0-S-1DWR_A_H_113_114</t>
  </si>
  <si>
    <t>P00703-0-S-135L_A_E_7_25</t>
  </si>
  <si>
    <t>P69905-0-S-4HHB_A_H_50_51</t>
  </si>
  <si>
    <t>P00644-0-S-1STG_A_H_8_90</t>
  </si>
  <si>
    <t>P00720-1-S-1CX6_A_E_62_62</t>
  </si>
  <si>
    <t>P0ABQ4-0-S-5DFR_A_H_45_45</t>
  </si>
  <si>
    <t>P0A7Y4-0-S-1RNH_A_E_119_119</t>
  </si>
  <si>
    <t>P10599-1-S-1ERU_A_E_98_98</t>
  </si>
  <si>
    <t>P00782-0-S-1GNS_A_H_64_171</t>
  </si>
  <si>
    <t>P00760-1-S-2TGA_A_H_40_46</t>
  </si>
  <si>
    <t>P02633-0-S-4ICB_A_E_26_30</t>
  </si>
  <si>
    <t>P00648-0-S-1BNJ_A_H_18_65</t>
  </si>
  <si>
    <t>P03069-1-S-1FMH_A_E_20_268</t>
  </si>
  <si>
    <t>P02185-0-S-1DUK_A_H_81_82</t>
  </si>
  <si>
    <t>P02633-0-S-1KQV_A_E_4_8</t>
  </si>
  <si>
    <t>P00648-0-S-1A2P_A_H_18_65</t>
  </si>
  <si>
    <t>P02640-0-S-1YRF_A_E_45_795</t>
  </si>
  <si>
    <t>P61823-1-S-3RN3_A_H_48_74</t>
  </si>
  <si>
    <t>P0CG48-0-S-1UBQ_A_E_24_632</t>
  </si>
  <si>
    <t>P02185-0-S-1MBC_A_H_119_120</t>
  </si>
  <si>
    <t>P02633-0-S-1KSM_A_E_26_30</t>
  </si>
  <si>
    <t>P02185-0-S-2MB5_A_H_97_98</t>
  </si>
  <si>
    <t>P02185-0-S-1MBC_A_H_81_82</t>
  </si>
  <si>
    <t>P01068-0-S-1BI6_L_E_5_176</t>
  </si>
  <si>
    <t>P02185-0-S-1MBC_A_H_97_98</t>
  </si>
  <si>
    <t>P00651-0-S-9RNT_A_E_102_128</t>
  </si>
  <si>
    <t>B4UQM4-0-S-2KIX_A_H_19_19</t>
  </si>
  <si>
    <t>P61823-0-S-1RNZ_A_E_2_28</t>
  </si>
  <si>
    <t>P14262-0-S-1GYM_A_H_227_258</t>
  </si>
  <si>
    <t>P00644-Y91D-dPHS-5JAV_A_D_91_173</t>
  </si>
  <si>
    <t>P09850-A115E-S-Swiss_A_E_200_200</t>
  </si>
  <si>
    <t>P68082-0-S-1DWR_A_H_48_49</t>
  </si>
  <si>
    <t>P09850-3-S-3VZL_A_H_35_63</t>
  </si>
  <si>
    <t>P0A7Y4-0-S-1RDD_A_E_129_129</t>
  </si>
  <si>
    <t>P04905-0-S-6GST_A_H_84_85</t>
  </si>
  <si>
    <t>Q7SIE3-0-S-1H4G_A_E_167_167</t>
  </si>
  <si>
    <t>P09850-0-S-1XNB_A_H_156_184</t>
  </si>
  <si>
    <t>P19909-0-S-2QMT_A_E_42_343</t>
  </si>
  <si>
    <t>P68082-0-S-1WLA_A_H_48_49</t>
  </si>
  <si>
    <t>P06396-0-S-5H3M_A_E_65_119</t>
  </si>
  <si>
    <t>P67954-0-S-2OVO_A_E_10_10</t>
  </si>
  <si>
    <t>P02185-0-S-2MB5_A_H_116_117</t>
  </si>
  <si>
    <t>P61823-1-S-3RN3_A_H_119_145</t>
  </si>
  <si>
    <t>P0A7Y4-0-S-1RNH_A_E_6_6</t>
  </si>
  <si>
    <t>P00651-0-S-1I0V_A_H_92_118</t>
  </si>
  <si>
    <t>P06654-0-S-1PGB_A_E_15_241</t>
  </si>
  <si>
    <t>P0A7Y4-0-S-1RNH_A_H_127_127</t>
  </si>
  <si>
    <t>P56636-0-S-1M2C_A_H_9_57</t>
  </si>
  <si>
    <t>P02640-0-S-1VII_A_E_72_822</t>
  </si>
  <si>
    <t>P00651-0-S-1I0V_A_H_27_53</t>
  </si>
  <si>
    <t>P0A7Y4-0-S-1RNH_A_H_62_62</t>
  </si>
  <si>
    <t>P08921-0-S-1HNG_A_E_33_55</t>
  </si>
  <si>
    <t>P00644-0-S-1EY0_A_H_121_203</t>
  </si>
  <si>
    <t>P61823-0-S-1KF3_A_E_111_137</t>
  </si>
  <si>
    <t>P02185-0-S-1DUK_A_H_36_37</t>
  </si>
  <si>
    <t>1U2U-0-S-1U2U_A_E_6_6</t>
  </si>
  <si>
    <t>P14262-0-S-1PTD_A_H_82_113</t>
  </si>
  <si>
    <t>P00648-0-S-1FW7_A_E_29_76</t>
  </si>
  <si>
    <t>P00655-0-S-1DE3_A_H_150_177</t>
  </si>
  <si>
    <t>P13123-1-S-1BF4_A_E_36_36</t>
  </si>
  <si>
    <t>Q90VW1-0-S-1ERA_A_H_26_47</t>
  </si>
  <si>
    <t>P00655-0-S-1DE3_A_E_115_142</t>
  </si>
  <si>
    <t>P00644-0-S-1STN_A_H_121_203</t>
  </si>
  <si>
    <t>P10599-1-S-1TRS_A_E_70_70</t>
  </si>
  <si>
    <t>P00651-0-S-1BVI_B_H_40_66</t>
  </si>
  <si>
    <t>P0A7Y4-0-S-2RN2_A_E_32_32</t>
  </si>
  <si>
    <t>P0A7Y4-0-S-2RN2_A_H_62_62</t>
  </si>
  <si>
    <t>P00720-2-S-1QT8_A_E_22_22</t>
  </si>
  <si>
    <t>P11064-0-S-1Z12_A_H_72_73</t>
  </si>
  <si>
    <t>P00698-0-S-1LYS_A_E_35_53</t>
  </si>
  <si>
    <t>P00651-0-S-1YGW_A_H_40_66</t>
  </si>
  <si>
    <t>P0A7Y4-0-S-1RDD_A_E_147_147</t>
  </si>
  <si>
    <t>P61823-1-S-3RN3_A_H_105_131</t>
  </si>
  <si>
    <t>P06654-0-S-1IGD_A_E_29_320</t>
  </si>
  <si>
    <t>P00655-0-S-1DE3_A_H_35_62</t>
  </si>
  <si>
    <t>P06654-0-S-2IGH_A_E_20_311</t>
  </si>
  <si>
    <t>P00655-0-S-1DE3_A_H_36_63</t>
  </si>
  <si>
    <t>P67954-0-S-2OVO_A_E_19_19</t>
  </si>
  <si>
    <t>P00644-0-S-1STN_A_H_46_128</t>
  </si>
  <si>
    <t>P02633-0-S-1KQV_A_E_48_52</t>
  </si>
  <si>
    <t>P0A7Y4-0-S-2RN2_A_H_124_124</t>
  </si>
  <si>
    <t>P02751-0-S-1FNA_A_E_47_1584</t>
  </si>
  <si>
    <t>P68082-0-S-1WLA_A_H_119_120</t>
  </si>
  <si>
    <t>P08921-0-S-1CDC_A_E_99_121</t>
  </si>
  <si>
    <t>P02185-0-S-2MB5_A_H_81_82</t>
  </si>
  <si>
    <t>P13123-0-S-1SAP_A_E_14_14</t>
  </si>
  <si>
    <t>P09341-0-S-1MGS_A_H_19_53</t>
  </si>
  <si>
    <t>P08921-0-S-1CDC_A_E_33_55</t>
  </si>
  <si>
    <t>P00644-0-S-1STN_A_D_40_122</t>
  </si>
  <si>
    <t>P00004-0-S-3NBS_A_H_26_27</t>
  </si>
  <si>
    <t>P0A7Y4-0-S-1GOA_A_E_61_61</t>
  </si>
  <si>
    <t>P00651-0-S-1RGA_A_H_27_53</t>
  </si>
  <si>
    <t>P00698-0-S-4LZT_A_E_7_25</t>
  </si>
  <si>
    <t>Q7SIE3-0-S-1H4G_A_H_11_11</t>
  </si>
  <si>
    <t>P00648-0-S-1BNR_A_H_18_65</t>
  </si>
  <si>
    <t>P00651-0-S-1YGW_A_E_46_72</t>
  </si>
  <si>
    <t>P62937-0-S-2CPL_A_H_70_70</t>
  </si>
  <si>
    <t>P01050-0-S-1HIC_A_E_17_17</t>
  </si>
  <si>
    <t>P00698-0-S-2LZT_A_H_15_33</t>
  </si>
  <si>
    <t>P00644-G20D-dPHS-Swiss_A_D_20_102</t>
  </si>
  <si>
    <t>P02417-0-S-2HBA_A_E_38_38</t>
  </si>
  <si>
    <t>P11064-0-S-1DG9_A_H_66_67</t>
  </si>
  <si>
    <t>Q54323-0-S-3FT7_B_H_51_51</t>
  </si>
  <si>
    <t>P13123-0-S-1AZP_A_E_14_14</t>
  </si>
  <si>
    <t>P05798-1-S-1LNI_A_H_53_53</t>
  </si>
  <si>
    <t>P02633-0-S-1KSM_A_E_48_52</t>
  </si>
  <si>
    <t>P09382-0-S-1GZW_A_H_44_45</t>
  </si>
  <si>
    <t>P06654-0-S-1IGC_A_E_20_311</t>
  </si>
  <si>
    <t>P63239-0-S-1KN6_A_H_48_75</t>
  </si>
  <si>
    <t>P0A7Y4-0-S-2RN2_A_E_64_64</t>
  </si>
  <si>
    <t>P69905-0-S-4HHB_A_H_89_90</t>
  </si>
  <si>
    <t>P00698-0-S-1LSE_A_E_7_25</t>
  </si>
  <si>
    <t>P02185-0-S-1A6M_A_H_36_37</t>
  </si>
  <si>
    <t>P10599-1-S-1ERU_A_E_88_88</t>
  </si>
  <si>
    <t>P69905-0-S-3KMF_A_H_89_90</t>
  </si>
  <si>
    <t>P10599-1-S-1ERU_A_E_13_13</t>
  </si>
  <si>
    <t>Q90VW1-0-S-3EBX_A_H_26_47</t>
  </si>
  <si>
    <t>P13123-1-S-1BF4_A_E_54_53</t>
  </si>
  <si>
    <t>P00651-0-S-1RGA_A_H_92_118</t>
  </si>
  <si>
    <t>P02633-0-S-1IG5_A_E_26_30</t>
  </si>
  <si>
    <t>P68082-0-S-1DWR_A_H_36_37</t>
  </si>
  <si>
    <t>P00644-T41D-dPHS-Swiss_A_D_41_123</t>
  </si>
  <si>
    <t>P39476-0-S-1C8C_A_E_36_36</t>
  </si>
  <si>
    <t>Q72F37-2-S-2L6D_A_H_33_33</t>
  </si>
  <si>
    <t>P00648-0-S-1BNI_A_E_73_120</t>
  </si>
  <si>
    <t>P00644-V39D-dPHS-3SK5_A_D_39_121</t>
  </si>
  <si>
    <t>LYS</t>
  </si>
  <si>
    <t>P00698-0-S-2LZT_A_K_33_51</t>
  </si>
  <si>
    <t>P01053-0-S-2CI2_I_E_33_34</t>
  </si>
  <si>
    <t>P00644-L125D-dPHS-Swiss_A_D_119_207</t>
  </si>
  <si>
    <t>P00651-0-S-1BVI_B_E_58_84</t>
  </si>
  <si>
    <t>P02633-0-S-1KQV_A_K_1_5</t>
  </si>
  <si>
    <t>P0A7Y4-0-S-1RNH_A_E_129_129</t>
  </si>
  <si>
    <t>P00644-L103K-dPHS-3E5S_A_K_103_185</t>
  </si>
  <si>
    <t>P10599-1-S-1ERU_A_E_70_70</t>
  </si>
  <si>
    <t>P02649-0-S-1LE2_A_K_72_90</t>
  </si>
  <si>
    <t>1U2U-0-S-1U2U_A_E_13_13</t>
  </si>
  <si>
    <t>P02649-0-S-1NFN_A_K_146_164</t>
  </si>
  <si>
    <t>P06654-0-S-2GB1_A_E_15_241</t>
  </si>
  <si>
    <t>P02649-0-S-1GS9_A_K_72_90</t>
  </si>
  <si>
    <t>P06396-0-S-5H3M_A_E_11_65</t>
  </si>
  <si>
    <t>P67954-0-S-2OVO_A_K_13_13</t>
  </si>
  <si>
    <t>P39476-0-S-1C8C_A_E_54_54</t>
  </si>
  <si>
    <t>P00644-L36K-dPHS-3EJI_A_K_36_118</t>
  </si>
  <si>
    <t>P13123-0-S-1CA5_A_E_47_47</t>
  </si>
  <si>
    <t>P00974-0-S-1BHC_J_K_26_61</t>
  </si>
  <si>
    <t>P0AFG6-0-S-1W4H_A_E_164_147</t>
  </si>
  <si>
    <t>P15570-0-S-1BEO_A_K_94_114</t>
  </si>
  <si>
    <t>P00720-2-S-1QT8_A_E_5_5</t>
  </si>
  <si>
    <t>P03069-2-S-2ZTA_A_K_8_256</t>
  </si>
  <si>
    <t>P00651-0-S-1YGW_A_E_82_108</t>
  </si>
  <si>
    <t>P00644-L38K-dPHS-Swiss_A_D_21_21</t>
  </si>
  <si>
    <t>P00644-V99K-dPHS-4HMI_A_K_99_181</t>
  </si>
  <si>
    <t>AAEAA-0-S-AAEAA_A_E_3_3</t>
  </si>
  <si>
    <t>P00698-0-S-1LSE_A_K_97_115</t>
  </si>
  <si>
    <t>P61823-0-S-1KF3_A_E_2_28</t>
  </si>
  <si>
    <t>P39476-0-S-1BNZ_A_E_12_12</t>
  </si>
  <si>
    <t>P00698-0-S-2LZT_A_K_97_115</t>
  </si>
  <si>
    <t>P00644-V74D-dPHS-4KY7_A_D_74_156</t>
  </si>
  <si>
    <t>P00651-0-S-9RNT_A_E_82_108</t>
  </si>
  <si>
    <t>P02633-0-S-1IGV_A_E_26_30</t>
  </si>
  <si>
    <t>P02633-0-S-2BCA_A_K_7_11</t>
  </si>
  <si>
    <t>P0A7Y4-0-S-1GOA_A_E_48_48</t>
  </si>
  <si>
    <t>P02633-0-S-1IGV_A_K_16_20</t>
  </si>
  <si>
    <t>P02633-0-S-1IG5_A_E_48_52</t>
  </si>
  <si>
    <t>P00432-0-S-1TGU_A_K_476_477</t>
  </si>
  <si>
    <t>P13123-0-S-1CA5_A_E_14_14</t>
  </si>
  <si>
    <t>P02633-0-S-3ICB_A_K_55_59</t>
  </si>
  <si>
    <t>P06654-0-S-2GB1_A_E_19_245</t>
  </si>
  <si>
    <t>P00698-0-S-1LYS_A_K_33_51</t>
  </si>
  <si>
    <t>P06654-0-S-1IGD_A_E_20_311</t>
  </si>
  <si>
    <t>P00644-V23D-dPHS-4KY5_A_D_23_105</t>
  </si>
  <si>
    <t>P02633-0-S-1KSM_A_K_12_16</t>
  </si>
  <si>
    <t>P00651-0-S-1BVI_B_E_102_128</t>
  </si>
  <si>
    <t>P02633-0-S-3ICB_A_K_7_11</t>
  </si>
  <si>
    <t>P06654-0-S-2IGH_A_E_29_320</t>
  </si>
  <si>
    <t>P02633-0-S-1KSM_A_K_16_20</t>
  </si>
  <si>
    <t>P02633-0-S-4ICB_A_E_4_8</t>
  </si>
  <si>
    <t>P00432-0-S-1TGU_A_K_467_468</t>
  </si>
  <si>
    <t>P0A7Y4-0-S-1RDD_A_E_61_61</t>
  </si>
  <si>
    <t>P00644-N118K-dPHS-Swiss_A_K_112_200</t>
  </si>
  <si>
    <t>P00655-0-S-1DE3_A_E_31_58</t>
  </si>
  <si>
    <t>P00974-0-S-4PTI_A_K_15_50</t>
  </si>
  <si>
    <t>P03069-2-S-2ZTA_A_K_27_275</t>
  </si>
  <si>
    <t>1U2U-0-S-1U2U_A_E_1_1</t>
  </si>
  <si>
    <t>P67954-0-S-2OVO_A_K_29_29</t>
  </si>
  <si>
    <t>P01535-0-S-1ANS_A_E_20_20</t>
  </si>
  <si>
    <t>P06654-0-S-1IGD_A_K_24_315</t>
  </si>
  <si>
    <t>P09850-A115E-S-Swiss_A_E_106_106</t>
  </si>
  <si>
    <t>P15570-0-S-1BEO_A_K_61_81</t>
  </si>
  <si>
    <t>P13123-0-S-1AZP_A_E_11_11</t>
  </si>
  <si>
    <t>Q54323-0-S-3FT7_B_K_12_12</t>
  </si>
  <si>
    <t>P08921-0-S-1HNG_A_E_41_63</t>
  </si>
  <si>
    <t>P00644-V39K-dPHS-Swiss_A_K_39_121</t>
  </si>
  <si>
    <t>P02633-0-S-3ICB_A_E_4_8</t>
  </si>
  <si>
    <t>P00720-0-S-1L54_A_K_102_102</t>
  </si>
  <si>
    <t>P00974-2-S-1JV8_A_K_41_76</t>
  </si>
  <si>
    <t>Q7SIE3-0-S-1H4G_A_E_178_178</t>
  </si>
  <si>
    <t>P02633-0-S-1IG5_A_K_7_11</t>
  </si>
  <si>
    <t>P06654-0-S-2IGD_A_E_61_352</t>
  </si>
  <si>
    <t>P00644-T62K-PHS-3DMU_A_K_62_144</t>
  </si>
  <si>
    <t>P0AES9-0-S-1BG8_A_E_19_40</t>
  </si>
  <si>
    <t>P02633-0-S-4ICB_A_K_1_5</t>
  </si>
  <si>
    <t>P10599-2-S-1TRW_A_E_47_47</t>
  </si>
  <si>
    <t>P02633-0-S-4ICB_A_K_72_76</t>
  </si>
  <si>
    <t>1U2U-0-S-1U2U_A_E_8_8</t>
  </si>
  <si>
    <t>P00974-1-S-1BPI_A_K_15_50</t>
  </si>
  <si>
    <t>P10599-2-S-1TRW_A_E_103_103</t>
  </si>
  <si>
    <t>P00974-0-S-4PTI_A_K_26_61</t>
  </si>
  <si>
    <t>P0A7Y4-0-S-1RDD_A_E_64_64</t>
  </si>
  <si>
    <t>P68390-0-S-1PPF_I_K_55_184</t>
  </si>
  <si>
    <t>P00644-A58D-dPHS-5I6W_A_D_58_140</t>
  </si>
  <si>
    <t>P06654-0-S-1GB1_A_E_56_282</t>
  </si>
  <si>
    <t>P00644-V66K-S-2SNM_A_K_66_148</t>
  </si>
  <si>
    <t>P02417-0-S-1DIV_A_E_48_48</t>
  </si>
  <si>
    <t>P02649-0-S-1LE2_A_K_143_161</t>
  </si>
  <si>
    <t>P09850-T110D-S-Swiss_A_E_200_200</t>
  </si>
  <si>
    <t>P00004-0-S-1HRC_A_K_79_80</t>
  </si>
  <si>
    <t>P00644-N118D-dPHS-5KGU_A_D_118_200</t>
  </si>
  <si>
    <t>P02633-0-S-1IG5_A_K_41_45</t>
  </si>
  <si>
    <t>P01001-0-S-2BUS_A_E_9_32</t>
  </si>
  <si>
    <t>P02633-0-S-2BCA_A_K_41_45</t>
  </si>
  <si>
    <t>P06654-0-S-1IGD_A_E_61_352</t>
  </si>
  <si>
    <t>P02633-0-S-1KSM_A_K_72_76</t>
  </si>
  <si>
    <t>P0A7Y4-0-S-1RNH_A_E_147_147</t>
  </si>
  <si>
    <t>P06654-0-S-1PGA_A_K_28_254</t>
  </si>
  <si>
    <t>P00644-L38K-dPHS-Swiss_A_K_38_120</t>
  </si>
  <si>
    <t>P06654-0-S-2IGD_A_E_20_311</t>
  </si>
  <si>
    <t>P02649-0-S-1GS9_A_K_75_93</t>
  </si>
  <si>
    <t>P00974-0-S-4PTI_A_E_49_84</t>
  </si>
  <si>
    <t>P02633-0-S-4ICB_A_K_55_59</t>
  </si>
  <si>
    <t>P00698-0-S-4LZT_A_K_33_51</t>
  </si>
  <si>
    <t>P06654-0-S-1PGA_A_E_56_282</t>
  </si>
  <si>
    <t>P02633-0-S-1KSM_A_K_7_11</t>
  </si>
  <si>
    <t>P06654-0-S-1PGA_A_E_15_241</t>
  </si>
  <si>
    <t>P00644-I92K-dPHS-1TT2_A_K_92_174</t>
  </si>
  <si>
    <t>P06654-0-S-1GB1_A_K_28_254</t>
  </si>
  <si>
    <t>P06654-0-S-1GB1_A_E_15_241</t>
  </si>
  <si>
    <t>P02633-0-S-1KQV_A_K_55_59</t>
  </si>
  <si>
    <t>P00651-0-S-9RNT_A_E_58_84</t>
  </si>
  <si>
    <t>P67954-0-S-2OVO_A_K_34_34</t>
  </si>
  <si>
    <t>P02633-0-S-1IGV_A_E_48_52</t>
  </si>
  <si>
    <t>P02633-0-S-3ICB_A_K_1_5</t>
  </si>
  <si>
    <t>P03069-1-S-1FMH_A_E_13_261</t>
  </si>
  <si>
    <t>P02633-0-S-1IGV_A_K_55_59</t>
  </si>
  <si>
    <t>P13123-0-S-1CA5_A_E_64_64</t>
  </si>
  <si>
    <t>P02649-0-S-1NFN_A_K_75_93</t>
  </si>
  <si>
    <t>P03069-1-S-1FMH_A_E_8_256</t>
  </si>
  <si>
    <t>P02649-0-S-1GS9_A_K_146_164</t>
  </si>
  <si>
    <t>P00698-0-S-4LZT_A_E_35_53</t>
  </si>
  <si>
    <t>P00432-0-S-1TGU_A_K_236_237</t>
  </si>
  <si>
    <t>P10599-2-S-1ERT_A_E_88_88</t>
  </si>
  <si>
    <t>P02633-0-S-3ICB_A_K_41_45</t>
  </si>
  <si>
    <t>P09850-2-S-3VZK_A_E_172_200</t>
  </si>
  <si>
    <t>P02633-0-S-3ICB_A_K_12_16</t>
  </si>
  <si>
    <t>P09850-Q127H-S-Swiss_A_E_200_200</t>
  </si>
  <si>
    <t>Q9UGP5-0-S-1XSN_A_K_312_312</t>
  </si>
  <si>
    <t>P09850-Q7K-S-Swiss_A_E_200_200</t>
  </si>
  <si>
    <t>Q54323-0-S-3FT7_B_K_32_32</t>
  </si>
  <si>
    <t>P02633-0-S-1IG5_A_K_12_16</t>
  </si>
  <si>
    <t>P06654-0-S-1PGB_A_E_27_253</t>
  </si>
  <si>
    <t>P00644-V66K-dPHS-3HZX_A_K_66_148</t>
  </si>
  <si>
    <t>P09850-0-S-1HV1_A_E_78_106</t>
  </si>
  <si>
    <t>P00698-0-S-2LZT_A_K_1_19</t>
  </si>
  <si>
    <t>P00651-0-S-1I0V_A_E_102_128</t>
  </si>
  <si>
    <t>P02633-0-S-1KQV_A_K_7_11</t>
  </si>
  <si>
    <t>P39476-0-S-1BNZ_A_E_36_36</t>
  </si>
  <si>
    <t>P00432-0-S-1TGU_A_K_498_499</t>
  </si>
  <si>
    <t>P06654-0-S-2GB1_A_E_42_268</t>
  </si>
  <si>
    <t>P02649-0-S-1LE2_A_K_69_87</t>
  </si>
  <si>
    <t>P61991-0-S-1SSO_A_E_35_36</t>
  </si>
  <si>
    <t>P15570-0-S-1BEG_A_K_61_81</t>
  </si>
  <si>
    <t>P06654-0-S-3GB1_A_E_27_253</t>
  </si>
  <si>
    <t>P02633-0-S-1KSM_A_K_55_59</t>
  </si>
  <si>
    <t>P62375-0-S-1CVO_A_E_17_38</t>
  </si>
  <si>
    <t>P00644-L38K-dPHS-Swiss_A_D_40_40</t>
  </si>
  <si>
    <t>P68699-0-S-1A91_A_E_2_2</t>
  </si>
  <si>
    <t>P00698-0-S-2LZT_A_K_116_134</t>
  </si>
  <si>
    <t>P00974-2-S-1JV8_A_K_26_61</t>
  </si>
  <si>
    <t>P67954-0-S-2OVO_A_E_43_43</t>
  </si>
  <si>
    <t>P0A7Y4-0-S-1RDD_A_E_119_119</t>
  </si>
  <si>
    <t>P00974-1-S-1BPI_A_K_41_76</t>
  </si>
  <si>
    <t>P00432-0-S-1TGU_A_K_456_457</t>
  </si>
  <si>
    <t>P00651-0-S-1I0V_A_E_28_54</t>
  </si>
  <si>
    <t>P00698-0-S-1LYS_A_K_1_19</t>
  </si>
  <si>
    <t>1U2U-0-S-1U2U_A_E_27_27</t>
  </si>
  <si>
    <t>P00644-A58K-dPHS-Swiss_A_K_52_140</t>
  </si>
  <si>
    <t>P02633-0-S-3ICB_A_K_72_76</t>
  </si>
  <si>
    <t>P61823-0-S-1RNZ_A_E_49_75</t>
  </si>
  <si>
    <t>P67954-0-S-2OVO_A_K_55_55</t>
  </si>
  <si>
    <t>P00648-0-S-1FW7_A_E_60_107</t>
  </si>
  <si>
    <t>P02633-0-S-4ICB_A_K_12_16</t>
  </si>
  <si>
    <t>P03069-2-S-2ZTA_A_E_6_254</t>
  </si>
  <si>
    <t>P00644-K64GV66K-dPHS-Swiss_A_K_60_148</t>
  </si>
  <si>
    <t>P02633-0-S-1KQV_A_K_41_45</t>
  </si>
  <si>
    <t>P02633-0-S-1KSM_A_E_4_8</t>
  </si>
  <si>
    <t>Q54323-0-S-3FT7_B_K_45_45</t>
  </si>
  <si>
    <t>P61823-0-S-1KF3_A_E_9_35</t>
  </si>
  <si>
    <t>P02633-0-S-2BCA_A_K_1_5</t>
  </si>
  <si>
    <t>P0A7Y4-0-S-2RN2_A_E_48_48</t>
  </si>
  <si>
    <t>P02649-0-S-1LE2_A_K_75_93</t>
  </si>
  <si>
    <t>P02633-0-S-1IGV_A_K_72_76</t>
  </si>
  <si>
    <t>P61823-0-S-9RAT_A_E_49_75</t>
  </si>
  <si>
    <t>P00698-0-S-1LSE_A_K_1_19</t>
  </si>
  <si>
    <t>P09850-T67D-S-Swiss_A_E_106_106</t>
  </si>
  <si>
    <t>P02633-0-S-1KQV_A_K_25_29</t>
  </si>
  <si>
    <t>P61823-0-S-9RAT_A_E_2_28</t>
  </si>
  <si>
    <t>P01050-0-S-1HIC_A_E_8_8</t>
  </si>
  <si>
    <t>P02633-0-S-1KQV_A_K_16_20</t>
  </si>
  <si>
    <t>P61991-0-S-1SSO_A_E_47_48</t>
  </si>
  <si>
    <t>Q9UGP5-0-S-1NZP_A_K_312_312</t>
  </si>
  <si>
    <t>P61823-0-S-7RSA_A_E_111_137</t>
  </si>
  <si>
    <t>P00974-0-S-1D0D_B_K_26_61</t>
  </si>
  <si>
    <t>P06654-0-S-3GB1_A_E_19_245</t>
  </si>
  <si>
    <t>P02633-0-S-4ICB_A_K_25_29</t>
  </si>
  <si>
    <t>P02649-0-S-1GS9_A_K_157_175</t>
  </si>
  <si>
    <t>P61991-0-S-1SSO_A_E_53_54</t>
  </si>
  <si>
    <t>Q54323-0-S-3FT7_B_K_30_30</t>
  </si>
  <si>
    <t>P0A7Y4-0-S-1RNH_A_E_57_57</t>
  </si>
  <si>
    <t>P02649-0-S-1GS9_A_K_95_113</t>
  </si>
  <si>
    <t>Q7SIE3-0-S-1H4G_A_E_94_94</t>
  </si>
  <si>
    <t>P06654-0-S-1GB1_A_K_10_236</t>
  </si>
  <si>
    <t>P02649-0-S-1NFN_A_K_69_87</t>
  </si>
  <si>
    <t>P00648-0-S-1BNJ_A_E_73_120</t>
  </si>
  <si>
    <t>P06654-0-S-2GB1_A_K_28_254</t>
  </si>
  <si>
    <t>P10599-2-S-1ERT_A_E_6_6</t>
  </si>
  <si>
    <t>P00644-V99D-dPHS-4EQO_A_D_99_181</t>
  </si>
  <si>
    <t>P02633-0-S-1KQV_A_K_72_76</t>
  </si>
  <si>
    <t>1U2U-0-S-1U2U_A_E_29_29</t>
  </si>
  <si>
    <t>P02633-0-S-2BCA_A_K_16_20</t>
  </si>
  <si>
    <t>P00974-1-S-1BPI_A_E_49_84</t>
  </si>
  <si>
    <t>P00698-0-S-1LYS_A_K_116_134</t>
  </si>
  <si>
    <t>P0A7Y4-0-S-2RN2_A_E_131_131</t>
  </si>
  <si>
    <t>P15570-0-S-1BEG_A_K_94_114</t>
  </si>
  <si>
    <t>P00974-0-S-1BHC_J_K_15_50</t>
  </si>
  <si>
    <t>P19909-0-S-2QMT_A_E_15_316</t>
  </si>
  <si>
    <t>P02649-0-S-1LE2_A_K_157_175</t>
  </si>
  <si>
    <t>P13123-0-S-1CA5_A_E_53_53</t>
  </si>
  <si>
    <t>P00698-0-S-1LYS_A_K_97_115</t>
  </si>
  <si>
    <t>P02649-0-S-1NFN_A_K_157_175</t>
  </si>
  <si>
    <t>P06654-0-S-1PGB_A_E_42_268</t>
  </si>
  <si>
    <t>P02633-0-S-4ICB_A_K_7_11</t>
  </si>
  <si>
    <t>P06396-0-S-5H3M_A_E_129_183</t>
  </si>
  <si>
    <t>P09850-T111D-S-Swiss_A_E_200_200</t>
  </si>
  <si>
    <t>P00974-0-S-1D0D_B_K_15_50</t>
  </si>
  <si>
    <t>P00651-0-S-9RNT_A_E_28_54</t>
  </si>
  <si>
    <t>P00698-0-S-4LZT_A_K_1_19</t>
  </si>
  <si>
    <t>P03069-2-S-2ZTA_A_E_11_259</t>
  </si>
  <si>
    <t>P00644-I72K-dPHS-2RBM_A_K_72_154</t>
  </si>
  <si>
    <t>P0A7Y4-0-S-1RDD_A_E_57_57</t>
  </si>
  <si>
    <t>O31156-0-S-1FEZ_A_K_53_50</t>
  </si>
  <si>
    <t>P09850-0-S-1XNB_A_E_78_106</t>
  </si>
  <si>
    <t>P00509-0-S-1ARS_A_K_258_246</t>
  </si>
  <si>
    <t>P08047-0-S-1VA3_A_E_601_690</t>
  </si>
  <si>
    <t>P00432-0-S-1TGU_A_K_448_449</t>
  </si>
  <si>
    <t>P00655-0-S-1DE3_A_E_19_46</t>
  </si>
  <si>
    <t>P00644-A90K-dPHS-Swiss_A_K_84_172</t>
  </si>
  <si>
    <t>P00974-1-S-1BPI_A_K_46_81</t>
  </si>
  <si>
    <t>P09850-3-S-3VZL_A_E_78_106</t>
  </si>
  <si>
    <t>P03069-2-S-2ZTA_A_K_28_276</t>
  </si>
  <si>
    <t>P0CG48-0-S-1UBQ_A_E_51_659</t>
  </si>
  <si>
    <t>P02633-0-S-2BCA_A_K_55_59</t>
  </si>
  <si>
    <t>P00648-0-S-1BNR_A_E_60_107</t>
  </si>
  <si>
    <t>P02633-0-S-1IGV_A_K_7_11</t>
  </si>
  <si>
    <t>P02633-0-S-1KSM_A_K_25_29</t>
  </si>
  <si>
    <t>P00651-0-S-9RNT_A_E_46_72</t>
  </si>
  <si>
    <t>P02649-0-S-1LE2_A_K_95_113</t>
  </si>
  <si>
    <t>P00644-L103D-dPHS-5J22_A_D_103_185</t>
  </si>
  <si>
    <t>P00648-0-S-1BNI_A_E_60_107</t>
  </si>
  <si>
    <t>P01865-0-S-1AXT_H_K_93_5099</t>
  </si>
  <si>
    <t>P02640-0-S-1YRF_A_E_72_822</t>
  </si>
  <si>
    <t>P23670-0-S-3BH2_A_K_115_115</t>
  </si>
  <si>
    <t>AAKAA-0-S-AAKAA_A_K_3_3</t>
  </si>
  <si>
    <t>P0A7Y4-0-S-1RDD_A_E_48_48</t>
  </si>
  <si>
    <t>P00974-2-S-1JV8_A_K_15_50</t>
  </si>
  <si>
    <t>P01068-0-S-1BI6_H_E_24_211</t>
  </si>
  <si>
    <t>P06654-0-S-2IGH_A_K_24_315</t>
  </si>
  <si>
    <t>P09850-R73A-S-Swiss_A_E_106_106</t>
  </si>
  <si>
    <t>P02633-0-S-3ICB_A_K_16_20</t>
  </si>
  <si>
    <t>P06654-0-S-1IGC_A_E_29_320</t>
  </si>
  <si>
    <t>P00644-N100K-dPHS-Swiss_A_K_94_182</t>
  </si>
  <si>
    <t>P01050-0-S-1HIC_A_E_43_43</t>
  </si>
  <si>
    <t>P02649-0-S-1GS9_A_K_69_87</t>
  </si>
  <si>
    <t>P00720-2-S-1QT8_A_E_62_62</t>
  </si>
  <si>
    <t>P03069-1-S-1FMH_B_E_1_249</t>
  </si>
  <si>
    <t>P02633-0-S-1IGV_A_K_25_29</t>
  </si>
  <si>
    <t>P0A7Y4-0-S-1RDD_A_E_6_6</t>
  </si>
  <si>
    <t>P02633-0-S-3ICB_A_K_25_29</t>
  </si>
  <si>
    <t>P02633-0-S-1KSM_A_K_1_5</t>
  </si>
  <si>
    <t>P33517-0-S-1M56_A_E_286_286</t>
  </si>
  <si>
    <t>P00644-V23K-dPHS-3QOJ_A_K_23_105</t>
  </si>
  <si>
    <t>P00720-2-S-1QT8_A_E_128_128</t>
  </si>
  <si>
    <t>P03962-0-S-3GDK_A_K_93_93</t>
  </si>
  <si>
    <t>Q7SIE3-0-S-1QH7_A_E_17_17</t>
  </si>
  <si>
    <t>P02633-0-S-1IGV_A_K_1_5</t>
  </si>
  <si>
    <t>P0A7Y4-0-S-1RNH_A_E_64_64</t>
  </si>
  <si>
    <t>P02633-0-S-1IG5_A_K_16_20</t>
  </si>
  <si>
    <t>P08921-0-S-1CDC_A_E_56_78</t>
  </si>
  <si>
    <t>P01068-0-S-1BI6_H_E_1_188</t>
  </si>
  <si>
    <t>P06654-0-S-3GB1_A_E_56_282</t>
  </si>
  <si>
    <t>P19909-0-S-2QMT_A_K_28_329</t>
  </si>
  <si>
    <t>P0A7Y4-0-S-1RDD_A_E_32_32</t>
  </si>
  <si>
    <t>Q9L5C7-0-S-6MZ1_A_K_73_76</t>
  </si>
  <si>
    <t>P0AFG6-0-S-1W4H_A_E_141_124</t>
  </si>
  <si>
    <t>P0A7Y4-0-S-1RDD_A_E_131_131</t>
  </si>
  <si>
    <t>P02633-0-S-1IG5_A_K_55_59</t>
  </si>
  <si>
    <t>P0A7Y4-0-S-1GOA_A_E_129_129</t>
  </si>
  <si>
    <t>P00644-F34K-dPHS-Swiss_A_K_34_116</t>
  </si>
  <si>
    <t>P0A7Y4-0-S-2RN2_A_E_61_61</t>
  </si>
  <si>
    <t>P06654-0-S-3GB1_A_K_28_254</t>
  </si>
  <si>
    <t>P02751-0-S-1FNA_A_E_38_1575</t>
  </si>
  <si>
    <t>P00644-L37K-dPHS-Swiss_A_K_37_119</t>
  </si>
  <si>
    <t>P00974-2-S-1JV8_A_E_49_84</t>
  </si>
  <si>
    <t>P02633-0-S-1IG5_A_K_72_76</t>
  </si>
  <si>
    <t>P10599-1-S-1TRS_A_E_6_6</t>
  </si>
  <si>
    <t>Q7SIE3-0-S-1QH7_A_E_178_178</t>
  </si>
  <si>
    <t>P02633-0-S-4ICB_A_K_41_45</t>
  </si>
  <si>
    <t>P09850-S117D-S-Swiss_A_E_106_106</t>
  </si>
  <si>
    <t>P00644-V74K-dPHS-3RUZ_A_K_74_156</t>
  </si>
  <si>
    <t>P39476-0-S-1BNZ_A_E_48_48</t>
  </si>
  <si>
    <t>P00698-0-S-4LZT_A_K_97_115</t>
  </si>
  <si>
    <t>P10599-2-S-1TRW_A_E_6_6</t>
  </si>
  <si>
    <t>P02633-0-S-1IG5_A_K_25_29</t>
  </si>
  <si>
    <t>P02417-0-S-1DIV_A_E_17_17</t>
  </si>
  <si>
    <t>P02633-0-S-2BCA_A_K_12_16</t>
  </si>
  <si>
    <t>P02417-0-S-2HBB_A_E_17_17</t>
  </si>
  <si>
    <t>P02649-0-S-1NFN_A_K_143_161</t>
  </si>
  <si>
    <t>P00648-0-S-1B2X_A_E_60_107</t>
  </si>
  <si>
    <t>P02649-0-S-1NFN_A_K_72_90</t>
  </si>
  <si>
    <t>P03069-2-S-2ZTA_A_K_3_251</t>
  </si>
  <si>
    <t>1U2U-0-S-1U2U_A_E_20_20</t>
  </si>
  <si>
    <t>P00698-0-S-4LZT_A_K_116_134</t>
  </si>
  <si>
    <t>P02417-0-S-2HBA_A_E_48_48</t>
  </si>
  <si>
    <t>P00698-0-S-1LSE_A_K_116_134</t>
  </si>
  <si>
    <t>P08337-0-S-1MUT_A_K_39_39</t>
  </si>
  <si>
    <t>P27051-0-S-1GBG_A_E_109_138</t>
  </si>
  <si>
    <t>P02633-0-S-1IG5_A_K_1_5</t>
  </si>
  <si>
    <t>P61991-0-S-1SSO_A_E_10_11</t>
  </si>
  <si>
    <t>P00644-A109K-dPHS-Swiss_A_K_103_191</t>
  </si>
  <si>
    <t>P05798-0-S-1RGG_A_E_78_78</t>
  </si>
  <si>
    <t>P02649-0-S-1NFN_A_K_95_113</t>
  </si>
  <si>
    <t>P02633-0-S-1IGV_A_K_41_45</t>
  </si>
  <si>
    <t>P61823-0-S-7RSA_A_E_49_75</t>
  </si>
  <si>
    <t>P02633-0-S-1KSM_A_K_41_45</t>
  </si>
  <si>
    <t>P02633-0-S-4ICB_A_K_16_20</t>
  </si>
  <si>
    <t>P01053-0-S-2SNI_I_E_60_61</t>
  </si>
  <si>
    <t>P31072-0-S-1PGJ_A_K_185_186</t>
  </si>
  <si>
    <t>P00698-0-S-1LSE_A_K_33_51</t>
  </si>
  <si>
    <t>P02633-0-S-1IGV_A_E_4_8</t>
  </si>
  <si>
    <t>P06654-0-S-1PGB_A_K_28_254</t>
  </si>
  <si>
    <t>P01132-0-S-1EGF_A_E_24_1000</t>
  </si>
  <si>
    <t>P02633-0-S-1IGV_A_K_12_16</t>
  </si>
  <si>
    <t>P09850-G92D-S-Swiss_A_E_200_200</t>
  </si>
  <si>
    <t>P02649-0-S-1GS9_A_K_143_161</t>
  </si>
  <si>
    <t>P06654-0-S-1GB1_A_E_19_245</t>
  </si>
  <si>
    <t>P01132-0-S-3EGF_A_E_24_1000</t>
  </si>
  <si>
    <t>P00974-1-S-1BPI_A_K_26_61</t>
  </si>
  <si>
    <t>P01068-0-S-1BI6_H_E_2_189</t>
  </si>
  <si>
    <t>P02633-0-S-2BCA_A_K_72_76</t>
  </si>
  <si>
    <t>P03069-1-S-1FMH_A_E_29_277</t>
  </si>
  <si>
    <t>P02649-0-S-1LE2_A_K_146_164</t>
  </si>
  <si>
    <t>P00651-0-S-1I0V_A_E_82_108</t>
  </si>
  <si>
    <t>P03069-2-S-2ZTA_A_K_15_263</t>
  </si>
  <si>
    <t>P02633-0-S-1IG5_A_E_17_21</t>
  </si>
  <si>
    <t>P02633-0-S-1KQV_A_K_12_16</t>
  </si>
  <si>
    <t>P13123-1-S-1BF4_A_E_11_11</t>
  </si>
  <si>
    <t>P02185-0-S-4MBN_A_H_48_49</t>
  </si>
  <si>
    <t>P06654-0-S-2IGD_A_E_29_320</t>
  </si>
  <si>
    <t>B4UQM4-0-S-2KIX_A_H_27_27</t>
  </si>
  <si>
    <t>P03069-1-S-1FMH_A_E_22_270</t>
  </si>
  <si>
    <t>1U2U-0-S-1U2U_A_H_28_28</t>
  </si>
  <si>
    <t>P08921-0-S-1HNG_A_E_29_51</t>
  </si>
  <si>
    <t>P0A7Y4-0-S-1RNH_A_H_83_83</t>
  </si>
  <si>
    <t>P0A7Y4-0-S-1RNH_A_E_131_131</t>
  </si>
  <si>
    <t>P61823-0-S-3SRN_A_H_105_131</t>
  </si>
  <si>
    <t>P09850-T126D-S-Swiss_A_E_200_200</t>
  </si>
  <si>
    <t>P61823-0-S-7RSA_A_H_105_131</t>
  </si>
  <si>
    <t>P0A7Y4-0-S-2RN2_A_E_129_129</t>
  </si>
  <si>
    <t>P02185-0-S-1MBC_A_H_48_49</t>
  </si>
  <si>
    <t>P10599-1-S-1TRS_A_E_68_68</t>
  </si>
  <si>
    <t>P01053-0-S-2CI2_I_E_45_46</t>
  </si>
  <si>
    <t>P04905-0-S-6GST_A_H_83_84</t>
  </si>
  <si>
    <t>P06654-0-S-2GB1_A_E_56_282</t>
  </si>
  <si>
    <t>P02185-0-S-1A6M_A_H_24_25</t>
  </si>
  <si>
    <t>P61823-0-S-1KF3_A_H_105_131</t>
  </si>
  <si>
    <t>P13123-0-S-1SAP_A_E_53_53</t>
  </si>
  <si>
    <t>P00787-0-S-1THE_A_H_111_190</t>
  </si>
  <si>
    <t>P09850-S117D-S-Swiss_A_E_200_200</t>
  </si>
  <si>
    <t>P62942-0-S-1FKS_A_H_87_88</t>
  </si>
  <si>
    <t>P13123-1-S-1BF4_A_E_48_47</t>
  </si>
  <si>
    <t>P02185-0-S-2MB5_A_H_48_49</t>
  </si>
  <si>
    <t>P02417-0-S-2HBB_A_E_38_38</t>
  </si>
  <si>
    <t>P00787-0-S-1THE_A_H_199_278</t>
  </si>
  <si>
    <t>P0CG48-0-S-1UBQ_A_E_64_672</t>
  </si>
  <si>
    <t>P00644-L38K-dPHS-Swiss_A_E_123_129</t>
  </si>
  <si>
    <t>P69905-0-S-1HHO_A_H_72_73</t>
  </si>
  <si>
    <t>P10599-1-S-1TRS_A_E_47_47</t>
  </si>
  <si>
    <t>P02185-0-S-1A6K_A_H_48_49</t>
  </si>
  <si>
    <t>P61823-0-S-1RNZ_A_H_105_131</t>
  </si>
  <si>
    <t>P03069-2-S-2ZTA_A_E_10_258</t>
  </si>
  <si>
    <t>P61823-0-S-9RAT_A_H_105_131</t>
  </si>
  <si>
    <t>P00651-0-S-1RGA_A_E_58_84</t>
  </si>
  <si>
    <t>P06396-0-S-5H3M_A_H_59_113</t>
  </si>
  <si>
    <t>P00644-A90E-dPHS-5I6Y_A_E_90_172</t>
  </si>
  <si>
    <t>P10599-2-S-1ERT_A_E_95_95</t>
  </si>
  <si>
    <t>P0A7Y4-0-S-1GOA_A_H_83_83</t>
  </si>
  <si>
    <t>P06396-0-S-5H3M_A_H_2_56</t>
  </si>
  <si>
    <t>P68699-0-S-1A91_A_E_37_37</t>
  </si>
  <si>
    <t>Q54450-0-S-1B2V_A_H_128_128</t>
  </si>
  <si>
    <t>P0A7Y4-0-S-1GOA_A_E_57_57</t>
  </si>
  <si>
    <t>P0A7Y4-0-S-2RN2_A_H_83_83</t>
  </si>
  <si>
    <t>P10599-2-S-1TRW_A_E_95_95</t>
  </si>
  <si>
    <t>P69905-0-S-4HHB_A_H_72_73</t>
  </si>
  <si>
    <t>1U2U-0-S-1U2U_A_E_15_15</t>
  </si>
  <si>
    <t>Q54323-0-S-3FT7_B_H_22_22</t>
  </si>
  <si>
    <t>P00655-0-S-1DE3_A_E_140_167</t>
  </si>
  <si>
    <t>P62375-0-S-1KXI_A_H_4_25</t>
  </si>
  <si>
    <t>P02185-0-S-1A6M_A_H_48_49</t>
  </si>
  <si>
    <t>P09850-R73A-S-Swiss_A_E_200_200</t>
  </si>
  <si>
    <t>P02185-0-S-1A6K_A_H_24_25</t>
  </si>
  <si>
    <t>P05798-1-S-1LNI_A_E_78_78</t>
  </si>
  <si>
    <t>P00644-K64AV66K-dPHS-Swiss_A_K_60_148</t>
  </si>
  <si>
    <t>P10599-2-S-1TRW_A_E_13_13</t>
  </si>
  <si>
    <t>P00432-0-S-1TGU_A_K_22_23</t>
  </si>
  <si>
    <t>P0CG48-0-S-1UBQ_A_E_34_642</t>
  </si>
  <si>
    <t>P02633-0-S-4ICB_A_K_71_75</t>
  </si>
  <si>
    <t>P05798-1-S-1LNI_A_E_54_54</t>
  </si>
  <si>
    <t>P02633-0-S-3ICB_A_K_71_75</t>
  </si>
  <si>
    <t>P00648-0-S-1BNJ_A_E_60_107</t>
  </si>
  <si>
    <t>P00974-0-S-1D0D_B_K_46_81</t>
  </si>
  <si>
    <t>P02417-0-S-1DIV_A_E_38_38</t>
  </si>
  <si>
    <t>P00644-V66KE67G-dPHS-Swiss_A_K_60_148</t>
  </si>
  <si>
    <t>P00651-0-S-1YGW_A_E_102_128</t>
  </si>
  <si>
    <t>P02633-0-S-2BCA_A_K_71_75</t>
  </si>
  <si>
    <t>P13123-0-S-1AZP_A_E_64_64</t>
  </si>
  <si>
    <t>P00644-A132K-dPHS-Swiss_A_K_126_214</t>
  </si>
  <si>
    <t>P68390-0-S-1PPF_I_K_29_158</t>
  </si>
  <si>
    <t>P00974-1-S-1BPI_A_E_7_42</t>
  </si>
  <si>
    <t>P00698-0-S-1LSE_A_K_96_114</t>
  </si>
  <si>
    <t>P00644-0-S-1STN_A_E_75_157</t>
  </si>
  <si>
    <t>P01132-0-S-1EPH_A_E_51_1027</t>
  </si>
  <si>
    <t>P00974-0-S-4PTI_A_K_46_81</t>
  </si>
  <si>
    <t>P00648-0-S-1BNR_A_E_73_120</t>
  </si>
  <si>
    <t>P02633-0-S-1KQV_A_K_71_75</t>
  </si>
  <si>
    <t>P13123-0-S-1CA5_A_E_12_12</t>
  </si>
  <si>
    <t>P02633-0-S-1IG5_A_K_71_75</t>
  </si>
  <si>
    <t>P39476-0-S-1BNZ_A_E_54_54</t>
  </si>
  <si>
    <t>P02633-0-S-1KSM_A_K_71_75</t>
  </si>
  <si>
    <t>P00644-V104K-dPHS-3C1F_A_K_104_186</t>
  </si>
  <si>
    <t>P00720-2-S-1QT8_A_E_11_11</t>
  </si>
  <si>
    <t>P68390-0-S-1PPF_I_K_34_163</t>
  </si>
  <si>
    <t>P00651-0-S-1I0V_A_E_58_84</t>
  </si>
  <si>
    <t>P00698-0-S-1LYS_A_K_96_114</t>
  </si>
  <si>
    <t>P00644-I72E-dPHS-3ERO_A_E_72_154</t>
  </si>
  <si>
    <t>P00644-T41K-dPHS-Swiss_A_K_41_123</t>
  </si>
  <si>
    <t>P0A7Y4-0-S-1GOA_A_E_32_32</t>
  </si>
  <si>
    <t>P02633-0-S-1IGV_A_K_71_75</t>
  </si>
  <si>
    <t>P10599-1-S-1ERU_A_E_47_47</t>
  </si>
  <si>
    <t>P00974-0-S-1BHC_J_K_46_81</t>
  </si>
  <si>
    <t>P00698-0-S-4LZT_A_K_96_114</t>
  </si>
  <si>
    <t>P06654-0-S-3GB1_A_E_15_241</t>
  </si>
  <si>
    <t>P0A7Y4-0-S-1GOA_A_E_131_131</t>
  </si>
  <si>
    <t>P00698-0-S-2LZT_A_K_96_114</t>
  </si>
  <si>
    <t>P00974-0-S-1BHC_J_E_49_84</t>
  </si>
  <si>
    <t>Q54450-0-S-1B2V_A_H_32_32</t>
  </si>
  <si>
    <t>P02633-0-S-3ICB_A_E_17_21</t>
  </si>
  <si>
    <t>P69905-0-S-4HHB_A_H_20_21</t>
  </si>
  <si>
    <t>P31072-0-S-1PGJ_A_E_192_193</t>
  </si>
  <si>
    <t>P61823-0-S-1RNZ_A_H_119_145</t>
  </si>
  <si>
    <t>P00282-0-S-2XV2_A_H_115_135</t>
  </si>
  <si>
    <t>P61823-1-S-3RN3_A_E_49_75</t>
  </si>
  <si>
    <t>Q7SIE3-0-S-1H4G_A_H_32_32</t>
  </si>
  <si>
    <t>P0CG48-0-S-1UBQ_A_E_18_626</t>
  </si>
  <si>
    <t>P68390-0-S-1PPF_I_H_52_181</t>
  </si>
  <si>
    <t>P61991-0-S-1SSO_A_E_59_60</t>
  </si>
  <si>
    <t>P0ABQ4-0-S-5DFR_A_H_114_114</t>
  </si>
  <si>
    <t>P06654-0-S-1PGB_A_E_19_245</t>
  </si>
  <si>
    <t>P05798-0-S-1RGG_A_H_53_53</t>
  </si>
  <si>
    <t>P61823-0-S-3SRN_B_H_119_145</t>
  </si>
  <si>
    <t>P10599-2-S-1ERT_A_E_103_103</t>
  </si>
  <si>
    <t>P06396-0-S-5H3M_A_H_124_178</t>
  </si>
  <si>
    <t>P00282-0-S-2XV0_A_H_115_135</t>
  </si>
  <si>
    <t>P61823-0-S-1KF3_A_E_49_75</t>
  </si>
  <si>
    <t>P02185-0-S-1A6M_A_H_12_13</t>
  </si>
  <si>
    <t>P00651-0-S-1YGW_A_E_58_84</t>
  </si>
  <si>
    <t>P02185-0-S-1MBC_A_H_12_13</t>
  </si>
  <si>
    <t>P05798-0-S-1RGG_A_E_54_54</t>
  </si>
  <si>
    <t>P61823-0-S-9RAT_A_H_119_145</t>
  </si>
  <si>
    <t>P08921-0-S-1HNG_A_E_99_121</t>
  </si>
  <si>
    <t>P61823-0-S-7RSA_A_H_119_145</t>
  </si>
  <si>
    <t>P63239-0-S-1KN6_A_H_45_72</t>
  </si>
  <si>
    <t>P62375-0-S-1KXI_A_E_17_38</t>
  </si>
  <si>
    <t>P69905-0-S-1HHO_A_H_20_21</t>
  </si>
  <si>
    <t>P0A7Y4-0-S-1GOA_A_E_147_147</t>
  </si>
  <si>
    <t>P01132-0-S-1EPI_A_H_22_998</t>
  </si>
  <si>
    <t>P00651-0-S-1BVI_B_E_28_54</t>
  </si>
  <si>
    <t>P01132-0-S-3EGF_A_H_22_998</t>
  </si>
  <si>
    <t>P69905-0-S-3KMF_A_H_20_21</t>
  </si>
  <si>
    <t>P02417-0-S-2HBA_A_E_17_17</t>
  </si>
  <si>
    <t>P63239-0-S-1KN6_A_H_58_85</t>
  </si>
  <si>
    <t>P68390-0-S-1PPF_I_E_43_172</t>
  </si>
  <si>
    <t>P61823-0-S-1KF3_A_H_119_145</t>
  </si>
  <si>
    <t>P01132-0-S-1EPG_A_E_24_1000</t>
  </si>
  <si>
    <t>P02185-0-S-4MBN_A_H_12_13</t>
  </si>
  <si>
    <t>P01132-0-S-1EPH_A_H_22_998</t>
  </si>
  <si>
    <t>P02633-0-S-4ICB_A_E_48_52</t>
  </si>
  <si>
    <t>P02185-0-S-1A6K_A_H_12_13</t>
  </si>
  <si>
    <t>P10599-2-S-1ERT_A_E_68_68</t>
  </si>
  <si>
    <t>P01006-0-S-3SSI_A_H_43_74</t>
  </si>
  <si>
    <t>P02417-0-S-1DIV_A_E_54_54</t>
  </si>
  <si>
    <t>P02185-0-S-2MB5_A_H_12_13</t>
  </si>
  <si>
    <t>P09850-Q7K-S-Swiss_A_E_106_106</t>
  </si>
  <si>
    <t>Q7SIE3-0-S-1QH7_A_H_32_32</t>
  </si>
  <si>
    <t>P06654-0-S-1GB1_A_E_42_268</t>
  </si>
  <si>
    <t>P02633-0-S-2BCA_A_K_29_33</t>
  </si>
  <si>
    <t>P0CG48-0-S-1UBQ_A_E_16_624</t>
  </si>
  <si>
    <t>P00974-0-S-1D0D_B_K_41_76</t>
  </si>
  <si>
    <t>P13123-0-S-1CA5_A_E_11_11</t>
  </si>
  <si>
    <t>P00698-0-S-1LYS_A_K_13_31</t>
  </si>
  <si>
    <t>P06654-0-S-2GB1_A_E_27_253</t>
  </si>
  <si>
    <t>P00644-V66KE67A-dPHS-Swiss_A_K_60_148</t>
  </si>
  <si>
    <t>P09850-T67D-S-Swiss_A_E_200_200</t>
  </si>
  <si>
    <t>P00698-0-S-4LZT_A_K_13_31</t>
  </si>
  <si>
    <t>P39476-0-S-1BNZ_A_E_60_60</t>
  </si>
  <si>
    <t>P00644-Y91K-dPHS-Swiss_A_K_85_173</t>
  </si>
  <si>
    <t>P02633-0-S-1KSM_A_K_29_33</t>
  </si>
  <si>
    <t>P61823-1-S-3RN3_A_E_86_112</t>
  </si>
  <si>
    <t>P00974-2-S-1JV8_A_K_46_81</t>
  </si>
  <si>
    <t>P06654-0-S-2IGH_A_E_61_352</t>
  </si>
  <si>
    <t>P02633-0-S-1IG5_A_K_29_33</t>
  </si>
  <si>
    <t>P10599-1-S-1TRS_A_E_98_98</t>
  </si>
  <si>
    <t>P02633-0-S-1KQV_A_K_29_33</t>
  </si>
  <si>
    <t>P39476-0-S-1C8C_A_E_12_12</t>
  </si>
  <si>
    <t>P02633-0-S-4ICB_A_K_29_33</t>
  </si>
  <si>
    <t>P0A7Y4-0-S-1GOA_A_E_119_119</t>
  </si>
  <si>
    <t>P68390-0-S-1PPF_I_K_13_142</t>
  </si>
  <si>
    <t>P00648-0-S-1BNI_A_E_29_76</t>
  </si>
  <si>
    <t>P00698-0-S-1LSE_A_K_13_31</t>
  </si>
  <si>
    <t>P05798-1-S-1LNI_A_E_74_74</t>
  </si>
  <si>
    <t>P00644-G20K-dPHS-Swiss_A_K_20_102</t>
  </si>
  <si>
    <t>P02633-0-S-1IG5_A_E_4_8</t>
  </si>
  <si>
    <t>P13123-0-S-1SAP_A_E_11_11</t>
  </si>
  <si>
    <t>P00698-0-S-2LZT_A_K_13_31</t>
  </si>
  <si>
    <t>P00703-0-S-1TEW_A_E_7_25</t>
  </si>
  <si>
    <t>1U2U-0-S-1U2U_A_E_22_22</t>
  </si>
  <si>
    <t>P02633-0-S-1IGV_A_K_29_33</t>
  </si>
  <si>
    <t>P61823-0-S-9RAT_A_E_111_137</t>
  </si>
  <si>
    <t>P00974-0-S-1BHC_J_K_41_76</t>
  </si>
  <si>
    <t>P00644-0-S-1STN_A_E_135_217</t>
  </si>
  <si>
    <t>P00651-0-S-1I0V_A_E_46_72</t>
  </si>
  <si>
    <t>P00974-0-S-4PTI_A_K_41_76</t>
  </si>
  <si>
    <t>P02633-0-S-1KSM_A_E_17_21</t>
  </si>
  <si>
    <t>P02633-0-S-3ICB_A_K_29_33</t>
  </si>
  <si>
    <t>P10599-1-S-1ERU_A_E_68_68</t>
  </si>
  <si>
    <t>G9BY57-ICCG-S-SEQ_A_H_242_242</t>
  </si>
  <si>
    <t>G9BY57-ICCG-S-SEQ_A_H_218_218</t>
  </si>
  <si>
    <t>P09850-R112G-S-Swiss_A_E_200_200</t>
  </si>
  <si>
    <t>G9BY57-ICCG-S-SEQ_A_H_191_191</t>
  </si>
  <si>
    <t>P09850-N63D-S-Swiss_A_E_106_106</t>
  </si>
  <si>
    <t>G9BY57-ICCG-S-SEQ_A_H_291_291</t>
  </si>
  <si>
    <t>P00644-V66K-PHS-Swiss_A_K_60_148</t>
  </si>
  <si>
    <t>P00648-0-S-1FW7_A_E_73_120</t>
  </si>
  <si>
    <t>G9BY57-ICCG-S-SEQ_A_H_112_112</t>
  </si>
  <si>
    <t>G9BY57-ICCG1-S-SEQ_A_H_242_242</t>
  </si>
  <si>
    <t>P00974-0-S-1D0D_B_E_49_84</t>
  </si>
  <si>
    <t>G9BY57-ICCG1-S-SEQ_A_H_218_218</t>
  </si>
  <si>
    <t>P02633-0-S-1KQV_A_E_26_30</t>
  </si>
  <si>
    <t>G9BY57-ICCG1-S-SEQ_A_H_191_191</t>
  </si>
  <si>
    <t>P01132-0-S-1EPI_A_E_24_1000</t>
  </si>
  <si>
    <t>P00644-0-S-1STN_A_E_101_183</t>
  </si>
  <si>
    <t>G9BY57-ICCG1-S-SEQ_A_H_291_291</t>
  </si>
  <si>
    <t>P01053-0-S-2CI2_I_E_26_27</t>
  </si>
  <si>
    <t>P02633-0-S-4ICB_A_E_17_21</t>
  </si>
  <si>
    <t>G9BY57-ICCG1-S-SEQ_A_H_112_112</t>
  </si>
  <si>
    <t>P00720-1-S-1CX6_A_E_11_11</t>
  </si>
  <si>
    <t>P00590-0-S-SEQ_A_H_188_204</t>
  </si>
  <si>
    <t>P10599-2-S-1TRW_A_E_68_68</t>
  </si>
  <si>
    <t>P09850-0-S-SEQ_A_H_149_177</t>
  </si>
  <si>
    <t>P13123-0-S-1AZP_A_E_53_53</t>
  </si>
  <si>
    <t>P09850-0-S-SEQ_A_H_156_184</t>
  </si>
  <si>
    <t>P01053-0-S-2SNI_I_E_45_46</t>
  </si>
  <si>
    <t>P53634-0-S-SEQ_A_H_381_405</t>
  </si>
  <si>
    <t>P06654-0-S-1PGA_A_E_19_245</t>
  </si>
  <si>
    <t>P62942-0-S-SEQ_A_H_94_95</t>
  </si>
  <si>
    <t>P00778-0-S-SEQ_A_H_57_235</t>
  </si>
  <si>
    <t>P10605-0-S-SEQ_A_H_199_278</t>
  </si>
  <si>
    <t>P00784-0-S-SEQ_A_H_159_292</t>
  </si>
  <si>
    <t>P62937-0-S-SEQ_A_H_70_70</t>
  </si>
  <si>
    <t>P62937-0-S-SEQ_A_H_126_126</t>
  </si>
  <si>
    <t>P62942-0-S-SEQ_A_H_25_26</t>
  </si>
  <si>
    <t>P62937-0-S-SEQ_A_H_54_54</t>
  </si>
  <si>
    <t>P62937-0-S-SEQ_A_H_92_92</t>
  </si>
  <si>
    <t>P00644-L38KE122Q-PHS-Swiss_A_K_38_120</t>
  </si>
  <si>
    <t>P00644-L38KE122A-PHS-Swiss_A_K_38_120</t>
  </si>
  <si>
    <t>P00644-0-dPHS-Swiss_A_H_8_90</t>
  </si>
  <si>
    <t>P00644-0-dPHS-Swiss_A_H_121_197</t>
  </si>
  <si>
    <t>P00644-E122Q-dPHS-Swiss_A_H_8_90</t>
  </si>
  <si>
    <t>P00644-E122Q-dPHS-Swiss_A_H_121_197</t>
  </si>
  <si>
    <t>P00644-L38K-dPHS-Swiss_A_H_8_90</t>
  </si>
  <si>
    <t>P00644-L38K-dPHS-Swiss_A_H_121_197</t>
  </si>
  <si>
    <t>P00644-Y91E-dPHS-3D4D_A_E_91_173</t>
  </si>
  <si>
    <t>P00644-L38E-dPHS-Swiss_A_H_8_90</t>
  </si>
  <si>
    <t>P00644-L38E-dPHS-Swiss_A_H_121_197</t>
  </si>
  <si>
    <t>P00644-L38EE122Q-dPHS-Swiss_A_H_8_90</t>
  </si>
  <si>
    <t>P00644-L38EE122Q-dPHS-Swiss_A_H_121_197</t>
  </si>
  <si>
    <t>P00644-L38D-dPHS-Swiss_A_H_8_90</t>
  </si>
  <si>
    <t>P00644-L38D-dPHS-Swiss_A_H_121_197</t>
  </si>
  <si>
    <t>P00644-L38DE122Q-dPHS-Swiss_A_H_8_90</t>
  </si>
  <si>
    <t>P00644-L38DE122Q-dPHS-Swiss_A_H_121_197</t>
  </si>
  <si>
    <t>P00644-0-PHS-Swiss_A_H_8_90</t>
  </si>
  <si>
    <t>P00644-0-PHS-Swiss_A_H_46_128</t>
  </si>
  <si>
    <t>P00644-0-PHS-Swiss_A_H_121_203</t>
  </si>
  <si>
    <t>P00644-V66K-PHS-Swiss_A_H_8_90</t>
  </si>
  <si>
    <t>P00644-V66K-PHS-Swiss_A_H_46_128</t>
  </si>
  <si>
    <t>P00644-V66K-PHS-Swiss_A_H_121_203</t>
  </si>
  <si>
    <t>P00644-V66K-dPHS-Swiss_A_H_8_90</t>
  </si>
  <si>
    <t>P00644-L125E-dPHS-Swiss_A_E_119_207</t>
  </si>
  <si>
    <t>P00644-V66K-dPHS-Swiss_A_H_121_197</t>
  </si>
  <si>
    <t>P00644-V66KK64A-dPHS-Swiss_A_K_66_142</t>
  </si>
  <si>
    <t>P00644-V66KK64G-dPHS-Swiss_A_K_66_142</t>
  </si>
  <si>
    <t>P00644-V39E-dPHS-Swiss_A_E_39_121</t>
  </si>
  <si>
    <t>P00644-V66KE67A-dPHS-Swiss_A_K_66_142</t>
  </si>
  <si>
    <t>P00644-V66KE67G-dPHS-Swiss_A_K_66_142</t>
  </si>
  <si>
    <t>P00644-V23E-dPHS-Swiss_A_E_23_105</t>
  </si>
  <si>
    <t>P00644-L25K-dPHS-Swiss_A_K_25_107</t>
  </si>
  <si>
    <t>P00644-L125K-dPHS-Swiss_A_K_125_201</t>
  </si>
  <si>
    <t>P00644-K64GV66KE67G-dPHS-Swiss_A_K_66_142</t>
  </si>
  <si>
    <t>P00644-L38K-dPHS-Swiss_A_E_51_57</t>
  </si>
  <si>
    <t>P00644-I92E-dPHS-5KIX_A_E_92_174</t>
  </si>
  <si>
    <t>P00644-0-S-1STN_A_E_129_211</t>
  </si>
  <si>
    <t>P00644-T41E-dPHS-Swiss_A_E_41_123</t>
  </si>
  <si>
    <t>P00644-L38K-dPHS-Swiss_A_E_61_67</t>
  </si>
  <si>
    <t>P00644-N118E-dPHS-Swiss_A_E_112_200</t>
  </si>
  <si>
    <t>P00644-F34E-dPHS-Swiss_A_E_34_116</t>
  </si>
  <si>
    <t>P00644-L38K-dPHS-Swiss_A_E_67_73</t>
  </si>
  <si>
    <t>P00644-L38K-dPHS-Swiss_A_E_46_52</t>
  </si>
  <si>
    <t>P00644-L38K-dPHS-Swiss_A_E_43_43</t>
  </si>
  <si>
    <t>P00644-L38K-dPHS-Swiss_A_E_116_122</t>
  </si>
  <si>
    <t>P00644-N100E-dPHS-Swiss_A_E_94_182</t>
  </si>
  <si>
    <t>P00644-L36E-dPHS-3TP8_A_E_36_118</t>
  </si>
  <si>
    <t>P00644-L38K-dPHS-Swiss_A_E_129_135</t>
  </si>
  <si>
    <t>P00644-V66E-PHS-1U9R_A_E_66_148</t>
  </si>
  <si>
    <t>P00644-0-S-1STN_A_E_67_149</t>
  </si>
  <si>
    <t>P00644-T62E-dPHS-6EEG_A_E_62_144</t>
  </si>
  <si>
    <t>P00644-V99E-dPHS-3TP7_A_E_99_181</t>
  </si>
  <si>
    <t>P00644-A109E-dPHS-4YIJ_A_E_109_191</t>
  </si>
  <si>
    <t>P00644-A132E-dPHS-Swiss_A_E_126_214</t>
  </si>
  <si>
    <t>P00644-V74E-dPHS-Swiss_A_E_68_156</t>
  </si>
  <si>
    <t>P00644-0-S-1STN_A_E_73_155</t>
  </si>
  <si>
    <t>P00644-0-S-1STN_A_E_43_125</t>
  </si>
  <si>
    <t>P00644-0-S-1STN_A_E_10_92</t>
  </si>
  <si>
    <t>P00644-V66E-dPHS-5EGT_A_E_66_148</t>
  </si>
  <si>
    <t>aug_PDB_ID</t>
  </si>
  <si>
    <t>aug_ID</t>
  </si>
  <si>
    <t>pkad_PDB_ID</t>
  </si>
  <si>
    <t>pkad_ID</t>
  </si>
  <si>
    <t>cossim</t>
  </si>
  <si>
    <t>aug_Uniprot_ID</t>
  </si>
  <si>
    <t>aug_Uni_resid</t>
  </si>
  <si>
    <t>percent_identity</t>
  </si>
  <si>
    <t>local_percent_identity</t>
  </si>
  <si>
    <t>4QQ7</t>
  </si>
  <si>
    <t>B4E6Q3-0-S-4QQ7_B_C_10_10</t>
  </si>
  <si>
    <t>1FOV</t>
  </si>
  <si>
    <t>P0AC62-0-S-1FOV_A_C_11_12</t>
  </si>
  <si>
    <t>B4E6Q3</t>
  </si>
  <si>
    <t>3GKX</t>
  </si>
  <si>
    <t>Q5L9Z8-0-S-3GKX_B_C_11_11</t>
  </si>
  <si>
    <t>Q5L9Z8</t>
  </si>
  <si>
    <t>4YAP</t>
  </si>
  <si>
    <t>G2IN94-0-S-4YAP_A_C_15_15</t>
  </si>
  <si>
    <t>CYS</t>
  </si>
  <si>
    <t>G2IN94</t>
  </si>
  <si>
    <t>Q99497-0-S-1P5F_A_C_106_106</t>
  </si>
  <si>
    <t>4HOJ</t>
  </si>
  <si>
    <t>O33374-0-S-4HOJ_A_C_10_10</t>
  </si>
  <si>
    <t>O33374</t>
  </si>
  <si>
    <t>Q99497-0-S-1J42_A_C_106_106</t>
  </si>
  <si>
    <t>5CAX</t>
  </si>
  <si>
    <t>P00644-L38K-dPHS-Swiss_A_E_10_10</t>
  </si>
  <si>
    <t>Q8TQ93-0-S-5CAX_A_C_30_30</t>
  </si>
  <si>
    <t>P06732-0-S-1I0E_A_C_283_283</t>
  </si>
  <si>
    <t>Q8TQ93</t>
  </si>
  <si>
    <t>3IC4</t>
  </si>
  <si>
    <t>O28736-0-S-3IC4_A_C_12_12</t>
  </si>
  <si>
    <t>P52490-0-S-1JBB_A_C_87_87</t>
  </si>
  <si>
    <t>O28736</t>
  </si>
  <si>
    <t>P0AEG4-0-S-1A2L_A_C_30_49</t>
  </si>
  <si>
    <t>3RDW</t>
  </si>
  <si>
    <t>A0A5P8YJ13-0-S-3RDW_A_C_12_12</t>
  </si>
  <si>
    <t>A0A5P8YJ13</t>
  </si>
  <si>
    <t>AACAA-0-S-AACAA_A_C_3_3</t>
  </si>
  <si>
    <t>3GFK</t>
  </si>
  <si>
    <t>O31602-0-S-3GFK_A_C_10_10</t>
  </si>
  <si>
    <t>2PPT-0-S-2PPT_A_C_73_73</t>
  </si>
  <si>
    <t>O31602</t>
  </si>
  <si>
    <t>1TTZ</t>
  </si>
  <si>
    <t>Q8P6W3-0-S-1TTZ_A_C_11_11</t>
  </si>
  <si>
    <t>P0AEG4-0-S-1DSB_A_C_30_49</t>
  </si>
  <si>
    <t>Q8P6W3</t>
  </si>
  <si>
    <t>4MJE</t>
  </si>
  <si>
    <t>P73492-0-S-4MJE_A_C_26_15</t>
  </si>
  <si>
    <t>Q13557-0-S-6AYW_A_C_273_273</t>
  </si>
  <si>
    <t>P73492</t>
  </si>
  <si>
    <t>P80028-0-S-6Q46_A_C_39_40</t>
  </si>
  <si>
    <t>P52270-0-S-1SUX_A_C_15_15</t>
  </si>
  <si>
    <t>P30041-0-S-5B6M_A_C_47_47</t>
  </si>
  <si>
    <t>P0AEG4-2-S-1ACV_A_C_30_49</t>
  </si>
  <si>
    <t>P10599-2-S-1ERT_A_C_32_32</t>
  </si>
  <si>
    <t>P02768-1-S-1AO6_A_C_34_58</t>
  </si>
  <si>
    <t>P16455-0-S-1EH6_A_C_145_145</t>
  </si>
  <si>
    <t>P00784-0-S-1PPN_A_C_25_158</t>
  </si>
  <si>
    <t>P02768-0-S-1N5U_A_C_34_58</t>
  </si>
  <si>
    <t>P63146-0-S-1JAS_A_C_88_88</t>
  </si>
  <si>
    <t>P0A006-0-S-1LJL_A_C_89_89</t>
  </si>
  <si>
    <t>P0A006-0-S-1LJL_A_C_10_10</t>
  </si>
  <si>
    <t>P0AA25-0-S-1XOB_A_C_32_33</t>
  </si>
  <si>
    <t>P00392-0-S-2KT2_A_C_11_11</t>
  </si>
  <si>
    <t>P00392-0-S-2KT2_A_C_14_14</t>
  </si>
  <si>
    <t>P0A251-0-S-4MA9_A_C_46_47</t>
  </si>
  <si>
    <t>P09211-0-S-5X79_A_C_48_48</t>
  </si>
  <si>
    <t>Q72F37-2-S-2L6D_A_C_34_34</t>
  </si>
  <si>
    <t>P08047-0-S-1VA3_A_C_602_691</t>
  </si>
  <si>
    <t>P80028-0-S-6Q46_A_C_36_37</t>
  </si>
  <si>
    <t>O00244-0-S-1TL4_A_C_12_12</t>
  </si>
  <si>
    <t>P0AEG4-0-S-1A2M_A_C_30_49</t>
  </si>
  <si>
    <t>P01009-0-S-1QLP_A_C_232_256</t>
  </si>
  <si>
    <t>O31687-0-S-3ERW_A_C_68_68</t>
  </si>
  <si>
    <t>Q9SL42-0-S-1J6Y_A_C_70_69</t>
  </si>
  <si>
    <t>P12309-0-S-1KTE_A_C_22_23</t>
  </si>
  <si>
    <t>P07237-0-S-1MEK_A_C_36_53</t>
  </si>
  <si>
    <t>P0AEG4-1-S-1AC1_A_C_30_49</t>
  </si>
  <si>
    <t>O00762-0-S-1I7K_A_C_102_102</t>
  </si>
  <si>
    <t>P0A0K6-0-S-2O89_A_C_29_29</t>
  </si>
  <si>
    <t>3FZ9-0-S-3FZ9_A_C_29_29</t>
  </si>
  <si>
    <t>Q13557-0-S-6AYW_A_C_290_290</t>
  </si>
  <si>
    <t>P10056-0-S-1PPO_A_C_25_157</t>
  </si>
  <si>
    <t>P00533-0-S-3VJO_A_C_797_797</t>
  </si>
  <si>
    <t>P0AEG4-0-S-1A2J_A_C_30_49</t>
  </si>
  <si>
    <t>P09211-0-S-5X79_A_C_170_170</t>
  </si>
  <si>
    <t>3FZ9-0-S-3FZ9_A_C_87_87</t>
  </si>
  <si>
    <t>P0AA25-0-S-2TRX_A_C_32_33</t>
  </si>
  <si>
    <t>P04789-0-S-6TIM_A_C_14_14</t>
  </si>
  <si>
    <t>P08047-0-S-1VA3_A_C_599_688</t>
  </si>
  <si>
    <t>P0C6X7-0-S-2DUC_A_C_145_3385</t>
  </si>
  <si>
    <t>P18031-0-S-2HNP_A_C_215_215</t>
  </si>
  <si>
    <t>P35160-0-S-1SU9_A_C_76_77</t>
  </si>
  <si>
    <t>O31687-0-S-3ERW_A_C_65_65</t>
  </si>
  <si>
    <t>P09211-0-S-5X79_A_C_102_102</t>
  </si>
  <si>
    <t>TYR</t>
  </si>
  <si>
    <t>P01535-0-S-1ANS_A_Y_18_18</t>
  </si>
  <si>
    <t>P00004-0-S-1HRC_A_Y_67_68</t>
  </si>
  <si>
    <t>Q54323-0-S-3FT7_B_Y_16_16</t>
  </si>
  <si>
    <t>P67954-0-S-2OVO_A_Y_20_20</t>
  </si>
  <si>
    <t>P00974-0-S-4PTI_A_Y_23_58</t>
  </si>
  <si>
    <t>P00974-1-S-1BPI_A_Y_10_45</t>
  </si>
  <si>
    <t>P02185-0-S-1MBC_A_Y_103_104</t>
  </si>
  <si>
    <t>P02185-0-S-2MB5_A_Y_103_104</t>
  </si>
  <si>
    <t>P00698-0-S-2LZT_A_Y_23_41</t>
  </si>
  <si>
    <t>P15570-0-S-1BEG_A_Y_85_105</t>
  </si>
  <si>
    <t>P67954-0-S-2OVO_A_Y_31_31</t>
  </si>
  <si>
    <t>P68390-0-S-1PPF_I_Y_11_140</t>
  </si>
  <si>
    <t>P15570-0-S-1BEO_A_Y_12_32</t>
  </si>
  <si>
    <t>P00974-2-S-1JV8_A_Y_35_70</t>
  </si>
  <si>
    <t>P02185-0-S-1MBC_A_Y_151_152</t>
  </si>
  <si>
    <t>P15570-0-S-1BEO_A_Y_85_105</t>
  </si>
  <si>
    <t>P00918-0-S-1A42_A_Y_7_7</t>
  </si>
  <si>
    <t>AAYAA-0-S-AAYAA_A_Y_3_3</t>
  </si>
  <si>
    <t>P00974-1-S-1BPI_A_Y_35_70</t>
  </si>
  <si>
    <t>P00698-0-S-2LZT_A_Y_53_71</t>
  </si>
  <si>
    <t>P00974-1-S-1BPI_A_Y_23_58</t>
  </si>
  <si>
    <t>P00974-0-S-4PTI_A_Y_10_45</t>
  </si>
  <si>
    <t>P01535-0-S-1ANS_A_Y_7_7</t>
  </si>
  <si>
    <t>P00974-0-S-4PTI_A_Y_21_56</t>
  </si>
  <si>
    <t>P00974-2-S-1JV8_A_Y_23_58</t>
  </si>
  <si>
    <t>No GAINES</t>
  </si>
  <si>
    <t>Duplication</t>
  </si>
  <si>
    <t>[0.2-0.4]</t>
  </si>
  <si>
    <t>P68390-0-S-1PPF_I_Y_20_149</t>
  </si>
  <si>
    <t>[0.4-0.6]</t>
  </si>
  <si>
    <t>[0.6-0.8]</t>
  </si>
  <si>
    <t>[0.8-1.0]</t>
  </si>
  <si>
    <t>P03069-2-S-2ZTA_A_Y_17_265</t>
  </si>
  <si>
    <t>P9WJN3-0-S-1Q74_A_Y_142_142</t>
  </si>
  <si>
    <t>P02185-0-S-2MB5_A_Y_151_152</t>
  </si>
  <si>
    <t>P06654-0-S-1GB1_A_Y_33_259</t>
  </si>
  <si>
    <t>P05798-0-S-1RGG_A_Y_30_30</t>
  </si>
  <si>
    <t>P00974-1-S-1BPI_A_Y_21_56</t>
  </si>
  <si>
    <t>P0AES9-0-S-1BG8_A_D_47_68</t>
  </si>
  <si>
    <t>P02633-0-S-1KQV_A_D_47_51</t>
  </si>
  <si>
    <t>P00644-T62D-dPHS-5IIF_A_D_62_144</t>
  </si>
  <si>
    <t>P26747-0-S-2M5S_A_D_246_246</t>
  </si>
  <si>
    <t>P00644-N100D-dPHS-5DEH_A_D_100_182</t>
  </si>
  <si>
    <t>P03367-0-S-1HPX_A_D_29_529</t>
  </si>
  <si>
    <t>P01053-0-S-2CI2_I_D_74_75</t>
  </si>
  <si>
    <t>P03367-0-S-3FX5_B_D_129_529</t>
  </si>
  <si>
    <t>P02633-0-S-1IG5_A_D_47_51</t>
  </si>
  <si>
    <t>P00698-0-S-1LSE_A_D_119_137</t>
  </si>
  <si>
    <t>P0AFG6-0-S-1W4H_A_D_145_128</t>
  </si>
  <si>
    <t>P10599-2-S-1TRW_A_D_58_58</t>
  </si>
  <si>
    <t>P02751-0-S-1FNA_A_D_67_1604</t>
  </si>
  <si>
    <t>P00644-A90D-dPHS-5J1Z_A_D_90_172</t>
  </si>
  <si>
    <t>P13123-0-S-1CA5_A_D_16_16</t>
  </si>
  <si>
    <t>P06654-0-S-2IGD_A_D_51_342</t>
  </si>
  <si>
    <t>P00720-2-S-1QT8_A_D_47_47</t>
  </si>
  <si>
    <t>P00720-1-S-1CX6_A_D_72_72</t>
  </si>
  <si>
    <t>P05798-1-S-1LNI_A_D_33_33</t>
  </si>
  <si>
    <t>P00698-0-S-1LYS_A_D_119_137</t>
  </si>
  <si>
    <t>Q6J4G7-A178S-S-Swiss_A_D_98_98</t>
  </si>
  <si>
    <t>P00698-0-S-4LZT_A_D_119_137</t>
  </si>
  <si>
    <t>P10599-2-S-1ERT_A_D_58_58</t>
  </si>
  <si>
    <t>P00648-0-S-1A2P_A_D_54_101</t>
  </si>
  <si>
    <t>P02633-0-S-3ICB_A_D_47_51</t>
  </si>
  <si>
    <t>P06654-0-S-2IGH_A_D_51_342</t>
  </si>
  <si>
    <t>P02633-0-S-1IGV_A_D_47_51</t>
  </si>
  <si>
    <t>P61823-1-S-3RN3_A_D_53_79</t>
  </si>
  <si>
    <t>P0CG48-0-S-1UBQ_A_D_32_640</t>
  </si>
  <si>
    <t>P06654-0-S-1IGD_A_D_51_342</t>
  </si>
  <si>
    <t>P01053-0-S-2SNI_I_D_74_75</t>
  </si>
  <si>
    <t>P13123-0-S-1AZP_A_D_16_16</t>
  </si>
  <si>
    <t>P03367-0-S-3FX5_A_D_29_529</t>
  </si>
  <si>
    <t>P02633-0-S-1KSM_A_D_47_51</t>
  </si>
  <si>
    <t>P00720-2-S-1QT8_A_D_92_92</t>
  </si>
  <si>
    <t>P00698-0-S-2LZT_A_D_119_137</t>
  </si>
  <si>
    <t>P13123-0-S-1SAP_A_D_16_16</t>
  </si>
  <si>
    <t>P09850-0-S-1XNB_A_D_83_111</t>
  </si>
  <si>
    <t>A0A0H2VG78-0-S-4LDS_A_D_22_22</t>
  </si>
  <si>
    <t>AADAA-0-S-AADAA_A_D_3_3</t>
  </si>
  <si>
    <t>P31224-0-S-1IWG_A_D_408_408</t>
  </si>
  <si>
    <t>P02633-0-S-4ICB_A_D_47_51</t>
  </si>
  <si>
    <t>P61991-0-S-1SSO_A_D_34_35</t>
  </si>
  <si>
    <t>P06654-0-S-1IGC_A_D_51_342</t>
  </si>
  <si>
    <t>P26747-0-S-2M5S_A_E_323_323</t>
  </si>
  <si>
    <t>P00651-0-S-1I0V_A_E_31_57</t>
  </si>
  <si>
    <t>P09850-0-S-1HV1_A_E_172_200</t>
  </si>
  <si>
    <t>P05798-0-S-1RGG_A_E_14_14</t>
  </si>
  <si>
    <t>P00651-0-S-1BVI_B_E_31_57</t>
  </si>
  <si>
    <t>P00651-0-S-1YGW_A_E_31_57</t>
  </si>
  <si>
    <t>P09850-Y174D-S-Swiss_A_E_106_106</t>
  </si>
  <si>
    <t>Q54323-0-S-3FT7_B_E_31_31</t>
  </si>
  <si>
    <t>P10599-1-S-1TRS_A_E_95_95</t>
  </si>
  <si>
    <t>P10599-1-S-1ERU_A_E_95_95</t>
  </si>
  <si>
    <t>P02633-0-S-3ICB_A_E_11_15</t>
  </si>
  <si>
    <t>P09850-Q7E-S-Swiss_A_E_106_106</t>
  </si>
  <si>
    <t>P09850-0-S-1XNB_A_E_172_200</t>
  </si>
  <si>
    <t>P61823-1-S-3RN3_A_E_2_28</t>
  </si>
  <si>
    <t>P02633-0-S-3ICB_A_E_64_68</t>
  </si>
  <si>
    <t>Q7SIE3-0-S-1H4G_A_E_126_126</t>
  </si>
  <si>
    <t>P02633-0-S-1IGV_A_E_11_15</t>
  </si>
  <si>
    <t>P09850-R112E-S-Swiss_A_E_200_200</t>
  </si>
  <si>
    <t>P02633-0-S-1KSM_A_E_11_15</t>
  </si>
  <si>
    <t>P00644-A58E-dPHS-Swiss_A_E_52_140</t>
  </si>
  <si>
    <t>P09850-G92D-S-Swiss_A_E_106_106</t>
  </si>
  <si>
    <t>P02633-0-S-1IGV_A_E_64_68</t>
  </si>
  <si>
    <t>P02633-0-S-1KQV_A_E_11_15</t>
  </si>
  <si>
    <t>P09850-T126D-S-Swiss_A_E_106_106</t>
  </si>
  <si>
    <t>Q7SIE3-0-S-1QH7_A_E_126_126</t>
  </si>
  <si>
    <t>P01050-0-S-1HIC_A_E_35_35</t>
  </si>
  <si>
    <t>P02633-0-S-1IG5_A_E_64_68</t>
  </si>
  <si>
    <t>P00644-0-S-1STN_A_E_122_204</t>
  </si>
  <si>
    <t>P03069-1-S-1FMH_A_E_6_254</t>
  </si>
  <si>
    <t>P02633-0-S-1KQV_A_E_64_68</t>
  </si>
  <si>
    <t>P02633-0-S-4ICB_A_E_64_68</t>
  </si>
  <si>
    <t>P00651-0-S-9RNT_A_E_31_57</t>
  </si>
  <si>
    <t>P00974-0-S-1BHC_J_E_7_42</t>
  </si>
  <si>
    <t>P02633-0-S-1IG5_A_E_11_15</t>
  </si>
  <si>
    <t>P00974-0-S-4PTI_A_E_7_42</t>
  </si>
  <si>
    <t>P00644-0-S-1STN_A_E_57_139</t>
  </si>
  <si>
    <t>P03069-1-S-1FMH_A_E_27_275</t>
  </si>
  <si>
    <t>P05798-0-S-1RGG_A_E_41_41</t>
  </si>
  <si>
    <t>P02633-0-S-4ICB_A_E_11_15</t>
  </si>
  <si>
    <t>P00720-2-S-1QT8_A_E_64_64</t>
  </si>
  <si>
    <t>P02633-0-S-1KSM_A_E_64_68</t>
  </si>
  <si>
    <t>P09850-0-S-1HV0_A_E_172_200</t>
  </si>
  <si>
    <t>P00644-V104E-dPHS-3H6M_A_E_104_186</t>
  </si>
  <si>
    <t>P00974-0-S-1D0D_B_E_7_42</t>
  </si>
  <si>
    <t>P0AES9-0-S-1BG8_A_E_81_102</t>
  </si>
  <si>
    <t>P00644-L38E-dPHS-Swiss_A_E_38_120</t>
  </si>
  <si>
    <t>P09850-Q127H-S-Swiss_A_E_106_106</t>
  </si>
  <si>
    <t>Q72F37-2-S-2L6D_A_C_31_31</t>
  </si>
  <si>
    <t>P15273-0-S-1YPT_A_C_403_403</t>
  </si>
  <si>
    <t>P09211-0-S-5X79_A_C_15_15</t>
  </si>
  <si>
    <t>P0AGF2-0-S-1NI7_A_C_61_61</t>
  </si>
  <si>
    <t>P67954-0-S-2OVO_A_Y_11_11</t>
  </si>
  <si>
    <t>P00974-0-S-4PTI_A_Y_35_70</t>
  </si>
  <si>
    <t>No_OB</t>
  </si>
  <si>
    <t>P00698-0-S-2LZT_A_Y_20_38</t>
  </si>
  <si>
    <t>With_OB</t>
  </si>
  <si>
    <t>P00974-2-S-1JV8_A_Y_21_56</t>
  </si>
  <si>
    <t>Expt</t>
  </si>
  <si>
    <t>P61823-0-S-1RNZ_A_D_121_147</t>
  </si>
  <si>
    <t>P00766-1-S-1EX3_A_D_194_194</t>
  </si>
  <si>
    <t>P10599-1-S-1ERU_A_D_20_20</t>
  </si>
  <si>
    <t>P06654-0-S-1PGB_A_D_47_273</t>
  </si>
  <si>
    <t>P00648-0-S-1B2X_A_D_75_122</t>
  </si>
  <si>
    <t>P0A7Y4-0-S-1RNH_A_D_108_108</t>
  </si>
  <si>
    <t>P61823-0-S-7RSA_A_D_121_147</t>
  </si>
  <si>
    <t>P10599-1-S-1TRS_A_D_20_20</t>
  </si>
  <si>
    <t>P05798-0-S-1RGG_A_D_17_17</t>
  </si>
  <si>
    <t>P00648-0-S-1BNI_A_D_75_122</t>
  </si>
  <si>
    <t>P10599-2-S-1TRW_A_D_20_20</t>
  </si>
  <si>
    <t>P06654-0-S-3GB1_A_D_47_273</t>
  </si>
  <si>
    <t>P05798-0-S-1RGG_A_D_33_33</t>
  </si>
  <si>
    <t>P02417-0-S-2HBA_A_D_8_8</t>
  </si>
  <si>
    <t>P06654-0-S-2GB1_A_D_47_273</t>
  </si>
  <si>
    <t>P00720-1-S-1CX6_A_D_47_47</t>
  </si>
  <si>
    <t>P0A7Y4-0-S-1GOA_A_D_108_108</t>
  </si>
  <si>
    <t>P61823-0-S-9RAT_A_D_121_147</t>
  </si>
  <si>
    <t>P61823-0-S-1KF3_A_D_121_147</t>
  </si>
  <si>
    <t>P00644-L38D-dPHS-Swiss_A_D_38_120</t>
  </si>
  <si>
    <t>P61823-1-S-3RN3_A_D_83_109</t>
  </si>
  <si>
    <t>Q7SIE3-0-S-1H4G_A_D_15_15</t>
  </si>
  <si>
    <t>P00703-0-S-1TEW_A_D_87_105</t>
  </si>
  <si>
    <t>P56817-0-S-1SGZ_A_D_32_93</t>
  </si>
  <si>
    <t>P02945-1-S-1IW6_A_D_85_98</t>
  </si>
  <si>
    <t>P00698-0-S-4LZT_A_D_101_119</t>
  </si>
  <si>
    <t>P00698-0-S-1LYS_A_D_101_119</t>
  </si>
  <si>
    <t>P00644-V66D-PHS-2OXP_A_D_66_148</t>
  </si>
  <si>
    <t>P02417-0-S-1DIV_A_D_8_8</t>
  </si>
  <si>
    <t>P06654-0-S-1GB1_A_D_47_273</t>
  </si>
  <si>
    <t>P0A7Y4-0-S-1RDD_A_D_108_108</t>
  </si>
  <si>
    <t>P00648-0-S-1BNJ_A_D_75_122</t>
  </si>
  <si>
    <t>P00974-2-S-1JV8_A_D_3_38</t>
  </si>
  <si>
    <t>P00698-0-S-2LZT_A_D_101_119</t>
  </si>
  <si>
    <t>Q54323-0-S-3FT7_B_D_38_38</t>
  </si>
  <si>
    <t>P00648-0-S-1A2P_A_D_75_122</t>
  </si>
  <si>
    <t>P00648-0-S-1FW7_A_D_75_122</t>
  </si>
  <si>
    <t>P0A7Y4-0-S-2RN2_A_D_108_108</t>
  </si>
  <si>
    <t>Q7SIE3-0-S-1QH7_A_D_15_15</t>
  </si>
  <si>
    <t>P00648-0-S-1BNR_A_D_75_122</t>
  </si>
  <si>
    <t>P68390-0-S-1PPF_I_D_27_156</t>
  </si>
  <si>
    <t>P02417-0-S-2HBB_A_D_8_8</t>
  </si>
  <si>
    <t>P06654-0-S-1PGA_A_D_47_273</t>
  </si>
  <si>
    <t>P00698-0-S-1LSE_A_D_101_119</t>
  </si>
  <si>
    <t>P10599-2-S-1ERT_A_D_20_20</t>
  </si>
  <si>
    <t>P0AA25-0-S-2TRX_A_D_20_21</t>
  </si>
  <si>
    <t>P00644-I72D-dPHS-4EQP_A_D_72_154</t>
  </si>
  <si>
    <t>P0AES9-0-S-1BG8_A_D_43_64</t>
  </si>
  <si>
    <t>P00703-0-S-135L_A_D_87_105</t>
  </si>
  <si>
    <t>Q6J4G7-A178Q-S-Swiss_A_D_98_98</t>
  </si>
  <si>
    <t>P06396-0-S-5H3M_A_D_34_88</t>
  </si>
  <si>
    <t>Q54323-0-S-3FT7_B_E_46_46</t>
  </si>
  <si>
    <t>P09850-Y174D-S-Swiss_A_E_200_200</t>
  </si>
  <si>
    <t>Q7SIE3-0-S-1H4G_A_E_184_184</t>
  </si>
  <si>
    <t>P06654-0-S-2IGH_A_E_32_323</t>
  </si>
  <si>
    <t>P0A7Y4-0-S-2RN2_A_E_135_135</t>
  </si>
  <si>
    <t>P0A7Y4-0-S-2RN2_A_E_154_154</t>
  </si>
  <si>
    <t>P00644-0-S-1STN_A_E_52_134</t>
  </si>
  <si>
    <t>P09850-T111D-S-Swiss_A_E_106_106</t>
  </si>
  <si>
    <t>P0A7Y4-0-S-1GOA_A_E_135_135</t>
  </si>
  <si>
    <t>P06654-0-S-2IGD_A_E_32_323</t>
  </si>
  <si>
    <t>P26747-0-S-2M5S_A_E_307_307</t>
  </si>
  <si>
    <t>P10599-2-S-1ERT_A_E_98_98</t>
  </si>
  <si>
    <t>P02633-0-S-1IGV_A_E_5_9</t>
  </si>
  <si>
    <t>P10599-1-S-1ERU_A_E_103_103</t>
  </si>
  <si>
    <t>P06654-0-S-1IGD_A_E_32_323</t>
  </si>
  <si>
    <t>P00644-L38K-dPHS-Swiss_A_E_95_101</t>
  </si>
  <si>
    <t>P00644-L25E-dPHS-3EVQ_A_E_25_107</t>
  </si>
  <si>
    <t>P03069-2-S-2ZTA_A_E_22_270</t>
  </si>
  <si>
    <t>P05798-1-S-1LNI_A_E_14_14</t>
  </si>
  <si>
    <t>P0A7Y4-0-S-1RDD_A_E_154_154</t>
  </si>
  <si>
    <t>P19909-0-S-2QMT_A_E_56_357</t>
  </si>
  <si>
    <t>P02633-0-S-3ICB_A_E_5_9</t>
  </si>
  <si>
    <t>P0A7Y4-0-S-1RDD_A_E_135_135</t>
  </si>
  <si>
    <t>P0AES9-0-S-1BG8_A_E_26_47</t>
  </si>
  <si>
    <t>P68390-0-S-1PPF_I_E_10_139</t>
  </si>
  <si>
    <t>P0A7Y4-0-S-1GOA_A_E_154_154</t>
  </si>
  <si>
    <t>Q7SIE3-0-S-1QH7_A_E_56_56</t>
  </si>
  <si>
    <t>P05798-0-S-1RGG_A_E_74_74</t>
  </si>
  <si>
    <t>P02633-0-S-1IG5_A_E_5_9</t>
  </si>
  <si>
    <t>P02633-0-S-1KSM_A_E_5_9</t>
  </si>
  <si>
    <t>P0AFG6-0-S-1W4H_A_E_161_144</t>
  </si>
  <si>
    <t>Q7SIE3-0-S-1QH7_A_E_184_184</t>
  </si>
  <si>
    <t>P00644-L37E-dPHS-Swiss_A_E_37_119</t>
  </si>
  <si>
    <t>P0A432-0-S-5G39_A_E_54_80</t>
  </si>
  <si>
    <t>P02633-0-S-4ICB_A_E_5_9</t>
  </si>
  <si>
    <t>P0AES9-0-S-1BG8_A_E_46_67</t>
  </si>
  <si>
    <t>P02633-0-S-1KQV_A_E_5_9</t>
  </si>
  <si>
    <t>P10599-2-S-1TRW_A_E_98_98</t>
  </si>
  <si>
    <t>Q7SIE3-0-S-1H4G_A_E_56_56</t>
  </si>
  <si>
    <t>P10599-1-S-1TRS_A_E_103_103</t>
  </si>
  <si>
    <t>P09850-2-S-3VZK_A_E_35_63</t>
  </si>
  <si>
    <t>P0A7Y4-0-S-1RNH_A_E_135_135</t>
  </si>
  <si>
    <t>P06654-0-S-1IGC_A_E_32_323</t>
  </si>
  <si>
    <t>P00644-L103E-dPHS-Swiss_A_E_97_185</t>
  </si>
  <si>
    <t>P00644-G20E-dPHS-5E1F_A_E_20_102</t>
  </si>
  <si>
    <t>P0AA25-0-S-2TRX_A_C_35_36</t>
  </si>
  <si>
    <t>P00787-0-S-1THE_A_C_29_108</t>
  </si>
  <si>
    <t>P63000-0-S-1MH1_A_C_18_18</t>
  </si>
  <si>
    <t>P05798-0-S-1RGG_A_Y_49_49</t>
  </si>
  <si>
    <t>P00974-2-S-1JV8_A_Y_10_45</t>
  </si>
  <si>
    <t>P15273-H402N-S-SEQ_A_C_403_403</t>
  </si>
  <si>
    <t>P15273-H402A-S-SEQ_A_C_403_403</t>
  </si>
  <si>
    <t>P30074-0-S-SEQ_A_C_164_164</t>
  </si>
  <si>
    <t>P53634-0-S-SEQ_A_C_234_258</t>
  </si>
  <si>
    <t>P00778-0-S-SEQ_A_E_129_292</t>
  </si>
  <si>
    <t>P00778-0-S-SEQ_A_E_174_324</t>
  </si>
  <si>
    <t>P00778-0-S-SEQ_A_E_229_381</t>
  </si>
  <si>
    <t>P10605-0-S-SEQ_A_C_29_108</t>
  </si>
  <si>
    <t>P00778-0-S-SEQ_A_D_102_262</t>
  </si>
  <si>
    <t>P00644-L38DE122Q-dPHS-Swiss_A_D_38_120</t>
  </si>
  <si>
    <t>P00644-L38ED77N-dPHS-Swiss_A_E_38_120</t>
  </si>
  <si>
    <t>P00644-L38EE122Q-dPHS-Swiss_A_E_38_120</t>
  </si>
  <si>
    <t>P00644-L38EE122D-dPHS-Swiss_A_E_38_120</t>
  </si>
  <si>
    <t>P00644-L38ER126Q-dPHS-Swiss_A_E_38_120</t>
  </si>
  <si>
    <t>P00644-L38E-dPHS-Swiss_A_D_143_219</t>
  </si>
  <si>
    <t>P00644-L38E-dPHS-Swiss_A_D_146_222</t>
  </si>
  <si>
    <t>P00644-L38E-dPHS-Swiss_A_E_10_92</t>
  </si>
  <si>
    <t>P00644-L38E-dPHS-Swiss_A_E_67_143</t>
  </si>
  <si>
    <t>P00644-L38E-dPHS-Swiss_A_E_75_151</t>
  </si>
  <si>
    <t>P00644-L38E-dPHS-Swiss_A_E_142_218</t>
  </si>
  <si>
    <t>P00644-0-dPHS-Swiss_A_D_143_219</t>
  </si>
  <si>
    <t>P00644-0-dPHS-Swiss_A_D_146_222</t>
  </si>
  <si>
    <t>P00644-0-dPHS-Swiss_A_E_142_218</t>
  </si>
  <si>
    <t>P00644-2-S-3BDC_A_D_19_101</t>
  </si>
  <si>
    <t>P00644-2-S-3BDC_A_D_40_122</t>
  </si>
  <si>
    <t>P00644-2-S-3BDC_A_D_95_177</t>
  </si>
  <si>
    <t>P00644-2-S-3BDC_A_D_21_103</t>
  </si>
  <si>
    <t>P00644-2-S-3BDC_A_E_73_155</t>
  </si>
  <si>
    <t>P00644-2-S-3BDC_A_E_43_125</t>
  </si>
  <si>
    <t>P00644-2-S-3BDC_A_E_122_204</t>
  </si>
  <si>
    <t>P00644-2-S-3BDC_A_E_10_92</t>
  </si>
  <si>
    <t>P00644-2-S-3BDC_A_E_101_183</t>
  </si>
  <si>
    <t>P00644-2-S-3BDC_A_E_75_157</t>
  </si>
  <si>
    <t>P00644-2-S-3BDC_A_E_52_134</t>
  </si>
  <si>
    <t>P00644-2-S-3BDC_A_E_135_217</t>
  </si>
  <si>
    <t>P00644-2-S-3BDC_A_E_129_211</t>
  </si>
  <si>
    <t>P00644-2-S-3BDC_A_E_67_149</t>
  </si>
  <si>
    <t>P00644-2-S-3BDC_A_E_57_139</t>
  </si>
  <si>
    <t>P00644-5-S-5ISR_A_D_21_103</t>
  </si>
  <si>
    <t>P00644-5-S-5ISR_A_D_95_177</t>
  </si>
  <si>
    <t>P00644-5-S-5ISR_A_D_40_122</t>
  </si>
  <si>
    <t>P00644-5-S-5ISR_A_E_129_211</t>
  </si>
  <si>
    <t>P00644-5-S-5ISR_A_E_43_125</t>
  </si>
  <si>
    <t>P00644-5-S-5ISR_A_E_57_139</t>
  </si>
  <si>
    <t>P00644-5-S-5ISR_A_E_75_157</t>
  </si>
  <si>
    <t>P00644-5-S-5ISR_A_E_52_134</t>
  </si>
  <si>
    <t>P00644-5-S-5ISR_A_E_135_217</t>
  </si>
  <si>
    <t>P00644-5-S-5ISR_A_E_101_183</t>
  </si>
  <si>
    <t>P00644-5-S-5ISR_A_E_122_204</t>
  </si>
  <si>
    <t>P00644-0-S-1STY_A_H_121_203</t>
  </si>
  <si>
    <t>P00644-0-S-1STY_A_H_124_206</t>
  </si>
  <si>
    <t>P00644-0-S-1STY_A_H_8_90</t>
  </si>
  <si>
    <t>P00644-0-S-1STY_A_H_46_128</t>
  </si>
  <si>
    <t>P00644-5-S-5ISR_A_E_10_92</t>
  </si>
  <si>
    <t>P00644-5-S-5ISR_A_E_73_155</t>
  </si>
  <si>
    <t>P00644-5-S-5ISR_A_E_67_149</t>
  </si>
  <si>
    <t>mut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</si>
</sst>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2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1"/>
      <name val="Arial"/>
    </font>
    <font>
      <b/>
      <sz val="12.0"/>
      <color rgb="FFFF0000"/>
      <name val="Calibri"/>
    </font>
    <font>
      <sz val="11.0"/>
      <color rgb="FF1F1F1F"/>
      <name val="Google Sans"/>
    </font>
    <font>
      <sz val="12.0"/>
      <color rgb="FFFF0000"/>
      <name val="Calibri"/>
    </font>
    <font>
      <color theme="1"/>
      <name val="Calibri"/>
      <scheme val="minor"/>
    </font>
    <font>
      <b/>
      <sz val="20.0"/>
      <color theme="1"/>
      <name val="Calibri"/>
    </font>
    <font>
      <u/>
      <sz val="12.0"/>
      <color rgb="FF0563C1"/>
      <name val="Calibri"/>
    </font>
    <font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vertical="bottom"/>
    </xf>
    <xf borderId="0" fillId="2" fontId="2" numFmtId="10" xfId="0" applyAlignment="1" applyFont="1" applyNumberFormat="1">
      <alignment vertical="bottom"/>
    </xf>
    <xf borderId="0" fillId="2" fontId="6" numFmtId="0" xfId="0" applyAlignment="1" applyFont="1">
      <alignment vertical="bottom"/>
    </xf>
    <xf borderId="0" fillId="2" fontId="4" numFmtId="10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0" fillId="2" fontId="2" numFmtId="0" xfId="0" applyAlignment="1" applyFont="1">
      <alignment horizontal="right" vertical="bottom"/>
    </xf>
    <xf borderId="0" fillId="2" fontId="2" numFmtId="2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10" numFmtId="0" xfId="0" applyFont="1"/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11" numFmtId="0" xfId="0" applyFont="1"/>
    <xf borderId="0" fillId="2" fontId="2" numFmtId="0" xfId="0" applyFont="1"/>
    <xf borderId="0" fillId="2" fontId="11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11969427/" TargetMode="External"/><Relationship Id="rId2" Type="http://schemas.openxmlformats.org/officeDocument/2006/relationships/hyperlink" Target="https://pubs.acs.org/doi/pdf/10.1021/bi0119417" TargetMode="External"/><Relationship Id="rId3" Type="http://schemas.openxmlformats.org/officeDocument/2006/relationships/hyperlink" Target="https://pubs.acs.org/doi/10.1021/acs.biochem.5b00522" TargetMode="External"/><Relationship Id="rId4" Type="http://schemas.openxmlformats.org/officeDocument/2006/relationships/hyperlink" Target="https://pubs.acs.org/doi/10.1021/acs.biochem.5b00522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34</v>
      </c>
      <c r="B4" s="2" t="s">
        <v>46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55</v>
      </c>
      <c r="B5" s="2" t="s">
        <v>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69</v>
      </c>
      <c r="B6" s="2" t="s">
        <v>70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82</v>
      </c>
      <c r="B7" s="2" t="s">
        <v>85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98</v>
      </c>
      <c r="B8" s="2" t="s">
        <v>99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111</v>
      </c>
      <c r="B9" s="2" t="s">
        <v>112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126</v>
      </c>
      <c r="B10" s="2" t="s">
        <v>128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147</v>
      </c>
      <c r="B11" s="2" t="s">
        <v>148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171</v>
      </c>
      <c r="B12" s="2" t="s">
        <v>172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211</v>
      </c>
      <c r="B14" s="10" t="s">
        <v>239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259</v>
      </c>
      <c r="B15" s="10" t="s">
        <v>260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287</v>
      </c>
      <c r="B16" s="10" t="s">
        <v>305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">
        <v>322</v>
      </c>
      <c r="B17" s="10" t="s">
        <v>324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 t="s">
        <v>338</v>
      </c>
      <c r="B18" s="10" t="s">
        <v>340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 t="s">
        <v>366</v>
      </c>
      <c r="B19" s="10" t="s">
        <v>367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378</v>
      </c>
      <c r="B20" s="10" t="s">
        <v>379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2</v>
      </c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3" t="s">
        <v>4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21</v>
      </c>
      <c r="Q2" s="1" t="s">
        <v>23</v>
      </c>
      <c r="R2" s="1" t="s">
        <v>24</v>
      </c>
      <c r="S2" s="1" t="s">
        <v>26</v>
      </c>
      <c r="T2" s="1" t="s">
        <v>28</v>
      </c>
      <c r="U2" s="3" t="s">
        <v>25</v>
      </c>
      <c r="V2" s="1" t="s">
        <v>30</v>
      </c>
      <c r="W2" s="1" t="s">
        <v>31</v>
      </c>
      <c r="X2" s="2" t="s">
        <v>29</v>
      </c>
      <c r="Y2" s="2"/>
      <c r="Z2" s="2"/>
      <c r="AA2" s="2"/>
      <c r="AB2" s="2"/>
      <c r="AC2" s="2"/>
      <c r="AD2" s="2"/>
      <c r="AE2" s="2"/>
      <c r="AF2" s="2"/>
    </row>
    <row r="3">
      <c r="A3" s="2" t="s">
        <v>32</v>
      </c>
      <c r="B3" s="5" t="s">
        <v>33</v>
      </c>
      <c r="C3" s="5" t="s">
        <v>47</v>
      </c>
      <c r="D3" s="2" t="s">
        <v>39</v>
      </c>
      <c r="E3" s="2" t="s">
        <v>40</v>
      </c>
      <c r="F3" s="5" t="s">
        <v>49</v>
      </c>
      <c r="G3" s="2" t="s">
        <v>50</v>
      </c>
      <c r="H3" s="7">
        <f>49/6183</f>
        <v>0.007924955523</v>
      </c>
      <c r="I3" s="8" t="s">
        <v>66</v>
      </c>
      <c r="J3" s="2" t="s">
        <v>71</v>
      </c>
      <c r="K3" s="5" t="s">
        <v>72</v>
      </c>
      <c r="L3" s="2" t="s">
        <v>74</v>
      </c>
      <c r="M3" s="8" t="s">
        <v>76</v>
      </c>
      <c r="N3" s="2" t="s">
        <v>78</v>
      </c>
      <c r="O3" s="5" t="s">
        <v>79</v>
      </c>
      <c r="P3" s="2" t="s">
        <v>80</v>
      </c>
      <c r="Q3" s="5" t="s">
        <v>81</v>
      </c>
      <c r="R3" s="2" t="s">
        <v>84</v>
      </c>
      <c r="S3" s="2" t="s">
        <v>86</v>
      </c>
      <c r="T3" s="2" t="s">
        <v>89</v>
      </c>
      <c r="U3" s="2" t="s">
        <v>42</v>
      </c>
      <c r="V3" s="4" t="s">
        <v>65</v>
      </c>
      <c r="W3" s="2" t="s">
        <v>44</v>
      </c>
      <c r="X3" s="2"/>
      <c r="Y3" s="2"/>
      <c r="Z3" s="2"/>
      <c r="AA3" s="2"/>
      <c r="AB3" s="2"/>
      <c r="AC3" s="2"/>
      <c r="AD3" s="2"/>
      <c r="AE3" s="2"/>
      <c r="AF3" s="2"/>
    </row>
    <row r="4">
      <c r="A4" s="2" t="s">
        <v>68</v>
      </c>
      <c r="B4" s="5" t="s">
        <v>33</v>
      </c>
      <c r="C4" s="8" t="s">
        <v>102</v>
      </c>
      <c r="D4" s="2" t="s">
        <v>105</v>
      </c>
      <c r="E4" s="2" t="s">
        <v>71</v>
      </c>
      <c r="F4" s="8" t="s">
        <v>109</v>
      </c>
      <c r="G4" s="2" t="s">
        <v>110</v>
      </c>
      <c r="H4" s="7">
        <f>72/6258</f>
        <v>0.01150527325</v>
      </c>
      <c r="I4" s="5" t="s">
        <v>113</v>
      </c>
      <c r="J4" s="2" t="s">
        <v>74</v>
      </c>
      <c r="K4" s="2" t="s">
        <v>114</v>
      </c>
      <c r="L4" s="2" t="s">
        <v>115</v>
      </c>
      <c r="M4" s="5" t="s">
        <v>117</v>
      </c>
      <c r="N4" s="2" t="s">
        <v>119</v>
      </c>
      <c r="O4" s="8" t="s">
        <v>120</v>
      </c>
      <c r="P4" s="2" t="s">
        <v>80</v>
      </c>
      <c r="Q4" s="2" t="s">
        <v>121</v>
      </c>
      <c r="R4" s="2" t="s">
        <v>123</v>
      </c>
      <c r="S4" s="5" t="s">
        <v>124</v>
      </c>
      <c r="T4" s="2" t="s">
        <v>125</v>
      </c>
      <c r="U4" s="2" t="s">
        <v>42</v>
      </c>
      <c r="V4" s="4" t="s">
        <v>65</v>
      </c>
      <c r="W4" s="2" t="s">
        <v>44</v>
      </c>
      <c r="X4" s="2"/>
      <c r="Y4" s="2"/>
      <c r="Z4" s="2"/>
      <c r="AA4" s="2"/>
      <c r="AB4" s="2"/>
      <c r="AC4" s="2"/>
      <c r="AD4" s="2"/>
      <c r="AE4" s="2"/>
      <c r="AF4" s="2"/>
    </row>
    <row r="5">
      <c r="A5" s="4" t="s">
        <v>132</v>
      </c>
      <c r="B5" s="2" t="s">
        <v>101</v>
      </c>
      <c r="C5" s="2" t="s">
        <v>133</v>
      </c>
      <c r="D5" s="2" t="s">
        <v>40</v>
      </c>
      <c r="E5" s="2" t="s">
        <v>119</v>
      </c>
      <c r="F5" s="2" t="s">
        <v>136</v>
      </c>
      <c r="G5" s="2" t="s">
        <v>139</v>
      </c>
      <c r="H5" s="7">
        <f>74/5948</f>
        <v>0.01244115669</v>
      </c>
      <c r="I5" s="2" t="s">
        <v>149</v>
      </c>
      <c r="J5" s="2" t="s">
        <v>89</v>
      </c>
      <c r="K5" s="2" t="s">
        <v>150</v>
      </c>
      <c r="L5" s="2" t="s">
        <v>152</v>
      </c>
      <c r="M5" s="2" t="s">
        <v>154</v>
      </c>
      <c r="N5" s="2" t="s">
        <v>106</v>
      </c>
      <c r="O5" s="2" t="s">
        <v>158</v>
      </c>
      <c r="P5" s="2" t="s">
        <v>160</v>
      </c>
      <c r="Q5" s="2" t="s">
        <v>161</v>
      </c>
      <c r="R5" s="2" t="s">
        <v>162</v>
      </c>
      <c r="S5" s="2" t="s">
        <v>135</v>
      </c>
      <c r="T5" s="2" t="s">
        <v>163</v>
      </c>
      <c r="U5" s="2" t="s">
        <v>164</v>
      </c>
      <c r="V5" s="4" t="s">
        <v>65</v>
      </c>
      <c r="W5" s="2" t="s">
        <v>44</v>
      </c>
      <c r="X5" s="2"/>
      <c r="Y5" s="2"/>
      <c r="Z5" s="2"/>
      <c r="AA5" s="2"/>
      <c r="AB5" s="2"/>
      <c r="AC5" s="2"/>
      <c r="AD5" s="2"/>
      <c r="AE5" s="2"/>
      <c r="AF5" s="2"/>
    </row>
    <row r="6">
      <c r="A6" s="2" t="s">
        <v>173</v>
      </c>
      <c r="B6" s="2" t="s">
        <v>101</v>
      </c>
      <c r="C6" s="2" t="s">
        <v>175</v>
      </c>
      <c r="D6" s="2" t="s">
        <v>71</v>
      </c>
      <c r="E6" s="2" t="s">
        <v>179</v>
      </c>
      <c r="F6" s="2" t="s">
        <v>179</v>
      </c>
      <c r="G6" s="2" t="s">
        <v>179</v>
      </c>
      <c r="H6" s="2" t="s">
        <v>179</v>
      </c>
      <c r="I6" s="2" t="s">
        <v>183</v>
      </c>
      <c r="J6" s="2" t="s">
        <v>163</v>
      </c>
      <c r="K6" s="2" t="s">
        <v>186</v>
      </c>
      <c r="L6" s="2" t="s">
        <v>187</v>
      </c>
      <c r="M6" s="2" t="s">
        <v>188</v>
      </c>
      <c r="N6" s="2" t="s">
        <v>189</v>
      </c>
      <c r="O6" s="2" t="s">
        <v>190</v>
      </c>
      <c r="P6" s="2" t="s">
        <v>192</v>
      </c>
      <c r="Q6" s="2" t="s">
        <v>194</v>
      </c>
      <c r="R6" s="2" t="s">
        <v>198</v>
      </c>
      <c r="S6" s="2" t="s">
        <v>200</v>
      </c>
      <c r="T6" s="2" t="s">
        <v>202</v>
      </c>
      <c r="U6" s="2" t="s">
        <v>164</v>
      </c>
      <c r="V6" s="4" t="s">
        <v>203</v>
      </c>
      <c r="W6" s="2" t="s">
        <v>204</v>
      </c>
      <c r="X6" s="2" t="s">
        <v>205</v>
      </c>
      <c r="Y6" s="2"/>
      <c r="Z6" s="2"/>
      <c r="AA6" s="2"/>
      <c r="AB6" s="2"/>
      <c r="AC6" s="2"/>
      <c r="AD6" s="2"/>
      <c r="AE6" s="2"/>
      <c r="AF6" s="2"/>
    </row>
    <row r="7">
      <c r="A7" s="2" t="s">
        <v>213</v>
      </c>
      <c r="B7" s="2" t="s">
        <v>101</v>
      </c>
      <c r="C7" s="2" t="s">
        <v>58</v>
      </c>
      <c r="D7" s="2" t="s">
        <v>119</v>
      </c>
      <c r="E7" s="2" t="s">
        <v>179</v>
      </c>
      <c r="F7" s="2" t="s">
        <v>179</v>
      </c>
      <c r="G7" s="2" t="s">
        <v>179</v>
      </c>
      <c r="H7" s="2" t="s">
        <v>179</v>
      </c>
      <c r="I7" s="2" t="s">
        <v>222</v>
      </c>
      <c r="J7" s="2" t="s">
        <v>88</v>
      </c>
      <c r="K7" s="2" t="s">
        <v>223</v>
      </c>
      <c r="L7" s="2" t="s">
        <v>224</v>
      </c>
      <c r="M7" s="2" t="s">
        <v>225</v>
      </c>
      <c r="N7" s="2" t="s">
        <v>87</v>
      </c>
      <c r="O7" s="2" t="s">
        <v>227</v>
      </c>
      <c r="P7" s="2" t="s">
        <v>229</v>
      </c>
      <c r="Q7" s="2" t="s">
        <v>232</v>
      </c>
      <c r="R7" s="4" t="s">
        <v>235</v>
      </c>
      <c r="S7" s="2" t="s">
        <v>237</v>
      </c>
      <c r="T7" s="2" t="s">
        <v>238</v>
      </c>
      <c r="U7" s="2" t="s">
        <v>219</v>
      </c>
      <c r="V7" s="4" t="s">
        <v>203</v>
      </c>
      <c r="W7" s="2" t="s">
        <v>204</v>
      </c>
      <c r="X7" s="2" t="s">
        <v>205</v>
      </c>
      <c r="Y7" s="2"/>
      <c r="Z7" s="2"/>
      <c r="AA7" s="2"/>
      <c r="AB7" s="2"/>
      <c r="AC7" s="2"/>
      <c r="AD7" s="2"/>
      <c r="AE7" s="2"/>
      <c r="AF7" s="2"/>
    </row>
    <row r="8">
      <c r="A8" s="2" t="s">
        <v>100</v>
      </c>
      <c r="B8" s="2" t="s">
        <v>101</v>
      </c>
      <c r="C8" s="2" t="s">
        <v>252</v>
      </c>
      <c r="D8" s="2" t="s">
        <v>254</v>
      </c>
      <c r="E8" s="2" t="s">
        <v>256</v>
      </c>
      <c r="F8" s="2" t="s">
        <v>92</v>
      </c>
      <c r="G8" s="2" t="s">
        <v>258</v>
      </c>
      <c r="H8" s="7">
        <f>277/6774</f>
        <v>0.04089164452</v>
      </c>
      <c r="I8" s="2" t="s">
        <v>263</v>
      </c>
      <c r="J8" s="2" t="s">
        <v>264</v>
      </c>
      <c r="K8" s="2" t="s">
        <v>265</v>
      </c>
      <c r="L8" s="2" t="s">
        <v>265</v>
      </c>
      <c r="M8" s="2" t="s">
        <v>266</v>
      </c>
      <c r="N8" s="2" t="s">
        <v>135</v>
      </c>
      <c r="O8" s="2" t="s">
        <v>268</v>
      </c>
      <c r="P8" s="2" t="s">
        <v>138</v>
      </c>
      <c r="Q8" s="2" t="s">
        <v>272</v>
      </c>
      <c r="R8" s="2" t="s">
        <v>138</v>
      </c>
      <c r="S8" s="2" t="s">
        <v>276</v>
      </c>
      <c r="T8" s="2" t="s">
        <v>279</v>
      </c>
      <c r="U8" s="2" t="s">
        <v>144</v>
      </c>
      <c r="V8" s="4" t="s">
        <v>145</v>
      </c>
      <c r="W8" s="2" t="s">
        <v>146</v>
      </c>
      <c r="X8" s="2"/>
      <c r="Y8" s="2"/>
      <c r="Z8" s="2"/>
      <c r="AA8" s="2"/>
      <c r="AB8" s="2"/>
      <c r="AC8" s="2"/>
      <c r="AD8" s="2"/>
      <c r="AE8" s="2"/>
      <c r="AF8" s="2"/>
    </row>
    <row r="9">
      <c r="A9" s="2" t="s">
        <v>151</v>
      </c>
      <c r="B9" s="2" t="s">
        <v>101</v>
      </c>
      <c r="C9" s="2" t="s">
        <v>290</v>
      </c>
      <c r="D9" s="2" t="s">
        <v>291</v>
      </c>
      <c r="E9" s="2" t="s">
        <v>292</v>
      </c>
      <c r="F9" s="2" t="s">
        <v>293</v>
      </c>
      <c r="G9" s="2" t="s">
        <v>295</v>
      </c>
      <c r="H9" s="7">
        <f>340/6290</f>
        <v>0.05405405405</v>
      </c>
      <c r="I9" s="2" t="s">
        <v>307</v>
      </c>
      <c r="J9" s="2" t="s">
        <v>233</v>
      </c>
      <c r="K9" s="2" t="s">
        <v>310</v>
      </c>
      <c r="L9" s="2" t="s">
        <v>311</v>
      </c>
      <c r="M9" s="2" t="s">
        <v>109</v>
      </c>
      <c r="N9" s="2" t="s">
        <v>310</v>
      </c>
      <c r="O9" s="2" t="s">
        <v>268</v>
      </c>
      <c r="P9" s="2" t="s">
        <v>138</v>
      </c>
      <c r="Q9" s="2" t="s">
        <v>314</v>
      </c>
      <c r="R9" s="2" t="s">
        <v>316</v>
      </c>
      <c r="S9" s="2" t="s">
        <v>317</v>
      </c>
      <c r="T9" s="2" t="s">
        <v>319</v>
      </c>
      <c r="U9" s="2" t="s">
        <v>182</v>
      </c>
      <c r="V9" s="4" t="s">
        <v>184</v>
      </c>
      <c r="W9" s="2" t="s">
        <v>185</v>
      </c>
      <c r="X9" s="2"/>
      <c r="Y9" s="2"/>
      <c r="Z9" s="2"/>
      <c r="AA9" s="2"/>
      <c r="AB9" s="2"/>
      <c r="AC9" s="2"/>
      <c r="AD9" s="2"/>
      <c r="AE9" s="2"/>
      <c r="AF9" s="2"/>
    </row>
    <row r="10">
      <c r="A10" s="2" t="s">
        <v>191</v>
      </c>
      <c r="B10" s="2" t="s">
        <v>101</v>
      </c>
      <c r="C10" s="2" t="s">
        <v>332</v>
      </c>
      <c r="D10" s="2" t="s">
        <v>333</v>
      </c>
      <c r="E10" s="2" t="s">
        <v>292</v>
      </c>
      <c r="F10" s="2" t="s">
        <v>334</v>
      </c>
      <c r="G10" s="2" t="s">
        <v>335</v>
      </c>
      <c r="H10" s="7">
        <f>370/6296</f>
        <v>0.05876747141</v>
      </c>
      <c r="I10" s="2" t="s">
        <v>303</v>
      </c>
      <c r="J10" s="2" t="s">
        <v>261</v>
      </c>
      <c r="K10" s="2" t="s">
        <v>345</v>
      </c>
      <c r="L10" s="2" t="s">
        <v>86</v>
      </c>
      <c r="M10" s="2" t="s">
        <v>348</v>
      </c>
      <c r="N10" s="2" t="s">
        <v>351</v>
      </c>
      <c r="O10" s="2" t="s">
        <v>353</v>
      </c>
      <c r="P10" s="2" t="s">
        <v>356</v>
      </c>
      <c r="Q10" s="2" t="s">
        <v>358</v>
      </c>
      <c r="R10" s="2" t="s">
        <v>361</v>
      </c>
      <c r="S10" s="2" t="s">
        <v>326</v>
      </c>
      <c r="T10" s="2" t="s">
        <v>79</v>
      </c>
      <c r="U10" s="2" t="s">
        <v>219</v>
      </c>
      <c r="V10" s="4" t="s">
        <v>220</v>
      </c>
      <c r="W10" s="2" t="s">
        <v>221</v>
      </c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2" t="s">
        <v>226</v>
      </c>
      <c r="B11" s="2" t="s">
        <v>101</v>
      </c>
      <c r="C11" s="2" t="s">
        <v>374</v>
      </c>
      <c r="D11" s="2" t="s">
        <v>152</v>
      </c>
      <c r="E11" s="2" t="s">
        <v>286</v>
      </c>
      <c r="F11" s="2" t="s">
        <v>376</v>
      </c>
      <c r="G11" s="2" t="s">
        <v>377</v>
      </c>
      <c r="H11" s="7">
        <f>335/6136</f>
        <v>0.0545958279</v>
      </c>
      <c r="I11" s="2" t="s">
        <v>381</v>
      </c>
      <c r="J11" s="2" t="s">
        <v>382</v>
      </c>
      <c r="K11" s="2" t="s">
        <v>384</v>
      </c>
      <c r="L11" s="2" t="s">
        <v>385</v>
      </c>
      <c r="M11" s="2" t="s">
        <v>386</v>
      </c>
      <c r="N11" s="2" t="s">
        <v>387</v>
      </c>
      <c r="O11" s="2" t="s">
        <v>388</v>
      </c>
      <c r="P11" s="2" t="s">
        <v>389</v>
      </c>
      <c r="Q11" s="2" t="s">
        <v>390</v>
      </c>
      <c r="R11" s="4" t="s">
        <v>391</v>
      </c>
      <c r="S11" s="2" t="s">
        <v>393</v>
      </c>
      <c r="T11" s="2" t="s">
        <v>394</v>
      </c>
      <c r="U11" s="2" t="s">
        <v>253</v>
      </c>
      <c r="V11" s="4" t="s">
        <v>255</v>
      </c>
      <c r="W11" s="2" t="s">
        <v>257</v>
      </c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2" t="s">
        <v>141</v>
      </c>
      <c r="B12" s="8" t="s">
        <v>33</v>
      </c>
      <c r="C12" s="2" t="s">
        <v>398</v>
      </c>
      <c r="D12" s="2" t="s">
        <v>104</v>
      </c>
      <c r="E12" s="2" t="s">
        <v>399</v>
      </c>
      <c r="F12" s="2" t="s">
        <v>400</v>
      </c>
      <c r="G12" s="2" t="s">
        <v>401</v>
      </c>
      <c r="H12" s="7">
        <f>433/6253</f>
        <v>0.06924676155</v>
      </c>
      <c r="I12" s="2" t="s">
        <v>381</v>
      </c>
      <c r="J12" s="2" t="s">
        <v>212</v>
      </c>
      <c r="K12" s="2" t="s">
        <v>234</v>
      </c>
      <c r="L12" s="2" t="s">
        <v>403</v>
      </c>
      <c r="M12" s="2" t="s">
        <v>404</v>
      </c>
      <c r="N12" s="2" t="s">
        <v>113</v>
      </c>
      <c r="O12" s="2" t="s">
        <v>405</v>
      </c>
      <c r="P12" s="2" t="s">
        <v>406</v>
      </c>
      <c r="Q12" s="2" t="s">
        <v>407</v>
      </c>
      <c r="R12" s="2" t="s">
        <v>408</v>
      </c>
      <c r="S12" s="2" t="s">
        <v>409</v>
      </c>
      <c r="T12" s="2" t="s">
        <v>410</v>
      </c>
      <c r="U12" s="2" t="s">
        <v>42</v>
      </c>
      <c r="V12" s="4" t="s">
        <v>220</v>
      </c>
      <c r="W12" s="2" t="s">
        <v>174</v>
      </c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2" t="s">
        <v>284</v>
      </c>
      <c r="B13" s="2" t="s">
        <v>101</v>
      </c>
      <c r="C13" s="2" t="s">
        <v>412</v>
      </c>
      <c r="D13" s="2" t="s">
        <v>413</v>
      </c>
      <c r="E13" s="2" t="s">
        <v>399</v>
      </c>
      <c r="F13" s="2" t="s">
        <v>415</v>
      </c>
      <c r="G13" s="2" t="s">
        <v>416</v>
      </c>
      <c r="H13" s="7">
        <f>374/6615</f>
        <v>0.05653817082</v>
      </c>
      <c r="I13" s="2" t="s">
        <v>417</v>
      </c>
      <c r="J13" s="2" t="s">
        <v>419</v>
      </c>
      <c r="K13" s="2" t="s">
        <v>420</v>
      </c>
      <c r="L13" s="2" t="s">
        <v>421</v>
      </c>
      <c r="M13" s="2" t="s">
        <v>297</v>
      </c>
      <c r="N13" s="2" t="s">
        <v>298</v>
      </c>
      <c r="O13" s="2" t="s">
        <v>299</v>
      </c>
      <c r="P13" s="2" t="s">
        <v>423</v>
      </c>
      <c r="Q13" s="2" t="s">
        <v>424</v>
      </c>
      <c r="R13" s="2" t="s">
        <v>425</v>
      </c>
      <c r="S13" s="2" t="s">
        <v>426</v>
      </c>
      <c r="T13" s="2" t="s">
        <v>427</v>
      </c>
      <c r="U13" s="2" t="s">
        <v>306</v>
      </c>
      <c r="V13" s="4" t="s">
        <v>308</v>
      </c>
      <c r="W13" s="2" t="s">
        <v>309</v>
      </c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2" t="s">
        <v>312</v>
      </c>
      <c r="B14" s="2" t="s">
        <v>101</v>
      </c>
      <c r="C14" s="2" t="s">
        <v>429</v>
      </c>
      <c r="D14" s="2" t="s">
        <v>187</v>
      </c>
      <c r="E14" s="2" t="s">
        <v>430</v>
      </c>
      <c r="F14" s="2" t="s">
        <v>431</v>
      </c>
      <c r="G14" s="2" t="s">
        <v>432</v>
      </c>
      <c r="H14" s="7">
        <f>329/6152</f>
        <v>0.05347854356</v>
      </c>
      <c r="I14" s="2" t="s">
        <v>434</v>
      </c>
      <c r="J14" s="2" t="s">
        <v>435</v>
      </c>
      <c r="K14" s="2" t="s">
        <v>436</v>
      </c>
      <c r="L14" s="2" t="s">
        <v>421</v>
      </c>
      <c r="M14" s="2" t="s">
        <v>437</v>
      </c>
      <c r="N14" s="2" t="s">
        <v>66</v>
      </c>
      <c r="O14" s="2" t="s">
        <v>438</v>
      </c>
      <c r="P14" s="2" t="s">
        <v>439</v>
      </c>
      <c r="Q14" s="2" t="s">
        <v>440</v>
      </c>
      <c r="R14" s="2" t="s">
        <v>441</v>
      </c>
      <c r="S14" s="2" t="s">
        <v>442</v>
      </c>
      <c r="T14" s="2" t="s">
        <v>443</v>
      </c>
      <c r="U14" s="2" t="s">
        <v>306</v>
      </c>
      <c r="V14" s="4" t="s">
        <v>308</v>
      </c>
      <c r="W14" s="2" t="s">
        <v>309</v>
      </c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2" t="s">
        <v>336</v>
      </c>
      <c r="B15" s="2" t="s">
        <v>101</v>
      </c>
      <c r="C15" s="2" t="s">
        <v>444</v>
      </c>
      <c r="D15" s="2" t="s">
        <v>261</v>
      </c>
      <c r="E15" s="2" t="s">
        <v>445</v>
      </c>
      <c r="F15" s="2" t="s">
        <v>446</v>
      </c>
      <c r="G15" s="2" t="s">
        <v>447</v>
      </c>
      <c r="H15" s="7">
        <f>689/6188</f>
        <v>0.1113445378</v>
      </c>
      <c r="I15" s="2" t="s">
        <v>448</v>
      </c>
      <c r="J15" s="2" t="s">
        <v>449</v>
      </c>
      <c r="K15" s="2" t="s">
        <v>450</v>
      </c>
      <c r="L15" s="2" t="s">
        <v>451</v>
      </c>
      <c r="M15" s="2" t="s">
        <v>452</v>
      </c>
      <c r="N15" s="2" t="s">
        <v>453</v>
      </c>
      <c r="O15" s="2" t="s">
        <v>454</v>
      </c>
      <c r="P15" s="2" t="s">
        <v>455</v>
      </c>
      <c r="Q15" s="2" t="s">
        <v>456</v>
      </c>
      <c r="R15" s="2" t="s">
        <v>457</v>
      </c>
      <c r="S15" s="2" t="s">
        <v>458</v>
      </c>
      <c r="T15" s="2" t="s">
        <v>248</v>
      </c>
      <c r="U15" s="2" t="s">
        <v>364</v>
      </c>
      <c r="V15" s="4" t="s">
        <v>242</v>
      </c>
      <c r="W15" s="2" t="s">
        <v>365</v>
      </c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368</v>
      </c>
      <c r="B16" s="2" t="s">
        <v>369</v>
      </c>
      <c r="C16" s="2" t="s">
        <v>459</v>
      </c>
      <c r="D16" s="2" t="s">
        <v>187</v>
      </c>
      <c r="E16" s="2" t="s">
        <v>311</v>
      </c>
      <c r="F16" s="2" t="s">
        <v>460</v>
      </c>
      <c r="G16" s="2" t="s">
        <v>461</v>
      </c>
      <c r="H16" s="7">
        <f>579/7060</f>
        <v>0.08201133144</v>
      </c>
      <c r="I16" s="2" t="s">
        <v>462</v>
      </c>
      <c r="J16" s="12">
        <v>0.0</v>
      </c>
      <c r="K16" s="2" t="s">
        <v>463</v>
      </c>
      <c r="L16" s="12">
        <v>0.0</v>
      </c>
      <c r="M16" s="2" t="s">
        <v>404</v>
      </c>
      <c r="N16" s="12">
        <v>0.0</v>
      </c>
      <c r="O16" s="2" t="s">
        <v>464</v>
      </c>
      <c r="P16" s="12">
        <v>0.0</v>
      </c>
      <c r="Q16" s="2" t="s">
        <v>465</v>
      </c>
      <c r="R16" s="12">
        <v>0.0</v>
      </c>
      <c r="S16" s="2" t="s">
        <v>466</v>
      </c>
      <c r="T16" s="12">
        <v>0.0</v>
      </c>
      <c r="U16" s="2" t="s">
        <v>368</v>
      </c>
      <c r="V16" s="2" t="s">
        <v>397</v>
      </c>
      <c r="W16" s="2" t="s">
        <v>397</v>
      </c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2" t="s">
        <v>467</v>
      </c>
      <c r="B17" s="2" t="s">
        <v>101</v>
      </c>
      <c r="C17" s="2" t="s">
        <v>468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4"/>
      <c r="S17" s="2"/>
      <c r="T17" s="2"/>
      <c r="U17" s="2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4"/>
      <c r="S18" s="2"/>
      <c r="T18" s="2"/>
      <c r="U18" s="2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2" t="s">
        <v>402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4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2" t="s">
        <v>469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 t="s">
        <v>414</v>
      </c>
      <c r="P20" s="2"/>
      <c r="Q20" s="2"/>
      <c r="R20" s="2"/>
      <c r="S20" s="2"/>
      <c r="T20" s="2"/>
      <c r="U20" s="2"/>
      <c r="V20" s="4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2" t="s">
        <v>418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2" t="s">
        <v>470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 t="s">
        <v>428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</sheetData>
  <mergeCells count="1">
    <mergeCell ref="A1:W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1</v>
      </c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3" t="s">
        <v>4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21</v>
      </c>
      <c r="Q2" s="1" t="s">
        <v>23</v>
      </c>
      <c r="R2" s="1" t="s">
        <v>24</v>
      </c>
      <c r="S2" s="1" t="s">
        <v>26</v>
      </c>
      <c r="T2" s="1" t="s">
        <v>28</v>
      </c>
      <c r="U2" s="3" t="s">
        <v>25</v>
      </c>
      <c r="V2" s="1" t="s">
        <v>30</v>
      </c>
      <c r="W2" s="1" t="s">
        <v>31</v>
      </c>
      <c r="X2" s="2" t="s">
        <v>29</v>
      </c>
      <c r="Y2" s="2"/>
      <c r="Z2" s="2"/>
      <c r="AA2" s="2"/>
      <c r="AB2" s="2"/>
      <c r="AC2" s="2"/>
      <c r="AD2" s="2"/>
      <c r="AE2" s="2"/>
      <c r="AF2" s="2"/>
    </row>
    <row r="3">
      <c r="A3" s="2" t="s">
        <v>32</v>
      </c>
      <c r="B3" s="5" t="s">
        <v>33</v>
      </c>
      <c r="C3" s="5" t="s">
        <v>38</v>
      </c>
      <c r="D3" s="2" t="s">
        <v>39</v>
      </c>
      <c r="E3" s="2" t="s">
        <v>40</v>
      </c>
      <c r="F3" s="1" t="s">
        <v>41</v>
      </c>
      <c r="G3" s="2" t="s">
        <v>43</v>
      </c>
      <c r="H3" s="7">
        <f>25/4307</f>
        <v>0.005804504295</v>
      </c>
      <c r="I3" s="2" t="s">
        <v>51</v>
      </c>
      <c r="J3" s="2" t="s">
        <v>52</v>
      </c>
      <c r="K3" s="1" t="s">
        <v>53</v>
      </c>
      <c r="L3" s="2" t="s">
        <v>54</v>
      </c>
      <c r="M3" s="2" t="s">
        <v>56</v>
      </c>
      <c r="N3" s="2" t="s">
        <v>58</v>
      </c>
      <c r="O3" s="1" t="s">
        <v>59</v>
      </c>
      <c r="P3" s="2" t="s">
        <v>60</v>
      </c>
      <c r="Q3" s="1" t="s">
        <v>61</v>
      </c>
      <c r="R3" s="2" t="s">
        <v>62</v>
      </c>
      <c r="S3" s="1" t="s">
        <v>63</v>
      </c>
      <c r="T3" s="2" t="s">
        <v>64</v>
      </c>
      <c r="U3" s="2" t="s">
        <v>42</v>
      </c>
      <c r="V3" s="4" t="s">
        <v>65</v>
      </c>
      <c r="W3" s="2" t="s">
        <v>44</v>
      </c>
      <c r="X3" s="2"/>
      <c r="Y3" s="2"/>
      <c r="Z3" s="2"/>
      <c r="AA3" s="2"/>
      <c r="AB3" s="2"/>
      <c r="AC3" s="2"/>
      <c r="AD3" s="2"/>
      <c r="AE3" s="2"/>
      <c r="AF3" s="2"/>
    </row>
    <row r="4">
      <c r="A4" s="2" t="s">
        <v>68</v>
      </c>
      <c r="B4" s="5" t="s">
        <v>33</v>
      </c>
      <c r="C4" s="8" t="s">
        <v>47</v>
      </c>
      <c r="D4" s="2" t="s">
        <v>73</v>
      </c>
      <c r="E4" s="2" t="s">
        <v>71</v>
      </c>
      <c r="F4" s="2" t="s">
        <v>75</v>
      </c>
      <c r="G4" s="2" t="s">
        <v>77</v>
      </c>
      <c r="H4" s="7">
        <f>28/4516</f>
        <v>0.006200177148</v>
      </c>
      <c r="I4" s="1" t="s">
        <v>83</v>
      </c>
      <c r="J4" s="2" t="s">
        <v>78</v>
      </c>
      <c r="K4" s="2" t="s">
        <v>87</v>
      </c>
      <c r="L4" s="2" t="s">
        <v>88</v>
      </c>
      <c r="M4" s="1" t="s">
        <v>90</v>
      </c>
      <c r="N4" s="2" t="s">
        <v>74</v>
      </c>
      <c r="O4" s="2" t="s">
        <v>91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96</v>
      </c>
      <c r="U4" s="2" t="s">
        <v>42</v>
      </c>
      <c r="V4" s="4" t="s">
        <v>65</v>
      </c>
      <c r="W4" s="2" t="s">
        <v>44</v>
      </c>
      <c r="X4" s="2"/>
      <c r="Y4" s="2"/>
      <c r="Z4" s="2"/>
      <c r="AA4" s="2"/>
      <c r="AB4" s="2"/>
      <c r="AC4" s="2"/>
      <c r="AD4" s="2"/>
      <c r="AE4" s="2"/>
      <c r="AF4" s="2"/>
    </row>
    <row r="5">
      <c r="A5" s="2" t="s">
        <v>100</v>
      </c>
      <c r="B5" s="2" t="s">
        <v>101</v>
      </c>
      <c r="C5" s="2" t="s">
        <v>103</v>
      </c>
      <c r="D5" s="2" t="s">
        <v>104</v>
      </c>
      <c r="E5" s="2" t="s">
        <v>106</v>
      </c>
      <c r="F5" s="2" t="s">
        <v>107</v>
      </c>
      <c r="G5" s="2" t="s">
        <v>108</v>
      </c>
      <c r="H5" s="7">
        <f>147/4463</f>
        <v>0.032937486</v>
      </c>
      <c r="I5" s="2" t="s">
        <v>127</v>
      </c>
      <c r="J5" s="2" t="s">
        <v>129</v>
      </c>
      <c r="K5" s="2" t="s">
        <v>130</v>
      </c>
      <c r="L5" s="2" t="s">
        <v>131</v>
      </c>
      <c r="M5" s="2" t="s">
        <v>134</v>
      </c>
      <c r="N5" s="2" t="s">
        <v>135</v>
      </c>
      <c r="O5" s="2" t="s">
        <v>137</v>
      </c>
      <c r="P5" s="2" t="s">
        <v>138</v>
      </c>
      <c r="Q5" s="2" t="s">
        <v>140</v>
      </c>
      <c r="R5" s="2" t="s">
        <v>138</v>
      </c>
      <c r="S5" s="2" t="s">
        <v>142</v>
      </c>
      <c r="T5" s="2" t="s">
        <v>143</v>
      </c>
      <c r="U5" s="2" t="s">
        <v>144</v>
      </c>
      <c r="V5" s="4" t="s">
        <v>145</v>
      </c>
      <c r="W5" s="2" t="s">
        <v>146</v>
      </c>
      <c r="X5" s="2"/>
      <c r="Y5" s="2"/>
      <c r="Z5" s="2"/>
      <c r="AA5" s="2"/>
      <c r="AB5" s="2"/>
      <c r="AC5" s="2"/>
      <c r="AD5" s="2"/>
      <c r="AE5" s="2"/>
      <c r="AF5" s="2"/>
    </row>
    <row r="6">
      <c r="A6" s="2" t="s">
        <v>151</v>
      </c>
      <c r="B6" s="2" t="s">
        <v>101</v>
      </c>
      <c r="C6" s="2" t="s">
        <v>153</v>
      </c>
      <c r="D6" s="2" t="s">
        <v>155</v>
      </c>
      <c r="E6" s="2" t="s">
        <v>156</v>
      </c>
      <c r="F6" s="2" t="s">
        <v>157</v>
      </c>
      <c r="G6" s="2" t="s">
        <v>159</v>
      </c>
      <c r="H6" s="7">
        <f>124/4256</f>
        <v>0.02913533835</v>
      </c>
      <c r="I6" s="2" t="s">
        <v>165</v>
      </c>
      <c r="J6" s="2" t="s">
        <v>166</v>
      </c>
      <c r="K6" s="2" t="s">
        <v>167</v>
      </c>
      <c r="L6" s="2" t="s">
        <v>168</v>
      </c>
      <c r="M6" s="2" t="s">
        <v>169</v>
      </c>
      <c r="N6" s="2" t="s">
        <v>170</v>
      </c>
      <c r="O6" s="2" t="s">
        <v>137</v>
      </c>
      <c r="P6" s="2" t="s">
        <v>138</v>
      </c>
      <c r="Q6" s="2" t="s">
        <v>176</v>
      </c>
      <c r="R6" s="2" t="s">
        <v>178</v>
      </c>
      <c r="S6" s="2" t="s">
        <v>180</v>
      </c>
      <c r="T6" s="2" t="s">
        <v>181</v>
      </c>
      <c r="U6" s="2" t="s">
        <v>182</v>
      </c>
      <c r="V6" s="4" t="s">
        <v>184</v>
      </c>
      <c r="W6" s="2" t="s">
        <v>185</v>
      </c>
      <c r="X6" s="2"/>
      <c r="Y6" s="2"/>
      <c r="Z6" s="2"/>
      <c r="AA6" s="2"/>
      <c r="AB6" s="2"/>
      <c r="AC6" s="2"/>
      <c r="AD6" s="2"/>
      <c r="AE6" s="2"/>
      <c r="AF6" s="2"/>
    </row>
    <row r="7">
      <c r="A7" s="2" t="s">
        <v>191</v>
      </c>
      <c r="B7" s="2" t="s">
        <v>101</v>
      </c>
      <c r="C7" s="2" t="s">
        <v>193</v>
      </c>
      <c r="D7" s="2" t="s">
        <v>195</v>
      </c>
      <c r="E7" s="2" t="s">
        <v>197</v>
      </c>
      <c r="F7" s="2" t="s">
        <v>199</v>
      </c>
      <c r="G7" s="2" t="s">
        <v>201</v>
      </c>
      <c r="H7" s="7">
        <f>195/4283</f>
        <v>0.04552883493</v>
      </c>
      <c r="I7" s="2" t="s">
        <v>206</v>
      </c>
      <c r="J7" s="2" t="s">
        <v>207</v>
      </c>
      <c r="K7" s="2" t="s">
        <v>208</v>
      </c>
      <c r="L7" s="2" t="s">
        <v>209</v>
      </c>
      <c r="M7" s="2" t="s">
        <v>210</v>
      </c>
      <c r="N7" s="2" t="s">
        <v>212</v>
      </c>
      <c r="O7" s="2" t="s">
        <v>214</v>
      </c>
      <c r="P7" s="2" t="s">
        <v>215</v>
      </c>
      <c r="Q7" s="2" t="s">
        <v>216</v>
      </c>
      <c r="R7" s="2" t="s">
        <v>178</v>
      </c>
      <c r="S7" s="2" t="s">
        <v>217</v>
      </c>
      <c r="T7" s="2" t="s">
        <v>218</v>
      </c>
      <c r="U7" s="2" t="s">
        <v>219</v>
      </c>
      <c r="V7" s="4" t="s">
        <v>220</v>
      </c>
      <c r="W7" s="2" t="s">
        <v>221</v>
      </c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226</v>
      </c>
      <c r="B8" s="2" t="s">
        <v>101</v>
      </c>
      <c r="C8" s="2" t="s">
        <v>228</v>
      </c>
      <c r="D8" s="2" t="s">
        <v>231</v>
      </c>
      <c r="E8" s="2" t="s">
        <v>233</v>
      </c>
      <c r="F8" s="2" t="s">
        <v>234</v>
      </c>
      <c r="G8" s="2" t="s">
        <v>236</v>
      </c>
      <c r="H8" s="7">
        <f>214/4164</f>
        <v>0.05139289145</v>
      </c>
      <c r="I8" s="2" t="s">
        <v>241</v>
      </c>
      <c r="J8" s="2" t="s">
        <v>243</v>
      </c>
      <c r="K8" s="2" t="s">
        <v>244</v>
      </c>
      <c r="L8" s="2" t="s">
        <v>47</v>
      </c>
      <c r="M8" s="2" t="s">
        <v>245</v>
      </c>
      <c r="N8" s="2" t="s">
        <v>246</v>
      </c>
      <c r="O8" s="2" t="s">
        <v>247</v>
      </c>
      <c r="P8" s="2" t="s">
        <v>248</v>
      </c>
      <c r="Q8" s="2" t="s">
        <v>249</v>
      </c>
      <c r="R8" s="4" t="s">
        <v>250</v>
      </c>
      <c r="S8" s="2" t="s">
        <v>251</v>
      </c>
      <c r="T8" s="2" t="s">
        <v>189</v>
      </c>
      <c r="U8" s="2" t="s">
        <v>253</v>
      </c>
      <c r="V8" s="4" t="s">
        <v>255</v>
      </c>
      <c r="W8" s="2" t="s">
        <v>257</v>
      </c>
      <c r="X8" s="2"/>
      <c r="Y8" s="2"/>
      <c r="Z8" s="2"/>
      <c r="AA8" s="2"/>
      <c r="AB8" s="2"/>
      <c r="AC8" s="2"/>
      <c r="AD8" s="2"/>
      <c r="AE8" s="2"/>
      <c r="AF8" s="2"/>
    </row>
    <row r="9">
      <c r="A9" s="2" t="s">
        <v>141</v>
      </c>
      <c r="B9" s="5" t="s">
        <v>33</v>
      </c>
      <c r="C9" s="2" t="s">
        <v>245</v>
      </c>
      <c r="D9" s="2" t="s">
        <v>104</v>
      </c>
      <c r="E9" s="2" t="s">
        <v>261</v>
      </c>
      <c r="F9" s="2" t="s">
        <v>58</v>
      </c>
      <c r="G9" s="2" t="s">
        <v>262</v>
      </c>
      <c r="H9" s="7">
        <f>222/4248</f>
        <v>0.05225988701</v>
      </c>
      <c r="I9" s="2" t="s">
        <v>267</v>
      </c>
      <c r="J9" s="2" t="s">
        <v>269</v>
      </c>
      <c r="K9" s="2" t="s">
        <v>270</v>
      </c>
      <c r="L9" s="2" t="s">
        <v>271</v>
      </c>
      <c r="M9" s="2" t="s">
        <v>273</v>
      </c>
      <c r="N9" s="2" t="s">
        <v>275</v>
      </c>
      <c r="O9" s="2" t="s">
        <v>277</v>
      </c>
      <c r="P9" s="2" t="s">
        <v>278</v>
      </c>
      <c r="Q9" s="2" t="s">
        <v>280</v>
      </c>
      <c r="R9" s="2" t="s">
        <v>281</v>
      </c>
      <c r="S9" s="2" t="s">
        <v>282</v>
      </c>
      <c r="T9" s="2" t="s">
        <v>283</v>
      </c>
      <c r="U9" s="2" t="s">
        <v>42</v>
      </c>
      <c r="V9" s="4" t="s">
        <v>220</v>
      </c>
      <c r="W9" s="2" t="s">
        <v>174</v>
      </c>
      <c r="X9" s="2"/>
      <c r="Y9" s="2"/>
      <c r="Z9" s="2"/>
      <c r="AA9" s="2"/>
      <c r="AB9" s="2"/>
      <c r="AC9" s="2"/>
      <c r="AD9" s="2"/>
      <c r="AE9" s="2"/>
      <c r="AF9" s="2"/>
    </row>
    <row r="10">
      <c r="A10" s="2" t="s">
        <v>284</v>
      </c>
      <c r="B10" s="2" t="s">
        <v>101</v>
      </c>
      <c r="C10" s="2" t="s">
        <v>285</v>
      </c>
      <c r="D10" s="2" t="s">
        <v>152</v>
      </c>
      <c r="E10" s="2" t="s">
        <v>286</v>
      </c>
      <c r="F10" s="2" t="s">
        <v>288</v>
      </c>
      <c r="G10" s="2" t="s">
        <v>289</v>
      </c>
      <c r="H10" s="7">
        <f>157/4326</f>
        <v>0.03629218678</v>
      </c>
      <c r="I10" s="2" t="s">
        <v>294</v>
      </c>
      <c r="J10" s="2" t="s">
        <v>296</v>
      </c>
      <c r="K10" s="2" t="s">
        <v>105</v>
      </c>
      <c r="L10" s="2" t="s">
        <v>66</v>
      </c>
      <c r="M10" s="2" t="s">
        <v>297</v>
      </c>
      <c r="N10" s="2" t="s">
        <v>298</v>
      </c>
      <c r="O10" s="2" t="s">
        <v>299</v>
      </c>
      <c r="P10" s="2" t="s">
        <v>300</v>
      </c>
      <c r="Q10" s="2" t="s">
        <v>301</v>
      </c>
      <c r="R10" s="2" t="s">
        <v>302</v>
      </c>
      <c r="S10" s="2" t="s">
        <v>303</v>
      </c>
      <c r="T10" s="2" t="s">
        <v>304</v>
      </c>
      <c r="U10" s="2" t="s">
        <v>306</v>
      </c>
      <c r="V10" s="4" t="s">
        <v>308</v>
      </c>
      <c r="W10" s="2" t="s">
        <v>309</v>
      </c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2" t="s">
        <v>312</v>
      </c>
      <c r="B11" s="2" t="s">
        <v>101</v>
      </c>
      <c r="C11" s="2" t="s">
        <v>313</v>
      </c>
      <c r="D11" s="2" t="s">
        <v>315</v>
      </c>
      <c r="E11" s="2" t="s">
        <v>249</v>
      </c>
      <c r="F11" s="2" t="s">
        <v>317</v>
      </c>
      <c r="G11" s="2" t="s">
        <v>318</v>
      </c>
      <c r="H11" s="7">
        <f>153/4191</f>
        <v>0.03650680029</v>
      </c>
      <c r="I11" s="2" t="s">
        <v>321</v>
      </c>
      <c r="J11" s="2" t="s">
        <v>323</v>
      </c>
      <c r="K11" s="2" t="s">
        <v>158</v>
      </c>
      <c r="L11" s="2" t="s">
        <v>325</v>
      </c>
      <c r="M11" s="2" t="s">
        <v>326</v>
      </c>
      <c r="N11" s="2" t="s">
        <v>86</v>
      </c>
      <c r="O11" s="2" t="s">
        <v>327</v>
      </c>
      <c r="P11" s="2" t="s">
        <v>328</v>
      </c>
      <c r="Q11" s="2" t="s">
        <v>329</v>
      </c>
      <c r="R11" s="2" t="s">
        <v>330</v>
      </c>
      <c r="S11" s="2" t="s">
        <v>331</v>
      </c>
      <c r="T11" s="2" t="s">
        <v>250</v>
      </c>
      <c r="U11" s="2" t="s">
        <v>306</v>
      </c>
      <c r="V11" s="4" t="s">
        <v>308</v>
      </c>
      <c r="W11" s="2" t="s">
        <v>309</v>
      </c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2" t="s">
        <v>336</v>
      </c>
      <c r="B12" s="2" t="s">
        <v>101</v>
      </c>
      <c r="C12" s="2" t="s">
        <v>337</v>
      </c>
      <c r="D12" s="2" t="s">
        <v>339</v>
      </c>
      <c r="E12" s="2" t="s">
        <v>341</v>
      </c>
      <c r="F12" s="2" t="s">
        <v>342</v>
      </c>
      <c r="G12" s="2" t="s">
        <v>343</v>
      </c>
      <c r="H12" s="7">
        <f>358/4211</f>
        <v>0.08501543576</v>
      </c>
      <c r="I12" s="2" t="s">
        <v>346</v>
      </c>
      <c r="J12" s="2" t="s">
        <v>347</v>
      </c>
      <c r="K12" s="2" t="s">
        <v>349</v>
      </c>
      <c r="L12" s="2" t="s">
        <v>350</v>
      </c>
      <c r="M12" s="2" t="s">
        <v>352</v>
      </c>
      <c r="N12" s="2" t="s">
        <v>354</v>
      </c>
      <c r="O12" s="2" t="s">
        <v>355</v>
      </c>
      <c r="P12" s="2" t="s">
        <v>357</v>
      </c>
      <c r="Q12" s="2" t="s">
        <v>359</v>
      </c>
      <c r="R12" s="2" t="s">
        <v>360</v>
      </c>
      <c r="S12" s="2" t="s">
        <v>362</v>
      </c>
      <c r="T12" s="2" t="s">
        <v>363</v>
      </c>
      <c r="U12" s="2" t="s">
        <v>364</v>
      </c>
      <c r="V12" s="4" t="s">
        <v>242</v>
      </c>
      <c r="W12" s="2" t="s">
        <v>365</v>
      </c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368</v>
      </c>
      <c r="B13" s="2" t="s">
        <v>369</v>
      </c>
      <c r="C13" s="2" t="s">
        <v>370</v>
      </c>
      <c r="D13" s="2" t="s">
        <v>195</v>
      </c>
      <c r="E13" s="2" t="s">
        <v>371</v>
      </c>
      <c r="F13" s="2" t="s">
        <v>372</v>
      </c>
      <c r="G13" s="2" t="s">
        <v>373</v>
      </c>
      <c r="H13" s="7">
        <f>303/4644</f>
        <v>0.06524547804</v>
      </c>
      <c r="I13" s="2" t="s">
        <v>375</v>
      </c>
      <c r="J13" s="12">
        <v>0.0</v>
      </c>
      <c r="K13" s="2" t="s">
        <v>380</v>
      </c>
      <c r="L13" s="12">
        <v>0.0</v>
      </c>
      <c r="M13" s="2" t="s">
        <v>383</v>
      </c>
      <c r="N13" s="12">
        <v>0.0</v>
      </c>
      <c r="O13" s="2" t="s">
        <v>392</v>
      </c>
      <c r="P13" s="12">
        <v>0.0</v>
      </c>
      <c r="Q13" s="2" t="s">
        <v>395</v>
      </c>
      <c r="R13" s="12">
        <v>0.0</v>
      </c>
      <c r="S13" s="2" t="s">
        <v>396</v>
      </c>
      <c r="T13" s="12">
        <v>0.0</v>
      </c>
      <c r="U13" s="2" t="s">
        <v>368</v>
      </c>
      <c r="V13" s="2" t="s">
        <v>397</v>
      </c>
      <c r="W13" s="2" t="s">
        <v>397</v>
      </c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2"/>
      <c r="T14" s="2"/>
      <c r="U14" s="2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2" t="s">
        <v>402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2" t="s">
        <v>411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 t="s">
        <v>414</v>
      </c>
      <c r="P16" s="2"/>
      <c r="Q16" s="2"/>
      <c r="R16" s="2"/>
      <c r="S16" s="2"/>
      <c r="T16" s="2"/>
      <c r="U16" s="2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2" t="s">
        <v>418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" t="s">
        <v>428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">
    <mergeCell ref="A1:W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 t="s">
        <v>4</v>
      </c>
      <c r="C2" s="2" t="s">
        <v>20</v>
      </c>
      <c r="D2" s="2" t="s">
        <v>22</v>
      </c>
      <c r="E2" s="2" t="s">
        <v>25</v>
      </c>
      <c r="F2" s="2" t="s">
        <v>27</v>
      </c>
      <c r="G2" s="4" t="s">
        <v>29</v>
      </c>
      <c r="H2" s="4" t="s">
        <v>35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 t="s">
        <v>36</v>
      </c>
      <c r="B3" s="5" t="s">
        <v>37</v>
      </c>
      <c r="C3" s="5">
        <v>0.52</v>
      </c>
      <c r="D3" s="2">
        <v>0.92</v>
      </c>
      <c r="E3" s="2" t="s">
        <v>42</v>
      </c>
      <c r="F3" s="2" t="s">
        <v>44</v>
      </c>
      <c r="G3" s="2" t="s">
        <v>45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48</v>
      </c>
      <c r="B4" s="5" t="s">
        <v>37</v>
      </c>
      <c r="C4" s="2">
        <v>0.87</v>
      </c>
      <c r="D4" s="2">
        <v>0.77</v>
      </c>
      <c r="E4" s="2" t="s">
        <v>42</v>
      </c>
      <c r="F4" s="2" t="s">
        <v>44</v>
      </c>
      <c r="G4" s="2" t="s">
        <v>45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67</v>
      </c>
      <c r="B5" s="5" t="s">
        <v>37</v>
      </c>
      <c r="C5" s="8">
        <v>0.56</v>
      </c>
      <c r="D5" s="2">
        <v>0.92</v>
      </c>
      <c r="E5" s="2" t="s">
        <v>42</v>
      </c>
      <c r="F5" s="2" t="s">
        <v>44</v>
      </c>
      <c r="G5" s="2" t="s">
        <v>45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97</v>
      </c>
      <c r="B6" s="5" t="s">
        <v>37</v>
      </c>
      <c r="C6" s="4">
        <v>0.79</v>
      </c>
      <c r="D6" s="4">
        <v>0.84</v>
      </c>
      <c r="E6" s="4" t="s">
        <v>42</v>
      </c>
      <c r="F6" s="4" t="s">
        <v>44</v>
      </c>
      <c r="G6" s="4" t="s">
        <v>45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 t="s">
        <v>116</v>
      </c>
      <c r="B7" s="4" t="s">
        <v>118</v>
      </c>
      <c r="C7" s="4">
        <v>0.85</v>
      </c>
      <c r="D7" s="4">
        <v>0.8</v>
      </c>
      <c r="E7" s="4" t="s">
        <v>122</v>
      </c>
      <c r="F7" s="4" t="s">
        <v>44</v>
      </c>
      <c r="G7" s="4" t="s">
        <v>45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" t="s">
        <v>141</v>
      </c>
      <c r="B8" s="9" t="s">
        <v>37</v>
      </c>
      <c r="C8" s="2">
        <v>0.97</v>
      </c>
      <c r="D8" s="2">
        <v>0.69</v>
      </c>
      <c r="E8" s="2" t="s">
        <v>42</v>
      </c>
      <c r="F8" s="2" t="s">
        <v>174</v>
      </c>
      <c r="G8" s="2" t="s">
        <v>45</v>
      </c>
      <c r="H8" s="2" t="s">
        <v>177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196</v>
      </c>
      <c r="B9" s="4" t="s">
        <v>118</v>
      </c>
      <c r="C9" s="2">
        <v>0.97</v>
      </c>
      <c r="D9" s="2">
        <v>0.74</v>
      </c>
      <c r="E9" s="2" t="s">
        <v>144</v>
      </c>
      <c r="F9" s="2" t="s">
        <v>146</v>
      </c>
      <c r="G9" s="2" t="s">
        <v>45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" t="s">
        <v>230</v>
      </c>
      <c r="B10" s="4" t="s">
        <v>118</v>
      </c>
      <c r="C10" s="4">
        <v>1.01</v>
      </c>
      <c r="D10" s="4">
        <v>0.73</v>
      </c>
      <c r="E10" s="4" t="s">
        <v>230</v>
      </c>
      <c r="F10" s="4" t="s">
        <v>240</v>
      </c>
      <c r="G10" s="4" t="s">
        <v>242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" t="s">
        <v>191</v>
      </c>
      <c r="B11" s="4" t="s">
        <v>118</v>
      </c>
      <c r="C11" s="2">
        <v>1.08</v>
      </c>
      <c r="D11" s="2">
        <v>0.62</v>
      </c>
      <c r="E11" s="2" t="s">
        <v>219</v>
      </c>
      <c r="F11" s="2" t="s">
        <v>221</v>
      </c>
      <c r="G11" s="2" t="s">
        <v>45</v>
      </c>
      <c r="H11" s="2" t="s">
        <v>274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226</v>
      </c>
      <c r="B12" s="4" t="s">
        <v>118</v>
      </c>
      <c r="C12" s="2">
        <v>1.12</v>
      </c>
      <c r="D12" s="2">
        <v>0.63</v>
      </c>
      <c r="E12" s="2" t="s">
        <v>253</v>
      </c>
      <c r="F12" s="2" t="s">
        <v>257</v>
      </c>
      <c r="G12" s="2" t="s">
        <v>320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284</v>
      </c>
      <c r="B13" s="4" t="s">
        <v>118</v>
      </c>
      <c r="C13" s="2">
        <v>1.3</v>
      </c>
      <c r="D13" s="2">
        <v>0.45</v>
      </c>
      <c r="E13" s="2" t="s">
        <v>344</v>
      </c>
      <c r="F13" s="2" t="s">
        <v>309</v>
      </c>
      <c r="G13" s="2" t="s">
        <v>45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312</v>
      </c>
      <c r="B14" s="4" t="s">
        <v>118</v>
      </c>
      <c r="C14" s="2">
        <v>1.33</v>
      </c>
      <c r="D14" s="2">
        <v>0.46</v>
      </c>
      <c r="E14" s="2" t="s">
        <v>344</v>
      </c>
      <c r="F14" s="2" t="s">
        <v>309</v>
      </c>
      <c r="G14" s="2" t="s">
        <v>45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336</v>
      </c>
      <c r="B15" s="4" t="s">
        <v>118</v>
      </c>
      <c r="C15" s="2">
        <v>1.19</v>
      </c>
      <c r="D15" s="2">
        <v>0.66</v>
      </c>
      <c r="E15" s="2" t="s">
        <v>364</v>
      </c>
      <c r="F15" s="2" t="s">
        <v>365</v>
      </c>
      <c r="G15" s="2" t="s">
        <v>242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368</v>
      </c>
      <c r="B16" s="2" t="s">
        <v>369</v>
      </c>
      <c r="C16" s="2">
        <v>1.34</v>
      </c>
      <c r="D16" s="2">
        <v>0.0</v>
      </c>
      <c r="E16" s="2" t="s">
        <v>368</v>
      </c>
      <c r="F16" s="2" t="s">
        <v>397</v>
      </c>
      <c r="G16" s="2" t="s">
        <v>397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" t="s">
        <v>422</v>
      </c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" t="s">
        <v>433</v>
      </c>
      <c r="B19" s="2"/>
      <c r="C19" s="2"/>
      <c r="D19" s="2"/>
      <c r="E19" s="2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471</v>
      </c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2" t="s">
        <v>4</v>
      </c>
      <c r="C2" s="2" t="s">
        <v>472</v>
      </c>
      <c r="D2" s="2" t="s">
        <v>8</v>
      </c>
      <c r="E2" s="2" t="s">
        <v>9</v>
      </c>
      <c r="F2" s="2"/>
      <c r="G2" s="2"/>
      <c r="H2" s="2" t="s">
        <v>17</v>
      </c>
      <c r="I2" s="2" t="s">
        <v>18</v>
      </c>
      <c r="J2" s="2" t="s">
        <v>19</v>
      </c>
      <c r="K2" s="2" t="s">
        <v>473</v>
      </c>
      <c r="L2" s="2" t="s">
        <v>23</v>
      </c>
      <c r="M2" s="2" t="s">
        <v>474</v>
      </c>
      <c r="N2" s="2" t="s">
        <v>26</v>
      </c>
      <c r="O2" s="2" t="s">
        <v>28</v>
      </c>
      <c r="P2" s="2" t="s">
        <v>25</v>
      </c>
      <c r="Q2" s="2" t="s">
        <v>475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2"/>
      <c r="C3" s="1" t="s">
        <v>476</v>
      </c>
      <c r="D3" s="2"/>
      <c r="E3" s="2"/>
      <c r="F3" s="1" t="s">
        <v>11</v>
      </c>
      <c r="G3" s="1" t="s">
        <v>12</v>
      </c>
      <c r="H3" s="1" t="s">
        <v>477</v>
      </c>
      <c r="I3" s="2"/>
      <c r="J3" s="1" t="s">
        <v>478</v>
      </c>
      <c r="K3" s="2"/>
      <c r="L3" s="1" t="s">
        <v>479</v>
      </c>
      <c r="M3" s="2"/>
      <c r="N3" s="1" t="s">
        <v>480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 t="s">
        <v>481</v>
      </c>
      <c r="B4" s="4"/>
      <c r="C4" s="4">
        <v>54.0</v>
      </c>
      <c r="D4" s="4"/>
      <c r="E4" s="4"/>
      <c r="F4" s="4"/>
      <c r="G4" s="4"/>
      <c r="H4" s="4">
        <v>39.0</v>
      </c>
      <c r="I4" s="4"/>
      <c r="J4" s="4">
        <v>1.0</v>
      </c>
      <c r="K4" s="4"/>
      <c r="L4" s="4">
        <v>1.0</v>
      </c>
      <c r="M4" s="4"/>
      <c r="N4" s="4">
        <v>13.0</v>
      </c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" t="s">
        <v>68</v>
      </c>
      <c r="B5" s="5" t="s">
        <v>37</v>
      </c>
      <c r="C5" s="5">
        <v>0.39</v>
      </c>
      <c r="D5" s="2">
        <v>0.99</v>
      </c>
      <c r="E5" s="2">
        <v>0.97</v>
      </c>
      <c r="F5" s="2" t="s">
        <v>482</v>
      </c>
      <c r="G5" s="13">
        <v>0.0</v>
      </c>
      <c r="H5" s="1">
        <v>0.33</v>
      </c>
      <c r="I5" s="2">
        <v>0.88</v>
      </c>
      <c r="J5" s="2">
        <v>0.62</v>
      </c>
      <c r="K5" s="2" t="s">
        <v>483</v>
      </c>
      <c r="L5" s="2">
        <v>0.73</v>
      </c>
      <c r="M5" s="2" t="s">
        <v>483</v>
      </c>
      <c r="N5" s="1">
        <v>0.5</v>
      </c>
      <c r="O5" s="2">
        <v>0.73</v>
      </c>
      <c r="P5" s="2" t="s">
        <v>484</v>
      </c>
      <c r="Q5" s="1" t="s">
        <v>44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" t="s">
        <v>32</v>
      </c>
      <c r="B6" s="5" t="s">
        <v>37</v>
      </c>
      <c r="C6" s="8">
        <v>0.42</v>
      </c>
      <c r="D6" s="2">
        <v>0.98</v>
      </c>
      <c r="E6" s="2">
        <v>0.96</v>
      </c>
      <c r="F6" s="2" t="s">
        <v>485</v>
      </c>
      <c r="G6" s="13">
        <v>0.0</v>
      </c>
      <c r="H6" s="2">
        <v>0.36</v>
      </c>
      <c r="I6" s="2">
        <v>0.85</v>
      </c>
      <c r="J6" s="1">
        <v>0.41</v>
      </c>
      <c r="K6" s="2" t="s">
        <v>483</v>
      </c>
      <c r="L6" s="1">
        <v>0.32</v>
      </c>
      <c r="M6" s="2" t="s">
        <v>483</v>
      </c>
      <c r="N6" s="2">
        <v>0.6</v>
      </c>
      <c r="O6" s="2">
        <v>0.46</v>
      </c>
      <c r="P6" s="2" t="s">
        <v>484</v>
      </c>
      <c r="Q6" s="1" t="s">
        <v>44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 t="s">
        <v>141</v>
      </c>
      <c r="B7" s="5" t="s">
        <v>37</v>
      </c>
      <c r="C7" s="2">
        <v>0.59</v>
      </c>
      <c r="D7" s="2">
        <v>0.98</v>
      </c>
      <c r="E7" s="2">
        <v>0.92</v>
      </c>
      <c r="F7" s="2" t="s">
        <v>486</v>
      </c>
      <c r="G7" s="13">
        <v>0.0</v>
      </c>
      <c r="H7" s="2">
        <v>0.48</v>
      </c>
      <c r="I7" s="2">
        <v>0.71</v>
      </c>
      <c r="J7" s="2">
        <v>0.51</v>
      </c>
      <c r="K7" s="2" t="s">
        <v>483</v>
      </c>
      <c r="L7" s="2">
        <v>1.5</v>
      </c>
      <c r="M7" s="2" t="s">
        <v>483</v>
      </c>
      <c r="N7" s="2">
        <v>0.72</v>
      </c>
      <c r="O7" s="2">
        <v>0.54</v>
      </c>
      <c r="P7" s="2" t="s">
        <v>484</v>
      </c>
      <c r="Q7" s="2" t="s">
        <v>174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" t="s">
        <v>487</v>
      </c>
      <c r="B8" s="2" t="s">
        <v>118</v>
      </c>
      <c r="C8" s="2" t="s">
        <v>488</v>
      </c>
      <c r="D8" s="2" t="s">
        <v>489</v>
      </c>
      <c r="E8" s="2" t="s">
        <v>490</v>
      </c>
      <c r="F8" s="2" t="s">
        <v>491</v>
      </c>
      <c r="G8" s="13">
        <v>0.0</v>
      </c>
      <c r="H8" s="2">
        <v>0.65</v>
      </c>
      <c r="I8" s="2">
        <v>0.38</v>
      </c>
      <c r="J8" s="2" t="s">
        <v>492</v>
      </c>
      <c r="K8" s="2" t="s">
        <v>483</v>
      </c>
      <c r="L8" s="2" t="s">
        <v>493</v>
      </c>
      <c r="M8" s="2" t="s">
        <v>483</v>
      </c>
      <c r="N8" s="2">
        <v>0.45</v>
      </c>
      <c r="O8" s="2">
        <v>0.79</v>
      </c>
      <c r="P8" s="2" t="s">
        <v>494</v>
      </c>
      <c r="Q8" s="2" t="s">
        <v>146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 t="s">
        <v>495</v>
      </c>
      <c r="B9" s="2" t="s">
        <v>118</v>
      </c>
      <c r="C9" s="2" t="s">
        <v>496</v>
      </c>
      <c r="D9" s="2" t="s">
        <v>489</v>
      </c>
      <c r="E9" s="2" t="s">
        <v>497</v>
      </c>
      <c r="F9" s="2" t="s">
        <v>498</v>
      </c>
      <c r="G9" s="13">
        <v>0.0</v>
      </c>
      <c r="H9" s="2">
        <v>0.81</v>
      </c>
      <c r="I9" s="2">
        <v>0.67</v>
      </c>
      <c r="J9" s="2" t="s">
        <v>492</v>
      </c>
      <c r="K9" s="2" t="s">
        <v>483</v>
      </c>
      <c r="L9" s="2">
        <v>0.36</v>
      </c>
      <c r="M9" s="2" t="s">
        <v>483</v>
      </c>
      <c r="N9" s="2">
        <v>0.52</v>
      </c>
      <c r="O9" s="2">
        <v>0.42</v>
      </c>
      <c r="P9" s="2" t="s">
        <v>499</v>
      </c>
      <c r="Q9" s="2" t="s">
        <v>185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 t="s">
        <v>191</v>
      </c>
      <c r="B10" s="2" t="s">
        <v>118</v>
      </c>
      <c r="C10" s="2">
        <v>0.78</v>
      </c>
      <c r="D10" s="2">
        <v>0.96</v>
      </c>
      <c r="E10" s="2">
        <v>0.86</v>
      </c>
      <c r="F10" s="2" t="s">
        <v>486</v>
      </c>
      <c r="G10" s="13">
        <v>0.0</v>
      </c>
      <c r="H10" s="2">
        <v>0.83</v>
      </c>
      <c r="I10" s="2">
        <v>0.47</v>
      </c>
      <c r="J10" s="2">
        <v>0.7</v>
      </c>
      <c r="K10" s="2" t="s">
        <v>483</v>
      </c>
      <c r="L10" s="2">
        <v>0.14</v>
      </c>
      <c r="M10" s="2" t="s">
        <v>483</v>
      </c>
      <c r="N10" s="2">
        <v>0.65</v>
      </c>
      <c r="O10" s="2">
        <v>0.49</v>
      </c>
      <c r="P10" s="2" t="s">
        <v>500</v>
      </c>
      <c r="Q10" s="2" t="s">
        <v>221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 t="s">
        <v>226</v>
      </c>
      <c r="B11" s="2" t="s">
        <v>118</v>
      </c>
      <c r="C11" s="2">
        <v>0.79</v>
      </c>
      <c r="D11" s="2">
        <v>0.96</v>
      </c>
      <c r="E11" s="2">
        <v>0.86</v>
      </c>
      <c r="F11" s="2" t="s">
        <v>485</v>
      </c>
      <c r="G11" s="13">
        <v>0.0</v>
      </c>
      <c r="H11" s="2">
        <v>0.88</v>
      </c>
      <c r="I11" s="2">
        <v>0.45</v>
      </c>
      <c r="J11" s="2">
        <v>0.84</v>
      </c>
      <c r="K11" s="4" t="s">
        <v>483</v>
      </c>
      <c r="L11" s="2">
        <v>1.49</v>
      </c>
      <c r="M11" s="2" t="s">
        <v>483</v>
      </c>
      <c r="N11" s="2">
        <v>0.21</v>
      </c>
      <c r="O11" s="2">
        <v>0.56</v>
      </c>
      <c r="P11" s="2" t="s">
        <v>253</v>
      </c>
      <c r="Q11" s="2" t="s">
        <v>257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4" t="s">
        <v>501</v>
      </c>
      <c r="B12" s="2" t="s">
        <v>118</v>
      </c>
      <c r="C12" s="4">
        <v>0.86</v>
      </c>
      <c r="D12" s="4">
        <v>0.95</v>
      </c>
      <c r="E12" s="4">
        <v>0.83</v>
      </c>
      <c r="F12" s="4" t="s">
        <v>502</v>
      </c>
      <c r="G12" s="13">
        <v>0.0</v>
      </c>
      <c r="H12" s="4">
        <v>0.57</v>
      </c>
      <c r="I12" s="4">
        <v>0.68</v>
      </c>
      <c r="J12" s="4">
        <v>1.06</v>
      </c>
      <c r="K12" s="4" t="s">
        <v>483</v>
      </c>
      <c r="L12" s="4">
        <v>3.78</v>
      </c>
      <c r="M12" s="4" t="s">
        <v>483</v>
      </c>
      <c r="N12" s="4">
        <v>0.97</v>
      </c>
      <c r="O12" s="4">
        <v>0.83</v>
      </c>
      <c r="P12" s="4" t="s">
        <v>503</v>
      </c>
      <c r="Q12" s="2" t="s">
        <v>204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4" t="s">
        <v>132</v>
      </c>
      <c r="B13" s="2" t="s">
        <v>118</v>
      </c>
      <c r="C13" s="4">
        <v>0.83</v>
      </c>
      <c r="D13" s="4">
        <v>0.96</v>
      </c>
      <c r="E13" s="4">
        <v>0.82</v>
      </c>
      <c r="F13" s="4" t="s">
        <v>504</v>
      </c>
      <c r="G13" s="13">
        <v>0.0</v>
      </c>
      <c r="H13" s="4">
        <v>0.93</v>
      </c>
      <c r="I13" s="4">
        <v>0.51</v>
      </c>
      <c r="J13" s="4">
        <v>0.47</v>
      </c>
      <c r="K13" s="4" t="s">
        <v>483</v>
      </c>
      <c r="L13" s="4">
        <v>1.51</v>
      </c>
      <c r="M13" s="4" t="s">
        <v>483</v>
      </c>
      <c r="N13" s="4">
        <v>0.33</v>
      </c>
      <c r="O13" s="4">
        <v>0.77</v>
      </c>
      <c r="P13" s="4" t="s">
        <v>503</v>
      </c>
      <c r="Q13" s="1" t="s">
        <v>44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 t="s">
        <v>284</v>
      </c>
      <c r="B14" s="2" t="s">
        <v>118</v>
      </c>
      <c r="C14" s="2">
        <v>0.99</v>
      </c>
      <c r="D14" s="2">
        <v>0.95</v>
      </c>
      <c r="E14" s="2">
        <v>0.76</v>
      </c>
      <c r="F14" s="2" t="s">
        <v>505</v>
      </c>
      <c r="G14" s="13">
        <v>0.0</v>
      </c>
      <c r="H14" s="2">
        <v>1.15</v>
      </c>
      <c r="I14" s="2">
        <v>0.42</v>
      </c>
      <c r="J14" s="2">
        <v>0.04</v>
      </c>
      <c r="K14" s="2" t="s">
        <v>483</v>
      </c>
      <c r="L14" s="2">
        <v>0.28</v>
      </c>
      <c r="M14" s="2" t="s">
        <v>483</v>
      </c>
      <c r="N14" s="2">
        <v>0.27</v>
      </c>
      <c r="O14" s="2">
        <v>0.74</v>
      </c>
      <c r="P14" s="2" t="s">
        <v>506</v>
      </c>
      <c r="Q14" s="2" t="s">
        <v>309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 t="s">
        <v>312</v>
      </c>
      <c r="B15" s="2" t="s">
        <v>118</v>
      </c>
      <c r="C15" s="2">
        <v>1.0</v>
      </c>
      <c r="D15" s="2">
        <v>0.96</v>
      </c>
      <c r="E15" s="2">
        <v>0.75</v>
      </c>
      <c r="F15" s="2" t="s">
        <v>507</v>
      </c>
      <c r="G15" s="13">
        <v>0.0</v>
      </c>
      <c r="H15" s="2">
        <v>1.14</v>
      </c>
      <c r="I15" s="2">
        <v>0.49</v>
      </c>
      <c r="J15" s="2">
        <v>0.67</v>
      </c>
      <c r="K15" s="2" t="s">
        <v>483</v>
      </c>
      <c r="L15" s="2">
        <v>1.27</v>
      </c>
      <c r="M15" s="2" t="s">
        <v>483</v>
      </c>
      <c r="N15" s="2">
        <v>0.37</v>
      </c>
      <c r="O15" s="2">
        <v>0.72</v>
      </c>
      <c r="P15" s="2" t="s">
        <v>506</v>
      </c>
      <c r="Q15" s="2" t="s">
        <v>309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 t="s">
        <v>336</v>
      </c>
      <c r="B16" s="2" t="s">
        <v>118</v>
      </c>
      <c r="C16" s="2">
        <v>1.43</v>
      </c>
      <c r="D16" s="2">
        <v>0.77</v>
      </c>
      <c r="E16" s="2">
        <v>0.52</v>
      </c>
      <c r="F16" s="2" t="s">
        <v>508</v>
      </c>
      <c r="G16" s="7">
        <f>2/29</f>
        <v>0.06896551724</v>
      </c>
      <c r="H16" s="2">
        <v>0.88</v>
      </c>
      <c r="I16" s="2">
        <v>0.52</v>
      </c>
      <c r="J16" s="2">
        <v>0.47</v>
      </c>
      <c r="K16" s="2" t="s">
        <v>483</v>
      </c>
      <c r="L16" s="2">
        <v>1.7</v>
      </c>
      <c r="M16" s="2" t="s">
        <v>483</v>
      </c>
      <c r="N16" s="2">
        <v>2.42</v>
      </c>
      <c r="O16" s="2">
        <v>-0.18</v>
      </c>
      <c r="P16" s="2" t="s">
        <v>364</v>
      </c>
      <c r="Q16" s="2" t="s">
        <v>365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 t="s">
        <v>368</v>
      </c>
      <c r="B17" s="2" t="s">
        <v>369</v>
      </c>
      <c r="C17" s="2">
        <v>0.87</v>
      </c>
      <c r="D17" s="2">
        <v>0.96</v>
      </c>
      <c r="E17" s="2">
        <v>0.83</v>
      </c>
      <c r="F17" s="2" t="s">
        <v>486</v>
      </c>
      <c r="G17" s="13">
        <v>0.0</v>
      </c>
      <c r="H17" s="2">
        <v>0.98</v>
      </c>
      <c r="I17" s="2">
        <v>0.0</v>
      </c>
      <c r="J17" s="2">
        <v>0.7</v>
      </c>
      <c r="K17" s="2">
        <v>0.0</v>
      </c>
      <c r="L17" s="2">
        <v>1.5</v>
      </c>
      <c r="M17" s="2">
        <v>0.0</v>
      </c>
      <c r="N17" s="2">
        <v>0.23</v>
      </c>
      <c r="O17" s="2">
        <v>0.0</v>
      </c>
      <c r="P17" s="2" t="s">
        <v>368</v>
      </c>
      <c r="Q17" s="2" t="s">
        <v>397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 t="s">
        <v>509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4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 t="s">
        <v>510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 t="s">
        <v>511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 t="s">
        <v>513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 t="s">
        <v>514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</sheetData>
  <mergeCells count="1">
    <mergeCell ref="A1:U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512</v>
      </c>
      <c r="V1" s="2"/>
      <c r="W1" s="2"/>
      <c r="X1" s="2"/>
      <c r="Y1" s="2"/>
      <c r="Z1" s="2"/>
      <c r="AA1" s="2"/>
      <c r="AB1" s="2"/>
      <c r="AC1" s="2"/>
      <c r="AD1" s="2"/>
    </row>
    <row r="2">
      <c r="A2" s="2"/>
      <c r="B2" s="3" t="s">
        <v>4</v>
      </c>
      <c r="C2" s="1" t="s">
        <v>7</v>
      </c>
      <c r="D2" s="1" t="s">
        <v>8</v>
      </c>
      <c r="E2" s="1" t="s">
        <v>9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26</v>
      </c>
      <c r="M2" s="1" t="s">
        <v>28</v>
      </c>
      <c r="N2" s="3" t="s">
        <v>25</v>
      </c>
      <c r="O2" s="1" t="s">
        <v>31</v>
      </c>
      <c r="P2" s="2"/>
      <c r="Q2" s="2"/>
      <c r="R2" s="2" t="s">
        <v>29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 t="s">
        <v>515</v>
      </c>
      <c r="B3" s="5" t="s">
        <v>33</v>
      </c>
      <c r="C3" s="2">
        <v>2.79</v>
      </c>
      <c r="D3" s="2">
        <v>0.39</v>
      </c>
      <c r="E3" s="2">
        <v>-2.37</v>
      </c>
      <c r="F3" s="4" t="s">
        <v>516</v>
      </c>
      <c r="G3" s="14">
        <f>34/65</f>
        <v>0.5230769231</v>
      </c>
      <c r="H3" s="2">
        <v>3.54</v>
      </c>
      <c r="I3" s="2">
        <v>0.19</v>
      </c>
      <c r="J3" s="2">
        <v>3.03</v>
      </c>
      <c r="K3" s="2">
        <v>0.34</v>
      </c>
      <c r="L3" s="2">
        <v>1.52</v>
      </c>
      <c r="M3" s="2">
        <v>0.6</v>
      </c>
      <c r="N3" s="2" t="s">
        <v>484</v>
      </c>
      <c r="O3" s="2" t="s">
        <v>44</v>
      </c>
      <c r="P3" s="2"/>
      <c r="Q3" s="2"/>
      <c r="R3" s="2" t="s">
        <v>517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 t="s">
        <v>518</v>
      </c>
      <c r="B4" s="5" t="s">
        <v>33</v>
      </c>
      <c r="C4" s="2">
        <v>1.98</v>
      </c>
      <c r="D4" s="2">
        <v>0.47</v>
      </c>
      <c r="E4" s="2">
        <v>-0.73</v>
      </c>
      <c r="F4" s="4" t="s">
        <v>519</v>
      </c>
      <c r="G4" s="14">
        <f>25/54</f>
        <v>0.462962963</v>
      </c>
      <c r="H4" s="2">
        <v>2.06</v>
      </c>
      <c r="I4" s="2">
        <v>0.46</v>
      </c>
      <c r="J4" s="2">
        <v>2.36</v>
      </c>
      <c r="K4" s="2">
        <v>0.29</v>
      </c>
      <c r="L4" s="5">
        <v>1.42</v>
      </c>
      <c r="M4" s="2">
        <v>0.65</v>
      </c>
      <c r="N4" s="2" t="s">
        <v>484</v>
      </c>
      <c r="O4" s="2" t="s">
        <v>44</v>
      </c>
      <c r="P4" s="2"/>
      <c r="Q4" s="2"/>
      <c r="R4" s="2" t="s">
        <v>517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4" t="s">
        <v>132</v>
      </c>
      <c r="B5" s="4" t="s">
        <v>101</v>
      </c>
      <c r="C5" s="4">
        <v>2.36</v>
      </c>
      <c r="D5" s="4">
        <v>0.32</v>
      </c>
      <c r="E5" s="2">
        <v>-1.57</v>
      </c>
      <c r="F5" s="4" t="s">
        <v>520</v>
      </c>
      <c r="G5" s="14">
        <f>26/48</f>
        <v>0.5416666667</v>
      </c>
      <c r="H5" s="4">
        <v>2.67</v>
      </c>
      <c r="I5" s="4">
        <v>0.28</v>
      </c>
      <c r="J5" s="4">
        <v>2.32</v>
      </c>
      <c r="K5" s="4">
        <v>0.41</v>
      </c>
      <c r="L5" s="4">
        <v>2.13</v>
      </c>
      <c r="M5" s="4">
        <v>0.11</v>
      </c>
      <c r="N5" s="4" t="s">
        <v>521</v>
      </c>
      <c r="O5" s="4" t="s">
        <v>44</v>
      </c>
      <c r="P5" s="4"/>
      <c r="Q5" s="4"/>
      <c r="R5" s="4" t="s">
        <v>517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2" t="s">
        <v>196</v>
      </c>
      <c r="B6" s="2" t="s">
        <v>101</v>
      </c>
      <c r="C6" s="2">
        <v>1.94</v>
      </c>
      <c r="D6" s="2">
        <v>0.46</v>
      </c>
      <c r="E6" s="2">
        <v>-0.67</v>
      </c>
      <c r="F6" s="4" t="s">
        <v>522</v>
      </c>
      <c r="G6" s="14">
        <f>16/56</f>
        <v>0.2857142857</v>
      </c>
      <c r="H6" s="2">
        <v>2.15</v>
      </c>
      <c r="I6" s="2">
        <v>0.19</v>
      </c>
      <c r="J6" s="5">
        <v>1.58</v>
      </c>
      <c r="K6" s="2">
        <v>0.69</v>
      </c>
      <c r="L6" s="2">
        <v>2.09</v>
      </c>
      <c r="M6" s="2">
        <v>0.39</v>
      </c>
      <c r="N6" s="2" t="s">
        <v>494</v>
      </c>
      <c r="O6" s="2" t="s">
        <v>146</v>
      </c>
      <c r="P6" s="2"/>
      <c r="Q6" s="2"/>
      <c r="R6" s="2" t="s">
        <v>523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 t="s">
        <v>524</v>
      </c>
      <c r="B7" s="2" t="s">
        <v>101</v>
      </c>
      <c r="C7" s="2">
        <v>3.23</v>
      </c>
      <c r="D7" s="2">
        <v>0.25</v>
      </c>
      <c r="E7" s="2">
        <v>-3.74</v>
      </c>
      <c r="F7" s="4" t="s">
        <v>525</v>
      </c>
      <c r="G7" s="14">
        <f>40/67</f>
        <v>0.5970149254</v>
      </c>
      <c r="H7" s="2">
        <v>3.48</v>
      </c>
      <c r="I7" s="2">
        <v>0.2</v>
      </c>
      <c r="J7" s="2">
        <v>3.11</v>
      </c>
      <c r="K7" s="2">
        <v>0.46</v>
      </c>
      <c r="L7" s="2">
        <v>3.18</v>
      </c>
      <c r="M7" s="2">
        <v>0.05</v>
      </c>
      <c r="N7" s="2" t="s">
        <v>499</v>
      </c>
      <c r="O7" s="2" t="s">
        <v>185</v>
      </c>
      <c r="P7" s="2"/>
      <c r="Q7" s="2"/>
      <c r="R7" s="2" t="s">
        <v>526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" t="s">
        <v>527</v>
      </c>
      <c r="B8" s="2" t="s">
        <v>101</v>
      </c>
      <c r="C8" s="2">
        <v>2.23</v>
      </c>
      <c r="D8" s="2">
        <v>0.46</v>
      </c>
      <c r="E8" s="2">
        <v>-1.21</v>
      </c>
      <c r="F8" s="4" t="s">
        <v>528</v>
      </c>
      <c r="G8" s="14">
        <f>17/60</f>
        <v>0.2833333333</v>
      </c>
      <c r="H8" s="2">
        <v>2.12</v>
      </c>
      <c r="I8" s="2">
        <v>0.52</v>
      </c>
      <c r="J8" s="2">
        <v>2.39</v>
      </c>
      <c r="K8" s="2">
        <v>0.34</v>
      </c>
      <c r="L8" s="2">
        <v>2.12</v>
      </c>
      <c r="M8" s="2">
        <v>0.44</v>
      </c>
      <c r="N8" s="2" t="s">
        <v>500</v>
      </c>
      <c r="O8" s="2" t="s">
        <v>221</v>
      </c>
      <c r="P8" s="2"/>
      <c r="Q8" s="2"/>
      <c r="R8" s="2" t="s">
        <v>529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 t="s">
        <v>530</v>
      </c>
      <c r="B9" s="2" t="s">
        <v>101</v>
      </c>
      <c r="C9" s="5">
        <v>1.82</v>
      </c>
      <c r="D9" s="2">
        <v>0.26</v>
      </c>
      <c r="E9" s="2">
        <v>-0.47</v>
      </c>
      <c r="F9" s="4" t="s">
        <v>531</v>
      </c>
      <c r="G9" s="14">
        <f>9/48</f>
        <v>0.1875</v>
      </c>
      <c r="H9" s="5">
        <v>1.68</v>
      </c>
      <c r="I9" s="2">
        <v>0.19</v>
      </c>
      <c r="J9" s="2">
        <v>1.64</v>
      </c>
      <c r="K9" s="2">
        <v>0.43</v>
      </c>
      <c r="L9" s="2">
        <v>2.03</v>
      </c>
      <c r="M9" s="2">
        <v>0.19</v>
      </c>
      <c r="N9" s="2" t="s">
        <v>253</v>
      </c>
      <c r="O9" s="2" t="s">
        <v>257</v>
      </c>
      <c r="P9" s="2"/>
      <c r="Q9" s="2"/>
      <c r="R9" s="1" t="s">
        <v>532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 t="s">
        <v>284</v>
      </c>
      <c r="B10" s="2" t="s">
        <v>101</v>
      </c>
      <c r="C10" s="2">
        <v>2.92</v>
      </c>
      <c r="D10" s="2">
        <v>0.27</v>
      </c>
      <c r="E10" s="2">
        <v>-2.87</v>
      </c>
      <c r="F10" s="4" t="s">
        <v>525</v>
      </c>
      <c r="G10" s="14">
        <f>40/67</f>
        <v>0.5970149254</v>
      </c>
      <c r="H10" s="2">
        <v>3.22</v>
      </c>
      <c r="I10" s="2">
        <v>0.11</v>
      </c>
      <c r="J10" s="2">
        <v>2.66</v>
      </c>
      <c r="K10" s="2">
        <v>0.44</v>
      </c>
      <c r="L10" s="2">
        <v>2.94</v>
      </c>
      <c r="M10" s="2">
        <v>0.24</v>
      </c>
      <c r="N10" s="2" t="s">
        <v>506</v>
      </c>
      <c r="O10" s="2" t="s">
        <v>309</v>
      </c>
      <c r="P10" s="2"/>
      <c r="Q10" s="2"/>
      <c r="R10" s="2" t="s">
        <v>533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 t="s">
        <v>312</v>
      </c>
      <c r="B11" s="2" t="s">
        <v>101</v>
      </c>
      <c r="C11" s="2">
        <v>2.64</v>
      </c>
      <c r="D11" s="2">
        <v>0.31</v>
      </c>
      <c r="E11" s="2">
        <v>-2.18</v>
      </c>
      <c r="F11" s="4" t="s">
        <v>534</v>
      </c>
      <c r="G11" s="14">
        <f>31/57</f>
        <v>0.5438596491</v>
      </c>
      <c r="H11" s="2">
        <v>2.67</v>
      </c>
      <c r="I11" s="2">
        <v>0.12</v>
      </c>
      <c r="J11" s="2">
        <v>2.15</v>
      </c>
      <c r="K11" s="2">
        <v>0.46</v>
      </c>
      <c r="L11" s="2">
        <v>3.05</v>
      </c>
      <c r="M11" s="2">
        <v>0.2</v>
      </c>
      <c r="N11" s="2" t="s">
        <v>506</v>
      </c>
      <c r="O11" s="2" t="s">
        <v>309</v>
      </c>
      <c r="P11" s="2"/>
      <c r="Q11" s="2"/>
      <c r="R11" s="2" t="s">
        <v>533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 t="s">
        <v>336</v>
      </c>
      <c r="B12" s="2" t="s">
        <v>101</v>
      </c>
      <c r="C12" s="2">
        <v>2.21</v>
      </c>
      <c r="D12" s="2">
        <v>0.36</v>
      </c>
      <c r="E12" s="2">
        <v>-1.19</v>
      </c>
      <c r="F12" s="4" t="s">
        <v>535</v>
      </c>
      <c r="G12" s="14">
        <f>28/59</f>
        <v>0.4745762712</v>
      </c>
      <c r="H12" s="2">
        <v>2.27</v>
      </c>
      <c r="I12" s="2">
        <v>0.37</v>
      </c>
      <c r="J12" s="2">
        <v>1.97</v>
      </c>
      <c r="K12" s="2">
        <v>0.45</v>
      </c>
      <c r="L12" s="2">
        <v>2.36</v>
      </c>
      <c r="M12" s="2">
        <v>0.26</v>
      </c>
      <c r="N12" s="2" t="s">
        <v>364</v>
      </c>
      <c r="O12" s="2" t="s">
        <v>365</v>
      </c>
      <c r="P12" s="2"/>
      <c r="Q12" s="2"/>
      <c r="R12" s="2" t="s">
        <v>536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4" t="s">
        <v>368</v>
      </c>
      <c r="B13" s="4" t="s">
        <v>369</v>
      </c>
      <c r="C13" s="4">
        <v>3.38</v>
      </c>
      <c r="D13" s="4">
        <v>0.22</v>
      </c>
      <c r="E13" s="2">
        <v>-4.13</v>
      </c>
      <c r="F13" s="4" t="s">
        <v>525</v>
      </c>
      <c r="G13" s="14">
        <f>40/67</f>
        <v>0.5970149254</v>
      </c>
      <c r="H13" s="4">
        <v>3.88</v>
      </c>
      <c r="I13" s="4">
        <v>0.0</v>
      </c>
      <c r="J13" s="4">
        <v>3.42</v>
      </c>
      <c r="K13" s="4">
        <v>0.0</v>
      </c>
      <c r="L13" s="4">
        <v>2.89</v>
      </c>
      <c r="M13" s="4">
        <v>0.0</v>
      </c>
      <c r="N13" s="4" t="s">
        <v>368</v>
      </c>
      <c r="O13" s="4" t="s">
        <v>397</v>
      </c>
      <c r="P13" s="4"/>
      <c r="Q13" s="4"/>
      <c r="R13" s="4" t="s">
        <v>397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2" t="s">
        <v>141</v>
      </c>
      <c r="B14" s="8" t="s">
        <v>33</v>
      </c>
      <c r="C14" s="4">
        <v>3.67</v>
      </c>
      <c r="D14" s="4">
        <v>0.24</v>
      </c>
      <c r="E14" s="4">
        <v>-4.98</v>
      </c>
      <c r="F14" s="4" t="s">
        <v>537</v>
      </c>
      <c r="G14" s="14">
        <f>38/65</f>
        <v>0.5846153846</v>
      </c>
      <c r="H14" s="4">
        <v>4.12</v>
      </c>
      <c r="I14" s="4">
        <v>-0.18</v>
      </c>
      <c r="J14" s="4">
        <v>3.5</v>
      </c>
      <c r="K14" s="4">
        <v>-0.07</v>
      </c>
      <c r="L14" s="2">
        <v>3.43</v>
      </c>
      <c r="M14" s="2">
        <v>0.28</v>
      </c>
      <c r="N14" s="2" t="s">
        <v>484</v>
      </c>
      <c r="O14" s="2" t="s">
        <v>174</v>
      </c>
      <c r="P14" s="2"/>
      <c r="Q14" s="2"/>
      <c r="R14" s="2" t="s">
        <v>529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 t="s">
        <v>538</v>
      </c>
      <c r="B15" s="2" t="s">
        <v>101</v>
      </c>
      <c r="C15" s="15">
        <v>1.69</v>
      </c>
      <c r="D15" s="4">
        <v>0.75</v>
      </c>
      <c r="E15" s="4">
        <v>-0.39</v>
      </c>
      <c r="F15" s="4" t="s">
        <v>539</v>
      </c>
      <c r="G15" s="16">
        <f>10/57</f>
        <v>0.1754385965</v>
      </c>
      <c r="H15" s="4">
        <v>1.66</v>
      </c>
      <c r="I15" s="4">
        <v>0.49</v>
      </c>
      <c r="J15" s="4">
        <v>1.46</v>
      </c>
      <c r="K15" s="4">
        <v>0.47</v>
      </c>
      <c r="L15" s="4">
        <v>1.93</v>
      </c>
      <c r="M15" s="4">
        <v>0.37</v>
      </c>
      <c r="N15" s="2" t="s">
        <v>538</v>
      </c>
      <c r="O15" s="2" t="s">
        <v>540</v>
      </c>
      <c r="P15" s="2"/>
      <c r="Q15" s="2"/>
      <c r="R15" s="2" t="s">
        <v>541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"/>
      <c r="C17" s="2" t="s">
        <v>542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"/>
      <c r="C18" s="2" t="s">
        <v>543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</sheetData>
  <mergeCells count="1">
    <mergeCell ref="A1:U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544</v>
      </c>
      <c r="B1" s="2"/>
      <c r="C1" s="2"/>
      <c r="D1" s="2"/>
      <c r="E1" s="2"/>
      <c r="F1" s="2"/>
      <c r="G1" s="2"/>
      <c r="H1" s="2" t="s">
        <v>545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 t="s">
        <v>546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7" t="s">
        <v>547</v>
      </c>
      <c r="B3" s="17" t="s">
        <v>548</v>
      </c>
      <c r="C3" s="17" t="s">
        <v>549</v>
      </c>
      <c r="D3" s="17" t="s">
        <v>550</v>
      </c>
      <c r="E3" s="17" t="s">
        <v>551</v>
      </c>
      <c r="F3" s="17" t="s">
        <v>552</v>
      </c>
      <c r="G3" s="17" t="s">
        <v>553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7">
        <v>1.0</v>
      </c>
      <c r="B5" s="17" t="s">
        <v>554</v>
      </c>
      <c r="C5" s="17" t="s">
        <v>555</v>
      </c>
      <c r="D5" s="17" t="s">
        <v>556</v>
      </c>
      <c r="E5" s="17" t="s">
        <v>557</v>
      </c>
      <c r="F5" s="17">
        <v>102.0</v>
      </c>
      <c r="G5" s="18">
        <v>4.0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7">
        <v>2.0</v>
      </c>
      <c r="B6" s="17" t="s">
        <v>554</v>
      </c>
      <c r="C6" s="17" t="s">
        <v>555</v>
      </c>
      <c r="D6" s="17" t="s">
        <v>558</v>
      </c>
      <c r="E6" s="17" t="s">
        <v>559</v>
      </c>
      <c r="F6" s="17">
        <v>102.0</v>
      </c>
      <c r="G6" s="18">
        <v>4.5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7">
        <v>3.0</v>
      </c>
      <c r="B7" s="17" t="s">
        <v>554</v>
      </c>
      <c r="C7" s="17" t="s">
        <v>555</v>
      </c>
      <c r="D7" s="17" t="s">
        <v>560</v>
      </c>
      <c r="E7" s="17" t="s">
        <v>480</v>
      </c>
      <c r="F7" s="17">
        <v>102.0</v>
      </c>
      <c r="G7" s="18">
        <v>10.4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7">
        <v>4.0</v>
      </c>
      <c r="B8" s="17" t="s">
        <v>554</v>
      </c>
      <c r="C8" s="17" t="s">
        <v>555</v>
      </c>
      <c r="D8" s="17" t="s">
        <v>561</v>
      </c>
      <c r="E8" s="17" t="s">
        <v>557</v>
      </c>
      <c r="F8" s="17">
        <v>105.0</v>
      </c>
      <c r="G8" s="18">
        <v>6.8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7">
        <f t="shared" ref="A9:A90" si="1">A8+1</f>
        <v>5</v>
      </c>
      <c r="B9" s="17" t="s">
        <v>554</v>
      </c>
      <c r="C9" s="17" t="s">
        <v>555</v>
      </c>
      <c r="D9" s="17" t="s">
        <v>562</v>
      </c>
      <c r="E9" s="17" t="s">
        <v>559</v>
      </c>
      <c r="F9" s="17">
        <v>105.0</v>
      </c>
      <c r="G9" s="18">
        <v>7.1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7">
        <f t="shared" si="1"/>
        <v>6</v>
      </c>
      <c r="B10" s="17" t="s">
        <v>554</v>
      </c>
      <c r="C10" s="17" t="s">
        <v>555</v>
      </c>
      <c r="D10" s="17" t="s">
        <v>563</v>
      </c>
      <c r="E10" s="17" t="s">
        <v>480</v>
      </c>
      <c r="F10" s="17">
        <v>105.0</v>
      </c>
      <c r="G10" s="18">
        <v>7.3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7">
        <f t="shared" si="1"/>
        <v>7</v>
      </c>
      <c r="B11" s="17" t="s">
        <v>554</v>
      </c>
      <c r="C11" s="17" t="s">
        <v>555</v>
      </c>
      <c r="D11" s="17" t="s">
        <v>564</v>
      </c>
      <c r="E11" s="17" t="s">
        <v>557</v>
      </c>
      <c r="F11" s="17">
        <v>107.0</v>
      </c>
      <c r="G11" s="18">
        <v>6.8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7">
        <f t="shared" si="1"/>
        <v>8</v>
      </c>
      <c r="B12" s="17" t="s">
        <v>554</v>
      </c>
      <c r="C12" s="17" t="s">
        <v>555</v>
      </c>
      <c r="D12" s="17" t="s">
        <v>565</v>
      </c>
      <c r="E12" s="17" t="s">
        <v>559</v>
      </c>
      <c r="F12" s="17">
        <v>107.0</v>
      </c>
      <c r="G12" s="18">
        <v>7.5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7">
        <f t="shared" si="1"/>
        <v>9</v>
      </c>
      <c r="B13" s="17" t="s">
        <v>554</v>
      </c>
      <c r="C13" s="17" t="s">
        <v>555</v>
      </c>
      <c r="D13" s="17" t="s">
        <v>566</v>
      </c>
      <c r="E13" s="17" t="s">
        <v>480</v>
      </c>
      <c r="F13" s="17">
        <v>107.0</v>
      </c>
      <c r="G13" s="18">
        <v>6.3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7">
        <f t="shared" si="1"/>
        <v>10</v>
      </c>
      <c r="B14" s="17" t="s">
        <v>554</v>
      </c>
      <c r="C14" s="17" t="s">
        <v>555</v>
      </c>
      <c r="D14" s="17" t="s">
        <v>567</v>
      </c>
      <c r="E14" s="17" t="s">
        <v>557</v>
      </c>
      <c r="F14" s="17">
        <v>116.0</v>
      </c>
      <c r="G14" s="18">
        <v>7.8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7">
        <f t="shared" si="1"/>
        <v>11</v>
      </c>
      <c r="B15" s="17" t="s">
        <v>554</v>
      </c>
      <c r="C15" s="17" t="s">
        <v>555</v>
      </c>
      <c r="D15" s="17" t="s">
        <v>568</v>
      </c>
      <c r="E15" s="17" t="s">
        <v>559</v>
      </c>
      <c r="F15" s="17">
        <v>116.0</v>
      </c>
      <c r="G15" s="18">
        <v>7.3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7">
        <f t="shared" si="1"/>
        <v>12</v>
      </c>
      <c r="B16" s="17" t="s">
        <v>554</v>
      </c>
      <c r="C16" s="17" t="s">
        <v>555</v>
      </c>
      <c r="D16" s="17" t="s">
        <v>569</v>
      </c>
      <c r="E16" s="17" t="s">
        <v>480</v>
      </c>
      <c r="F16" s="17">
        <v>116.0</v>
      </c>
      <c r="G16" s="18">
        <v>7.1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7">
        <f t="shared" si="1"/>
        <v>13</v>
      </c>
      <c r="B17" s="17" t="s">
        <v>554</v>
      </c>
      <c r="C17" s="17" t="s">
        <v>555</v>
      </c>
      <c r="D17" s="17" t="s">
        <v>570</v>
      </c>
      <c r="E17" s="17" t="s">
        <v>557</v>
      </c>
      <c r="F17" s="17">
        <v>118.0</v>
      </c>
      <c r="G17" s="18">
        <v>7.9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">
        <f t="shared" si="1"/>
        <v>14</v>
      </c>
      <c r="B18" s="17" t="s">
        <v>554</v>
      </c>
      <c r="C18" s="17" t="s">
        <v>555</v>
      </c>
      <c r="D18" s="17" t="s">
        <v>571</v>
      </c>
      <c r="E18" s="17" t="s">
        <v>559</v>
      </c>
      <c r="F18" s="17">
        <v>118.0</v>
      </c>
      <c r="G18" s="18">
        <v>8.7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">
        <f t="shared" si="1"/>
        <v>15</v>
      </c>
      <c r="B19" s="17" t="s">
        <v>554</v>
      </c>
      <c r="C19" s="17" t="s">
        <v>555</v>
      </c>
      <c r="D19" s="17" t="s">
        <v>572</v>
      </c>
      <c r="E19" s="17" t="s">
        <v>480</v>
      </c>
      <c r="F19" s="17">
        <v>118.0</v>
      </c>
      <c r="G19" s="18">
        <v>7.2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7">
        <f t="shared" si="1"/>
        <v>16</v>
      </c>
      <c r="B20" s="17" t="s">
        <v>554</v>
      </c>
      <c r="C20" s="17" t="s">
        <v>555</v>
      </c>
      <c r="D20" s="17" t="s">
        <v>573</v>
      </c>
      <c r="E20" s="17" t="s">
        <v>557</v>
      </c>
      <c r="F20" s="17">
        <v>119.0</v>
      </c>
      <c r="G20" s="18">
        <v>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7">
        <f t="shared" si="1"/>
        <v>17</v>
      </c>
      <c r="B21" s="17" t="s">
        <v>554</v>
      </c>
      <c r="C21" s="17" t="s">
        <v>555</v>
      </c>
      <c r="D21" s="17" t="s">
        <v>575</v>
      </c>
      <c r="E21" s="17" t="s">
        <v>559</v>
      </c>
      <c r="F21" s="17">
        <v>119.0</v>
      </c>
      <c r="G21" s="18">
        <v>5.2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7">
        <f t="shared" si="1"/>
        <v>18</v>
      </c>
      <c r="B22" s="17" t="s">
        <v>554</v>
      </c>
      <c r="C22" s="17" t="s">
        <v>555</v>
      </c>
      <c r="D22" s="17" t="s">
        <v>576</v>
      </c>
      <c r="E22" s="17" t="s">
        <v>480</v>
      </c>
      <c r="F22" s="17">
        <v>119.0</v>
      </c>
      <c r="G22" s="18">
        <v>10.4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7">
        <f t="shared" si="1"/>
        <v>19</v>
      </c>
      <c r="B23" s="17" t="s">
        <v>554</v>
      </c>
      <c r="C23" s="17" t="s">
        <v>555</v>
      </c>
      <c r="D23" s="17" t="s">
        <v>577</v>
      </c>
      <c r="E23" s="17" t="s">
        <v>557</v>
      </c>
      <c r="F23" s="17">
        <v>120.0</v>
      </c>
      <c r="G23" s="18">
        <v>6.8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7">
        <f t="shared" si="1"/>
        <v>20</v>
      </c>
      <c r="B24" s="17" t="s">
        <v>554</v>
      </c>
      <c r="C24" s="17" t="s">
        <v>555</v>
      </c>
      <c r="D24" s="17" t="s">
        <v>578</v>
      </c>
      <c r="E24" s="17" t="s">
        <v>557</v>
      </c>
      <c r="F24" s="17">
        <v>120.0</v>
      </c>
      <c r="G24" s="18">
        <v>6.6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7">
        <f t="shared" si="1"/>
        <v>21</v>
      </c>
      <c r="B25" s="17" t="s">
        <v>554</v>
      </c>
      <c r="C25" s="17" t="s">
        <v>555</v>
      </c>
      <c r="D25" s="17" t="s">
        <v>582</v>
      </c>
      <c r="E25" s="17" t="s">
        <v>559</v>
      </c>
      <c r="F25" s="17">
        <v>120.0</v>
      </c>
      <c r="G25" s="18">
        <v>6.8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7">
        <f t="shared" si="1"/>
        <v>22</v>
      </c>
      <c r="B26" s="17" t="s">
        <v>554</v>
      </c>
      <c r="C26" s="17" t="s">
        <v>555</v>
      </c>
      <c r="D26" s="17" t="s">
        <v>583</v>
      </c>
      <c r="E26" s="17" t="s">
        <v>559</v>
      </c>
      <c r="F26" s="17">
        <v>120.0</v>
      </c>
      <c r="G26" s="18">
        <v>6.1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7">
        <f t="shared" si="1"/>
        <v>23</v>
      </c>
      <c r="B27" s="17" t="s">
        <v>554</v>
      </c>
      <c r="C27" s="17" t="s">
        <v>555</v>
      </c>
      <c r="D27" s="17" t="s">
        <v>584</v>
      </c>
      <c r="E27" s="17" t="s">
        <v>559</v>
      </c>
      <c r="F27" s="17">
        <v>120.0</v>
      </c>
      <c r="G27" s="18">
        <v>6.2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7">
        <f t="shared" si="1"/>
        <v>24</v>
      </c>
      <c r="B28" s="17" t="s">
        <v>554</v>
      </c>
      <c r="C28" s="17" t="s">
        <v>555</v>
      </c>
      <c r="D28" s="17" t="s">
        <v>586</v>
      </c>
      <c r="E28" s="17" t="s">
        <v>559</v>
      </c>
      <c r="F28" s="17">
        <v>120.0</v>
      </c>
      <c r="G28" s="18">
        <v>7.4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7">
        <f t="shared" si="1"/>
        <v>25</v>
      </c>
      <c r="B29" s="17" t="s">
        <v>554</v>
      </c>
      <c r="C29" s="17" t="s">
        <v>555</v>
      </c>
      <c r="D29" s="17" t="s">
        <v>587</v>
      </c>
      <c r="E29" s="17" t="s">
        <v>559</v>
      </c>
      <c r="F29" s="17">
        <v>120.0</v>
      </c>
      <c r="G29" s="18">
        <v>7.2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7">
        <f t="shared" si="1"/>
        <v>26</v>
      </c>
      <c r="B30" s="17" t="s">
        <v>554</v>
      </c>
      <c r="C30" s="17" t="s">
        <v>555</v>
      </c>
      <c r="D30" s="17" t="s">
        <v>588</v>
      </c>
      <c r="E30" s="17" t="s">
        <v>480</v>
      </c>
      <c r="F30" s="17">
        <v>120.0</v>
      </c>
      <c r="G30" s="18">
        <v>10.4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7">
        <f t="shared" si="1"/>
        <v>27</v>
      </c>
      <c r="B31" s="17" t="s">
        <v>554</v>
      </c>
      <c r="C31" s="17" t="s">
        <v>555</v>
      </c>
      <c r="D31" s="17" t="s">
        <v>589</v>
      </c>
      <c r="E31" s="17" t="s">
        <v>480</v>
      </c>
      <c r="F31" s="17">
        <v>120.0</v>
      </c>
      <c r="G31" s="18">
        <v>10.4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7">
        <f t="shared" si="1"/>
        <v>28</v>
      </c>
      <c r="B32" s="17" t="s">
        <v>554</v>
      </c>
      <c r="C32" s="17" t="s">
        <v>555</v>
      </c>
      <c r="D32" s="17" t="s">
        <v>590</v>
      </c>
      <c r="E32" s="17" t="s">
        <v>480</v>
      </c>
      <c r="F32" s="17">
        <v>120.0</v>
      </c>
      <c r="G32" s="18">
        <v>10.4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7">
        <f t="shared" si="1"/>
        <v>29</v>
      </c>
      <c r="B33" s="17" t="s">
        <v>554</v>
      </c>
      <c r="C33" s="17" t="s">
        <v>555</v>
      </c>
      <c r="D33" s="17" t="s">
        <v>591</v>
      </c>
      <c r="E33" s="17" t="s">
        <v>557</v>
      </c>
      <c r="F33" s="17">
        <v>121.0</v>
      </c>
      <c r="G33" s="18">
        <v>8.1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7">
        <f t="shared" si="1"/>
        <v>30</v>
      </c>
      <c r="B34" s="17" t="s">
        <v>554</v>
      </c>
      <c r="C34" s="17" t="s">
        <v>555</v>
      </c>
      <c r="D34" s="17" t="s">
        <v>592</v>
      </c>
      <c r="E34" s="17" t="s">
        <v>559</v>
      </c>
      <c r="F34" s="17">
        <v>121.0</v>
      </c>
      <c r="G34" s="18">
        <v>8.2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7">
        <f t="shared" si="1"/>
        <v>31</v>
      </c>
      <c r="B35" s="17" t="s">
        <v>554</v>
      </c>
      <c r="C35" s="17" t="s">
        <v>555</v>
      </c>
      <c r="D35" s="17" t="s">
        <v>593</v>
      </c>
      <c r="E35" s="17" t="s">
        <v>480</v>
      </c>
      <c r="F35" s="17">
        <v>121.0</v>
      </c>
      <c r="G35" s="18">
        <v>9.0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7">
        <f t="shared" si="1"/>
        <v>32</v>
      </c>
      <c r="B36" s="17" t="s">
        <v>554</v>
      </c>
      <c r="C36" s="17" t="s">
        <v>555</v>
      </c>
      <c r="D36" s="20" t="s">
        <v>594</v>
      </c>
      <c r="E36" s="20" t="s">
        <v>557</v>
      </c>
      <c r="F36" s="20">
        <v>123.0</v>
      </c>
      <c r="G36" s="21">
        <v>4.0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7">
        <f t="shared" si="1"/>
        <v>33</v>
      </c>
      <c r="B37" s="17" t="s">
        <v>554</v>
      </c>
      <c r="C37" s="17" t="s">
        <v>555</v>
      </c>
      <c r="D37" s="17" t="s">
        <v>595</v>
      </c>
      <c r="E37" s="17" t="s">
        <v>559</v>
      </c>
      <c r="F37" s="17">
        <v>123.0</v>
      </c>
      <c r="G37" s="18">
        <v>6.8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7">
        <f t="shared" si="1"/>
        <v>34</v>
      </c>
      <c r="B38" s="17" t="s">
        <v>554</v>
      </c>
      <c r="C38" s="17" t="s">
        <v>555</v>
      </c>
      <c r="D38" s="17" t="s">
        <v>596</v>
      </c>
      <c r="E38" s="17" t="s">
        <v>480</v>
      </c>
      <c r="F38" s="17">
        <v>123.0</v>
      </c>
      <c r="G38" s="18">
        <v>9.3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">
        <f t="shared" si="1"/>
        <v>35</v>
      </c>
      <c r="B39" s="17" t="s">
        <v>554</v>
      </c>
      <c r="C39" s="17" t="s">
        <v>555</v>
      </c>
      <c r="D39" s="17" t="s">
        <v>597</v>
      </c>
      <c r="E39" s="17" t="s">
        <v>557</v>
      </c>
      <c r="F39" s="17">
        <v>140.0</v>
      </c>
      <c r="G39" s="17">
        <v>6.8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7">
        <f t="shared" si="1"/>
        <v>36</v>
      </c>
      <c r="B40" s="17" t="s">
        <v>554</v>
      </c>
      <c r="C40" s="17" t="s">
        <v>555</v>
      </c>
      <c r="D40" s="17" t="s">
        <v>598</v>
      </c>
      <c r="E40" s="17" t="s">
        <v>559</v>
      </c>
      <c r="F40" s="17">
        <v>140.0</v>
      </c>
      <c r="G40" s="18">
        <v>7.7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7">
        <f t="shared" si="1"/>
        <v>37</v>
      </c>
      <c r="B41" s="17" t="s">
        <v>554</v>
      </c>
      <c r="C41" s="17" t="s">
        <v>555</v>
      </c>
      <c r="D41" s="17" t="s">
        <v>599</v>
      </c>
      <c r="E41" s="17" t="s">
        <v>480</v>
      </c>
      <c r="F41" s="17">
        <v>140.0</v>
      </c>
      <c r="G41" s="18">
        <v>10.4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7">
        <f t="shared" si="1"/>
        <v>38</v>
      </c>
      <c r="B42" s="17" t="s">
        <v>554</v>
      </c>
      <c r="C42" s="17" t="s">
        <v>555</v>
      </c>
      <c r="D42" s="17" t="s">
        <v>600</v>
      </c>
      <c r="E42" s="17" t="s">
        <v>557</v>
      </c>
      <c r="F42" s="17">
        <v>144.0</v>
      </c>
      <c r="G42" s="18">
        <v>8.7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7">
        <f t="shared" si="1"/>
        <v>39</v>
      </c>
      <c r="B43" s="17" t="s">
        <v>554</v>
      </c>
      <c r="C43" s="17" t="s">
        <v>555</v>
      </c>
      <c r="D43" s="17" t="s">
        <v>601</v>
      </c>
      <c r="E43" s="17" t="s">
        <v>559</v>
      </c>
      <c r="F43" s="17">
        <v>144.0</v>
      </c>
      <c r="G43" s="18">
        <v>7.7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7">
        <f t="shared" si="1"/>
        <v>40</v>
      </c>
      <c r="B44" s="17" t="s">
        <v>554</v>
      </c>
      <c r="C44" s="17" t="s">
        <v>555</v>
      </c>
      <c r="D44" s="17" t="s">
        <v>602</v>
      </c>
      <c r="E44" s="17" t="s">
        <v>480</v>
      </c>
      <c r="F44" s="17">
        <v>144.0</v>
      </c>
      <c r="G44" s="18">
        <v>8.1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7">
        <f t="shared" si="1"/>
        <v>41</v>
      </c>
      <c r="B45" s="17" t="s">
        <v>554</v>
      </c>
      <c r="C45" s="17" t="s">
        <v>555</v>
      </c>
      <c r="D45" s="17" t="s">
        <v>603</v>
      </c>
      <c r="E45" s="17" t="s">
        <v>480</v>
      </c>
      <c r="F45" s="17">
        <v>148.0</v>
      </c>
      <c r="G45" s="18">
        <v>5.7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7">
        <f t="shared" si="1"/>
        <v>42</v>
      </c>
      <c r="B46" s="17" t="s">
        <v>554</v>
      </c>
      <c r="C46" s="17" t="s">
        <v>555</v>
      </c>
      <c r="D46" s="17" t="s">
        <v>604</v>
      </c>
      <c r="E46" s="17" t="s">
        <v>480</v>
      </c>
      <c r="F46" s="17">
        <v>148.0</v>
      </c>
      <c r="G46" s="18">
        <v>7.1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7">
        <f t="shared" si="1"/>
        <v>43</v>
      </c>
      <c r="B47" s="17" t="s">
        <v>554</v>
      </c>
      <c r="C47" s="17" t="s">
        <v>555</v>
      </c>
      <c r="D47" s="17" t="s">
        <v>605</v>
      </c>
      <c r="E47" s="17" t="s">
        <v>480</v>
      </c>
      <c r="F47" s="17">
        <v>148.0</v>
      </c>
      <c r="G47" s="18">
        <v>6.3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7">
        <f t="shared" si="1"/>
        <v>44</v>
      </c>
      <c r="B48" s="17" t="s">
        <v>554</v>
      </c>
      <c r="C48" s="17" t="s">
        <v>555</v>
      </c>
      <c r="D48" s="17" t="s">
        <v>606</v>
      </c>
      <c r="E48" s="17" t="s">
        <v>557</v>
      </c>
      <c r="F48" s="17">
        <v>148.0</v>
      </c>
      <c r="G48" s="18">
        <v>8.9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7">
        <f t="shared" si="1"/>
        <v>45</v>
      </c>
      <c r="B49" s="17" t="s">
        <v>554</v>
      </c>
      <c r="C49" s="17" t="s">
        <v>607</v>
      </c>
      <c r="D49" s="17" t="s">
        <v>606</v>
      </c>
      <c r="E49" s="17" t="s">
        <v>557</v>
      </c>
      <c r="F49" s="17">
        <v>148.0</v>
      </c>
      <c r="G49" s="18">
        <v>8.7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7">
        <f t="shared" si="1"/>
        <v>46</v>
      </c>
      <c r="B50" s="17" t="s">
        <v>554</v>
      </c>
      <c r="C50" s="17" t="s">
        <v>555</v>
      </c>
      <c r="D50" s="17" t="s">
        <v>608</v>
      </c>
      <c r="E50" s="17" t="s">
        <v>559</v>
      </c>
      <c r="F50" s="17">
        <v>148.0</v>
      </c>
      <c r="G50" s="18">
        <v>8.5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7">
        <f t="shared" si="1"/>
        <v>47</v>
      </c>
      <c r="B51" s="17" t="s">
        <v>554</v>
      </c>
      <c r="C51" s="17" t="s">
        <v>555</v>
      </c>
      <c r="D51" s="17" t="s">
        <v>609</v>
      </c>
      <c r="E51" s="17" t="s">
        <v>480</v>
      </c>
      <c r="F51" s="17">
        <v>148.0</v>
      </c>
      <c r="G51" s="18">
        <v>5.6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7">
        <f t="shared" si="1"/>
        <v>48</v>
      </c>
      <c r="B52" s="17" t="s">
        <v>554</v>
      </c>
      <c r="C52" s="17" t="s">
        <v>607</v>
      </c>
      <c r="D52" s="17" t="s">
        <v>609</v>
      </c>
      <c r="E52" s="17" t="s">
        <v>480</v>
      </c>
      <c r="F52" s="17">
        <v>148.0</v>
      </c>
      <c r="G52" s="18">
        <v>6.4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7">
        <f t="shared" si="1"/>
        <v>49</v>
      </c>
      <c r="B53" s="17" t="s">
        <v>554</v>
      </c>
      <c r="C53" s="17" t="s">
        <v>555</v>
      </c>
      <c r="D53" s="17" t="s">
        <v>610</v>
      </c>
      <c r="E53" s="17" t="s">
        <v>480</v>
      </c>
      <c r="F53" s="17">
        <v>148.0</v>
      </c>
      <c r="G53" s="18">
        <v>6.6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17">
        <f t="shared" si="1"/>
        <v>50</v>
      </c>
      <c r="B54" s="17" t="s">
        <v>554</v>
      </c>
      <c r="C54" s="17" t="s">
        <v>555</v>
      </c>
      <c r="D54" s="17" t="s">
        <v>611</v>
      </c>
      <c r="E54" s="17" t="s">
        <v>480</v>
      </c>
      <c r="F54" s="17">
        <v>148.0</v>
      </c>
      <c r="G54" s="18">
        <v>6.4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7">
        <f t="shared" si="1"/>
        <v>51</v>
      </c>
      <c r="B55" s="17" t="s">
        <v>554</v>
      </c>
      <c r="C55" s="17" t="s">
        <v>555</v>
      </c>
      <c r="D55" s="17" t="s">
        <v>612</v>
      </c>
      <c r="E55" s="17" t="s">
        <v>557</v>
      </c>
      <c r="F55" s="17">
        <v>154.0</v>
      </c>
      <c r="G55" s="18">
        <v>7.6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7">
        <f t="shared" si="1"/>
        <v>52</v>
      </c>
      <c r="B56" s="17" t="s">
        <v>554</v>
      </c>
      <c r="C56" s="17" t="s">
        <v>555</v>
      </c>
      <c r="D56" s="17" t="s">
        <v>613</v>
      </c>
      <c r="E56" s="17" t="s">
        <v>559</v>
      </c>
      <c r="F56" s="17">
        <v>154.0</v>
      </c>
      <c r="G56" s="18">
        <v>7.3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17">
        <f t="shared" si="1"/>
        <v>53</v>
      </c>
      <c r="B57" s="17" t="s">
        <v>554</v>
      </c>
      <c r="C57" s="17" t="s">
        <v>555</v>
      </c>
      <c r="D57" s="17" t="s">
        <v>614</v>
      </c>
      <c r="E57" s="17" t="s">
        <v>480</v>
      </c>
      <c r="F57" s="17">
        <v>154.0</v>
      </c>
      <c r="G57" s="18">
        <v>8.6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7">
        <f t="shared" si="1"/>
        <v>54</v>
      </c>
      <c r="B58" s="17" t="s">
        <v>554</v>
      </c>
      <c r="C58" s="17" t="s">
        <v>555</v>
      </c>
      <c r="D58" s="17" t="s">
        <v>615</v>
      </c>
      <c r="E58" s="17" t="s">
        <v>557</v>
      </c>
      <c r="F58" s="17">
        <v>156.0</v>
      </c>
      <c r="G58" s="18">
        <v>8.3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7">
        <f t="shared" si="1"/>
        <v>55</v>
      </c>
      <c r="B59" s="17" t="s">
        <v>554</v>
      </c>
      <c r="C59" s="17" t="s">
        <v>555</v>
      </c>
      <c r="D59" s="17" t="s">
        <v>616</v>
      </c>
      <c r="E59" s="17" t="s">
        <v>559</v>
      </c>
      <c r="F59" s="17">
        <v>156.0</v>
      </c>
      <c r="G59" s="18">
        <v>7.8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7">
        <f t="shared" si="1"/>
        <v>56</v>
      </c>
      <c r="B60" s="17" t="s">
        <v>554</v>
      </c>
      <c r="C60" s="17" t="s">
        <v>555</v>
      </c>
      <c r="D60" s="17" t="s">
        <v>617</v>
      </c>
      <c r="E60" s="17" t="s">
        <v>480</v>
      </c>
      <c r="F60" s="17">
        <v>156.0</v>
      </c>
      <c r="G60" s="18">
        <v>7.4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7">
        <f t="shared" si="1"/>
        <v>57</v>
      </c>
      <c r="B61" s="17" t="s">
        <v>554</v>
      </c>
      <c r="C61" s="17" t="s">
        <v>555</v>
      </c>
      <c r="D61" s="17" t="s">
        <v>618</v>
      </c>
      <c r="E61" s="17" t="s">
        <v>557</v>
      </c>
      <c r="F61" s="17">
        <v>172.0</v>
      </c>
      <c r="G61" s="18">
        <v>7.5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17">
        <f t="shared" si="1"/>
        <v>58</v>
      </c>
      <c r="B62" s="17" t="s">
        <v>554</v>
      </c>
      <c r="C62" s="17" t="s">
        <v>555</v>
      </c>
      <c r="D62" s="17" t="s">
        <v>619</v>
      </c>
      <c r="E62" s="17" t="s">
        <v>559</v>
      </c>
      <c r="F62" s="17">
        <v>172.0</v>
      </c>
      <c r="G62" s="18">
        <v>6.4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17">
        <f t="shared" si="1"/>
        <v>59</v>
      </c>
      <c r="B63" s="17" t="s">
        <v>554</v>
      </c>
      <c r="C63" s="17" t="s">
        <v>555</v>
      </c>
      <c r="D63" s="17" t="s">
        <v>620</v>
      </c>
      <c r="E63" s="17" t="s">
        <v>480</v>
      </c>
      <c r="F63" s="17">
        <v>172.0</v>
      </c>
      <c r="G63" s="18">
        <v>8.6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7">
        <f t="shared" si="1"/>
        <v>60</v>
      </c>
      <c r="B64" s="17" t="s">
        <v>554</v>
      </c>
      <c r="C64" s="17" t="s">
        <v>555</v>
      </c>
      <c r="D64" s="17" t="s">
        <v>621</v>
      </c>
      <c r="E64" s="17" t="s">
        <v>557</v>
      </c>
      <c r="F64" s="17">
        <v>173.0</v>
      </c>
      <c r="G64" s="17">
        <v>7.2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7">
        <f t="shared" si="1"/>
        <v>61</v>
      </c>
      <c r="B65" s="17" t="s">
        <v>554</v>
      </c>
      <c r="C65" s="17" t="s">
        <v>555</v>
      </c>
      <c r="D65" s="17" t="s">
        <v>622</v>
      </c>
      <c r="E65" s="17" t="s">
        <v>559</v>
      </c>
      <c r="F65" s="17">
        <v>173.0</v>
      </c>
      <c r="G65" s="17">
        <v>7.1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7">
        <f t="shared" si="1"/>
        <v>62</v>
      </c>
      <c r="B66" s="17" t="s">
        <v>554</v>
      </c>
      <c r="C66" s="17" t="s">
        <v>555</v>
      </c>
      <c r="D66" s="17" t="s">
        <v>623</v>
      </c>
      <c r="E66" s="17" t="s">
        <v>480</v>
      </c>
      <c r="F66" s="17">
        <v>173.0</v>
      </c>
      <c r="G66" s="17">
        <v>9.0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7">
        <f t="shared" si="1"/>
        <v>63</v>
      </c>
      <c r="B67" s="17" t="s">
        <v>554</v>
      </c>
      <c r="C67" s="17" t="s">
        <v>555</v>
      </c>
      <c r="D67" s="17" t="s">
        <v>624</v>
      </c>
      <c r="E67" s="17" t="s">
        <v>557</v>
      </c>
      <c r="F67" s="17">
        <v>174.0</v>
      </c>
      <c r="G67" s="18">
        <v>8.1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7">
        <f t="shared" si="1"/>
        <v>64</v>
      </c>
      <c r="B68" s="17" t="s">
        <v>554</v>
      </c>
      <c r="C68" s="17" t="s">
        <v>555</v>
      </c>
      <c r="D68" s="17" t="s">
        <v>625</v>
      </c>
      <c r="E68" s="17" t="s">
        <v>559</v>
      </c>
      <c r="F68" s="17">
        <v>174.0</v>
      </c>
      <c r="G68" s="18">
        <v>9.0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7">
        <f t="shared" si="1"/>
        <v>65</v>
      </c>
      <c r="B69" s="17" t="s">
        <v>554</v>
      </c>
      <c r="C69" s="17" t="s">
        <v>555</v>
      </c>
      <c r="D69" s="17" t="s">
        <v>626</v>
      </c>
      <c r="E69" s="17" t="s">
        <v>480</v>
      </c>
      <c r="F69" s="17">
        <v>174.0</v>
      </c>
      <c r="G69" s="18">
        <v>5.3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7">
        <f t="shared" si="1"/>
        <v>66</v>
      </c>
      <c r="B70" s="17" t="s">
        <v>554</v>
      </c>
      <c r="C70" s="17" t="s">
        <v>555</v>
      </c>
      <c r="D70" s="17" t="s">
        <v>627</v>
      </c>
      <c r="E70" s="17" t="s">
        <v>557</v>
      </c>
      <c r="F70" s="17">
        <v>181.0</v>
      </c>
      <c r="G70" s="18">
        <v>8.5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17">
        <f t="shared" si="1"/>
        <v>67</v>
      </c>
      <c r="B71" s="17" t="s">
        <v>554</v>
      </c>
      <c r="C71" s="17" t="s">
        <v>555</v>
      </c>
      <c r="D71" s="17" t="s">
        <v>628</v>
      </c>
      <c r="E71" s="17" t="s">
        <v>559</v>
      </c>
      <c r="F71" s="17">
        <v>181.0</v>
      </c>
      <c r="G71" s="18">
        <v>8.4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7">
        <f t="shared" si="1"/>
        <v>68</v>
      </c>
      <c r="B72" s="17" t="s">
        <v>554</v>
      </c>
      <c r="C72" s="17" t="s">
        <v>555</v>
      </c>
      <c r="D72" s="17" t="s">
        <v>629</v>
      </c>
      <c r="E72" s="17" t="s">
        <v>480</v>
      </c>
      <c r="F72" s="17">
        <v>181.0</v>
      </c>
      <c r="G72" s="18">
        <v>6.5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7">
        <f t="shared" si="1"/>
        <v>69</v>
      </c>
      <c r="B73" s="17" t="s">
        <v>554</v>
      </c>
      <c r="C73" s="17" t="s">
        <v>555</v>
      </c>
      <c r="D73" s="17" t="s">
        <v>630</v>
      </c>
      <c r="E73" s="17" t="s">
        <v>557</v>
      </c>
      <c r="F73" s="17">
        <v>182.0</v>
      </c>
      <c r="G73" s="18">
        <v>6.9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7">
        <f t="shared" si="1"/>
        <v>70</v>
      </c>
      <c r="B74" s="17" t="s">
        <v>554</v>
      </c>
      <c r="C74" s="17" t="s">
        <v>555</v>
      </c>
      <c r="D74" s="17" t="s">
        <v>632</v>
      </c>
      <c r="E74" s="17" t="s">
        <v>559</v>
      </c>
      <c r="F74" s="17">
        <v>182.0</v>
      </c>
      <c r="G74" s="18">
        <v>7.6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7">
        <f t="shared" si="1"/>
        <v>71</v>
      </c>
      <c r="B75" s="17" t="s">
        <v>554</v>
      </c>
      <c r="C75" s="17" t="s">
        <v>555</v>
      </c>
      <c r="D75" s="17" t="s">
        <v>633</v>
      </c>
      <c r="E75" s="17" t="s">
        <v>480</v>
      </c>
      <c r="F75" s="17">
        <v>182.0</v>
      </c>
      <c r="G75" s="18">
        <v>8.6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7">
        <f t="shared" si="1"/>
        <v>72</v>
      </c>
      <c r="B76" s="17" t="s">
        <v>554</v>
      </c>
      <c r="C76" s="17" t="s">
        <v>555</v>
      </c>
      <c r="D76" s="17" t="s">
        <v>634</v>
      </c>
      <c r="E76" s="17" t="s">
        <v>557</v>
      </c>
      <c r="F76" s="17">
        <v>185.0</v>
      </c>
      <c r="G76" s="18">
        <v>8.7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7">
        <f t="shared" si="1"/>
        <v>73</v>
      </c>
      <c r="B77" s="17" t="s">
        <v>554</v>
      </c>
      <c r="C77" s="17" t="s">
        <v>555</v>
      </c>
      <c r="D77" s="17" t="s">
        <v>635</v>
      </c>
      <c r="E77" s="17" t="s">
        <v>559</v>
      </c>
      <c r="F77" s="17">
        <v>185.0</v>
      </c>
      <c r="G77" s="18">
        <v>8.9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7">
        <f t="shared" si="1"/>
        <v>74</v>
      </c>
      <c r="B78" s="17" t="s">
        <v>554</v>
      </c>
      <c r="C78" s="17" t="s">
        <v>555</v>
      </c>
      <c r="D78" s="17" t="s">
        <v>636</v>
      </c>
      <c r="E78" s="17" t="s">
        <v>480</v>
      </c>
      <c r="F78" s="17">
        <v>185.0</v>
      </c>
      <c r="G78" s="18">
        <v>8.2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7">
        <f t="shared" si="1"/>
        <v>75</v>
      </c>
      <c r="B79" s="17" t="s">
        <v>554</v>
      </c>
      <c r="C79" s="17" t="s">
        <v>555</v>
      </c>
      <c r="D79" s="17" t="s">
        <v>637</v>
      </c>
      <c r="E79" s="17" t="s">
        <v>557</v>
      </c>
      <c r="F79" s="17">
        <v>186.0</v>
      </c>
      <c r="G79" s="18">
        <v>9.7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7">
        <f t="shared" si="1"/>
        <v>76</v>
      </c>
      <c r="B80" s="17" t="s">
        <v>554</v>
      </c>
      <c r="C80" s="17" t="s">
        <v>555</v>
      </c>
      <c r="D80" s="17" t="s">
        <v>638</v>
      </c>
      <c r="E80" s="17" t="s">
        <v>559</v>
      </c>
      <c r="F80" s="17">
        <v>186.0</v>
      </c>
      <c r="G80" s="18">
        <v>9.4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7">
        <f t="shared" si="1"/>
        <v>77</v>
      </c>
      <c r="B81" s="17" t="s">
        <v>554</v>
      </c>
      <c r="C81" s="17" t="s">
        <v>555</v>
      </c>
      <c r="D81" s="17" t="s">
        <v>639</v>
      </c>
      <c r="E81" s="17" t="s">
        <v>480</v>
      </c>
      <c r="F81" s="17">
        <v>186.0</v>
      </c>
      <c r="G81" s="18">
        <v>7.7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7">
        <f t="shared" si="1"/>
        <v>78</v>
      </c>
      <c r="B82" s="17" t="s">
        <v>554</v>
      </c>
      <c r="C82" s="17" t="s">
        <v>555</v>
      </c>
      <c r="D82" s="17" t="s">
        <v>640</v>
      </c>
      <c r="E82" s="17" t="s">
        <v>557</v>
      </c>
      <c r="F82" s="17">
        <v>191.0</v>
      </c>
      <c r="G82" s="18">
        <v>7.5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17">
        <f t="shared" si="1"/>
        <v>79</v>
      </c>
      <c r="B83" s="17" t="s">
        <v>554</v>
      </c>
      <c r="C83" s="17" t="s">
        <v>555</v>
      </c>
      <c r="D83" s="17" t="s">
        <v>641</v>
      </c>
      <c r="E83" s="17" t="s">
        <v>559</v>
      </c>
      <c r="F83" s="17">
        <v>191.0</v>
      </c>
      <c r="G83" s="18">
        <v>7.9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7">
        <f t="shared" si="1"/>
        <v>80</v>
      </c>
      <c r="B84" s="17" t="s">
        <v>554</v>
      </c>
      <c r="C84" s="17" t="s">
        <v>555</v>
      </c>
      <c r="D84" s="17" t="s">
        <v>642</v>
      </c>
      <c r="E84" s="17" t="s">
        <v>480</v>
      </c>
      <c r="F84" s="17">
        <v>191.0</v>
      </c>
      <c r="G84" s="18">
        <v>9.2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7">
        <f t="shared" si="1"/>
        <v>81</v>
      </c>
      <c r="B85" s="17" t="s">
        <v>554</v>
      </c>
      <c r="C85" s="17" t="s">
        <v>555</v>
      </c>
      <c r="D85" s="17" t="s">
        <v>643</v>
      </c>
      <c r="E85" s="17" t="s">
        <v>557</v>
      </c>
      <c r="F85" s="17">
        <v>200.0</v>
      </c>
      <c r="G85" s="18">
        <v>7.0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7">
        <f t="shared" si="1"/>
        <v>82</v>
      </c>
      <c r="B86" s="17" t="s">
        <v>554</v>
      </c>
      <c r="C86" s="17" t="s">
        <v>555</v>
      </c>
      <c r="D86" s="17" t="s">
        <v>644</v>
      </c>
      <c r="E86" s="17" t="s">
        <v>559</v>
      </c>
      <c r="F86" s="17">
        <v>200.0</v>
      </c>
      <c r="G86" s="21">
        <v>4.5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7">
        <f t="shared" si="1"/>
        <v>83</v>
      </c>
      <c r="B87" s="17" t="s">
        <v>554</v>
      </c>
      <c r="C87" s="17" t="s">
        <v>555</v>
      </c>
      <c r="D87" s="17" t="s">
        <v>645</v>
      </c>
      <c r="E87" s="17" t="s">
        <v>480</v>
      </c>
      <c r="F87" s="17">
        <v>200.0</v>
      </c>
      <c r="G87" s="18">
        <v>10.4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7">
        <f t="shared" si="1"/>
        <v>84</v>
      </c>
      <c r="B88" s="17" t="s">
        <v>554</v>
      </c>
      <c r="C88" s="17" t="s">
        <v>555</v>
      </c>
      <c r="D88" s="17" t="s">
        <v>646</v>
      </c>
      <c r="E88" s="17" t="s">
        <v>557</v>
      </c>
      <c r="F88" s="17">
        <v>207.0</v>
      </c>
      <c r="G88" s="18">
        <v>7.6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7">
        <f t="shared" si="1"/>
        <v>85</v>
      </c>
      <c r="B89" s="17" t="s">
        <v>554</v>
      </c>
      <c r="C89" s="17" t="s">
        <v>555</v>
      </c>
      <c r="D89" s="17" t="s">
        <v>648</v>
      </c>
      <c r="E89" s="17" t="s">
        <v>559</v>
      </c>
      <c r="F89" s="17">
        <v>207.0</v>
      </c>
      <c r="G89" s="18">
        <v>9.1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7">
        <f t="shared" si="1"/>
        <v>86</v>
      </c>
      <c r="B90" s="17" t="s">
        <v>554</v>
      </c>
      <c r="C90" s="17" t="s">
        <v>555</v>
      </c>
      <c r="D90" s="17" t="s">
        <v>649</v>
      </c>
      <c r="E90" s="17" t="s">
        <v>480</v>
      </c>
      <c r="F90" s="17">
        <v>207.0</v>
      </c>
      <c r="G90" s="18">
        <v>6.2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17">
        <v>87.0</v>
      </c>
      <c r="B91" s="17" t="s">
        <v>554</v>
      </c>
      <c r="C91" s="17" t="s">
        <v>555</v>
      </c>
      <c r="D91" s="17" t="s">
        <v>650</v>
      </c>
      <c r="E91" s="17" t="s">
        <v>557</v>
      </c>
      <c r="F91" s="17">
        <v>214.0</v>
      </c>
      <c r="G91" s="18">
        <v>7.0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17">
        <v>88.0</v>
      </c>
      <c r="B92" s="17" t="s">
        <v>554</v>
      </c>
      <c r="C92" s="17" t="s">
        <v>555</v>
      </c>
      <c r="D92" s="17" t="s">
        <v>652</v>
      </c>
      <c r="E92" s="17" t="s">
        <v>559</v>
      </c>
      <c r="F92" s="17">
        <v>214.0</v>
      </c>
      <c r="G92" s="18">
        <v>7.0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17">
        <v>89.0</v>
      </c>
      <c r="B93" s="17" t="s">
        <v>554</v>
      </c>
      <c r="C93" s="17" t="s">
        <v>555</v>
      </c>
      <c r="D93" s="17" t="s">
        <v>653</v>
      </c>
      <c r="E93" s="17" t="s">
        <v>480</v>
      </c>
      <c r="F93" s="17">
        <v>214.0</v>
      </c>
      <c r="G93" s="18">
        <v>10.4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 t="s">
        <v>574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 t="s">
        <v>548</v>
      </c>
      <c r="B3" s="2" t="s">
        <v>579</v>
      </c>
      <c r="C3" s="2" t="s">
        <v>580</v>
      </c>
      <c r="D3" s="2" t="s">
        <v>551</v>
      </c>
      <c r="E3" s="2" t="s">
        <v>552</v>
      </c>
      <c r="F3" s="2" t="s">
        <v>553</v>
      </c>
      <c r="G3" s="2" t="s">
        <v>581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554</v>
      </c>
      <c r="B4" s="2" t="s">
        <v>555</v>
      </c>
      <c r="C4" s="2" t="s">
        <v>582</v>
      </c>
      <c r="D4" s="2" t="s">
        <v>557</v>
      </c>
      <c r="E4" s="12">
        <f t="shared" ref="E4:E5" si="1">G4+82</f>
        <v>103</v>
      </c>
      <c r="F4" s="2">
        <v>6.6</v>
      </c>
      <c r="G4" s="12">
        <v>21.0</v>
      </c>
      <c r="H4" s="2" t="s">
        <v>585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554</v>
      </c>
      <c r="B5" s="2" t="s">
        <v>555</v>
      </c>
      <c r="C5" s="2" t="s">
        <v>582</v>
      </c>
      <c r="D5" s="2" t="s">
        <v>557</v>
      </c>
      <c r="E5" s="12">
        <f t="shared" si="1"/>
        <v>122</v>
      </c>
      <c r="F5" s="2">
        <v>3.9</v>
      </c>
      <c r="G5" s="12">
        <v>40.0</v>
      </c>
      <c r="H5" s="2" t="s">
        <v>585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554</v>
      </c>
      <c r="B6" s="2" t="s">
        <v>555</v>
      </c>
      <c r="C6" s="2" t="s">
        <v>582</v>
      </c>
      <c r="D6" s="2" t="s">
        <v>557</v>
      </c>
      <c r="E6" s="12">
        <f t="shared" ref="E6:E8" si="2">G6+76</f>
        <v>171</v>
      </c>
      <c r="F6" s="2">
        <v>2.3</v>
      </c>
      <c r="G6" s="12">
        <v>95.0</v>
      </c>
      <c r="H6" s="2" t="s">
        <v>585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554</v>
      </c>
      <c r="B7" s="2" t="s">
        <v>555</v>
      </c>
      <c r="C7" s="2" t="s">
        <v>582</v>
      </c>
      <c r="D7" s="2" t="s">
        <v>557</v>
      </c>
      <c r="E7" s="12">
        <f t="shared" si="2"/>
        <v>219</v>
      </c>
      <c r="F7" s="2">
        <v>3.8</v>
      </c>
      <c r="G7" s="12">
        <v>143.0</v>
      </c>
      <c r="H7" s="2" t="s">
        <v>585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554</v>
      </c>
      <c r="B8" s="2" t="s">
        <v>555</v>
      </c>
      <c r="C8" s="2" t="s">
        <v>582</v>
      </c>
      <c r="D8" s="2" t="s">
        <v>557</v>
      </c>
      <c r="E8" s="12">
        <f t="shared" si="2"/>
        <v>222</v>
      </c>
      <c r="F8" s="2">
        <v>3.9</v>
      </c>
      <c r="G8" s="12">
        <v>146.0</v>
      </c>
      <c r="H8" s="2" t="s">
        <v>585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554</v>
      </c>
      <c r="B9" s="2" t="s">
        <v>555</v>
      </c>
      <c r="C9" s="2" t="s">
        <v>582</v>
      </c>
      <c r="D9" s="2" t="s">
        <v>559</v>
      </c>
      <c r="E9" s="12">
        <v>92.0</v>
      </c>
      <c r="F9" s="2">
        <v>3.1</v>
      </c>
      <c r="G9" s="12">
        <v>10.0</v>
      </c>
      <c r="H9" s="2" t="s">
        <v>585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554</v>
      </c>
      <c r="B10" s="2" t="s">
        <v>555</v>
      </c>
      <c r="C10" s="2" t="s">
        <v>582</v>
      </c>
      <c r="D10" s="2" t="s">
        <v>559</v>
      </c>
      <c r="E10" s="12">
        <v>125.0</v>
      </c>
      <c r="F10" s="2">
        <v>4.4</v>
      </c>
      <c r="G10" s="12">
        <v>43.0</v>
      </c>
      <c r="H10" s="2" t="s">
        <v>585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554</v>
      </c>
      <c r="B11" s="2" t="s">
        <v>555</v>
      </c>
      <c r="C11" s="2" t="s">
        <v>582</v>
      </c>
      <c r="D11" s="2" t="s">
        <v>559</v>
      </c>
      <c r="E11" s="12">
        <f t="shared" ref="E11:E22" si="3">G11+76</f>
        <v>128</v>
      </c>
      <c r="F11" s="2">
        <v>4.0</v>
      </c>
      <c r="G11" s="12">
        <v>52.0</v>
      </c>
      <c r="H11" s="2" t="s">
        <v>585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554</v>
      </c>
      <c r="B12" s="2" t="s">
        <v>555</v>
      </c>
      <c r="C12" s="2" t="s">
        <v>582</v>
      </c>
      <c r="D12" s="2" t="s">
        <v>559</v>
      </c>
      <c r="E12" s="12">
        <f t="shared" si="3"/>
        <v>133</v>
      </c>
      <c r="F12" s="2">
        <v>3.6</v>
      </c>
      <c r="G12" s="12">
        <v>57.0</v>
      </c>
      <c r="H12" s="2" t="s">
        <v>585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554</v>
      </c>
      <c r="B13" s="2" t="s">
        <v>555</v>
      </c>
      <c r="C13" s="2" t="s">
        <v>582</v>
      </c>
      <c r="D13" s="2" t="s">
        <v>559</v>
      </c>
      <c r="E13" s="12">
        <f t="shared" si="3"/>
        <v>143</v>
      </c>
      <c r="F13" s="2">
        <v>3.8</v>
      </c>
      <c r="G13" s="12">
        <v>67.0</v>
      </c>
      <c r="H13" s="2" t="s">
        <v>585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554</v>
      </c>
      <c r="B14" s="2" t="s">
        <v>555</v>
      </c>
      <c r="C14" s="2" t="s">
        <v>582</v>
      </c>
      <c r="D14" s="2" t="s">
        <v>559</v>
      </c>
      <c r="E14" s="12">
        <f t="shared" si="3"/>
        <v>149</v>
      </c>
      <c r="F14" s="2">
        <v>3.4</v>
      </c>
      <c r="G14" s="12">
        <v>73.0</v>
      </c>
      <c r="H14" s="2" t="s">
        <v>585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554</v>
      </c>
      <c r="B15" s="2" t="s">
        <v>555</v>
      </c>
      <c r="C15" s="2" t="s">
        <v>582</v>
      </c>
      <c r="D15" s="2" t="s">
        <v>559</v>
      </c>
      <c r="E15" s="12">
        <f t="shared" si="3"/>
        <v>151</v>
      </c>
      <c r="F15" s="2">
        <v>3.3</v>
      </c>
      <c r="G15" s="12">
        <v>75.0</v>
      </c>
      <c r="H15" s="2" t="s">
        <v>585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554</v>
      </c>
      <c r="B16" s="2" t="s">
        <v>555</v>
      </c>
      <c r="C16" s="2" t="s">
        <v>582</v>
      </c>
      <c r="D16" s="2" t="s">
        <v>559</v>
      </c>
      <c r="E16" s="12">
        <f t="shared" si="3"/>
        <v>177</v>
      </c>
      <c r="F16" s="2">
        <v>3.9</v>
      </c>
      <c r="G16" s="12">
        <v>101.0</v>
      </c>
      <c r="H16" s="2" t="s">
        <v>585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554</v>
      </c>
      <c r="B17" s="2" t="s">
        <v>555</v>
      </c>
      <c r="C17" s="2" t="s">
        <v>582</v>
      </c>
      <c r="D17" s="2" t="s">
        <v>559</v>
      </c>
      <c r="E17" s="12">
        <f t="shared" si="3"/>
        <v>198</v>
      </c>
      <c r="F17" s="2">
        <v>3.8</v>
      </c>
      <c r="G17" s="12">
        <v>122.0</v>
      </c>
      <c r="H17" s="2" t="s">
        <v>585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554</v>
      </c>
      <c r="B18" s="2" t="s">
        <v>555</v>
      </c>
      <c r="C18" s="2" t="s">
        <v>582</v>
      </c>
      <c r="D18" s="2" t="s">
        <v>559</v>
      </c>
      <c r="E18" s="12">
        <f t="shared" si="3"/>
        <v>205</v>
      </c>
      <c r="F18" s="2">
        <v>3.9</v>
      </c>
      <c r="G18" s="12">
        <v>129.0</v>
      </c>
      <c r="H18" s="2" t="s">
        <v>585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554</v>
      </c>
      <c r="B19" s="2" t="s">
        <v>555</v>
      </c>
      <c r="C19" s="2" t="s">
        <v>582</v>
      </c>
      <c r="D19" s="2" t="s">
        <v>559</v>
      </c>
      <c r="E19" s="12">
        <f t="shared" si="3"/>
        <v>211</v>
      </c>
      <c r="F19" s="2">
        <v>3.8</v>
      </c>
      <c r="G19" s="12">
        <v>135.0</v>
      </c>
      <c r="H19" s="2" t="s">
        <v>585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554</v>
      </c>
      <c r="B20" s="2" t="s">
        <v>555</v>
      </c>
      <c r="C20" s="2" t="s">
        <v>582</v>
      </c>
      <c r="D20" s="2" t="s">
        <v>559</v>
      </c>
      <c r="E20" s="12">
        <f t="shared" si="3"/>
        <v>218</v>
      </c>
      <c r="F20" s="2">
        <v>4.5</v>
      </c>
      <c r="G20" s="12">
        <v>142.0</v>
      </c>
      <c r="H20" s="2" t="s">
        <v>585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554</v>
      </c>
      <c r="B21" s="2" t="s">
        <v>555</v>
      </c>
      <c r="C21" s="2" t="s">
        <v>588</v>
      </c>
      <c r="D21" s="2" t="s">
        <v>557</v>
      </c>
      <c r="E21" s="22">
        <f t="shared" si="3"/>
        <v>171</v>
      </c>
      <c r="F21" s="2">
        <v>2.1</v>
      </c>
      <c r="G21" s="12">
        <v>95.0</v>
      </c>
      <c r="H21" s="2" t="s">
        <v>585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554</v>
      </c>
      <c r="B22" s="2" t="s">
        <v>555</v>
      </c>
      <c r="C22" s="2" t="s">
        <v>588</v>
      </c>
      <c r="D22" s="2" t="s">
        <v>557</v>
      </c>
      <c r="E22" s="22">
        <f t="shared" si="3"/>
        <v>222</v>
      </c>
      <c r="F22" s="2">
        <v>4.0</v>
      </c>
      <c r="G22" s="12">
        <v>146.0</v>
      </c>
      <c r="H22" s="2" t="s">
        <v>585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554</v>
      </c>
      <c r="B23" s="2" t="s">
        <v>555</v>
      </c>
      <c r="C23" s="2" t="s">
        <v>588</v>
      </c>
      <c r="D23" s="2" t="s">
        <v>557</v>
      </c>
      <c r="E23" s="22">
        <v>103.0</v>
      </c>
      <c r="F23" s="2">
        <v>6.5</v>
      </c>
      <c r="G23" s="12">
        <v>21.0</v>
      </c>
      <c r="H23" s="2" t="s">
        <v>585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 t="s">
        <v>554</v>
      </c>
      <c r="B24" s="2" t="s">
        <v>555</v>
      </c>
      <c r="C24" s="2" t="s">
        <v>588</v>
      </c>
      <c r="D24" s="2" t="s">
        <v>557</v>
      </c>
      <c r="E24" s="22">
        <v>122.0</v>
      </c>
      <c r="F24" s="2">
        <v>3.8</v>
      </c>
      <c r="G24" s="12">
        <v>40.0</v>
      </c>
      <c r="H24" s="2" t="s">
        <v>585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554</v>
      </c>
      <c r="B25" s="2" t="s">
        <v>555</v>
      </c>
      <c r="C25" s="2" t="s">
        <v>588</v>
      </c>
      <c r="D25" s="2" t="s">
        <v>557</v>
      </c>
      <c r="E25" s="22">
        <f t="shared" ref="E25:E30" si="4">G25+76</f>
        <v>219</v>
      </c>
      <c r="F25" s="2">
        <v>4.0</v>
      </c>
      <c r="G25" s="12">
        <v>143.0</v>
      </c>
      <c r="H25" s="2" t="s">
        <v>585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554</v>
      </c>
      <c r="B26" s="2" t="s">
        <v>555</v>
      </c>
      <c r="C26" s="2" t="s">
        <v>588</v>
      </c>
      <c r="D26" s="2" t="s">
        <v>559</v>
      </c>
      <c r="E26" s="22">
        <f t="shared" si="4"/>
        <v>205</v>
      </c>
      <c r="F26" s="2">
        <v>3.8</v>
      </c>
      <c r="G26" s="12">
        <v>129.0</v>
      </c>
      <c r="H26" s="2" t="s">
        <v>585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554</v>
      </c>
      <c r="B27" s="2" t="s">
        <v>555</v>
      </c>
      <c r="C27" s="2" t="s">
        <v>588</v>
      </c>
      <c r="D27" s="2" t="s">
        <v>559</v>
      </c>
      <c r="E27" s="22">
        <f t="shared" si="4"/>
        <v>133</v>
      </c>
      <c r="F27" s="2">
        <v>3.6</v>
      </c>
      <c r="G27" s="12">
        <v>57.0</v>
      </c>
      <c r="H27" s="2" t="s">
        <v>585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554</v>
      </c>
      <c r="B28" s="2" t="s">
        <v>555</v>
      </c>
      <c r="C28" s="2" t="s">
        <v>588</v>
      </c>
      <c r="D28" s="2" t="s">
        <v>559</v>
      </c>
      <c r="E28" s="22">
        <f t="shared" si="4"/>
        <v>143</v>
      </c>
      <c r="F28" s="2">
        <v>3.9</v>
      </c>
      <c r="G28" s="12">
        <v>67.0</v>
      </c>
      <c r="H28" s="2" t="s">
        <v>585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554</v>
      </c>
      <c r="B29" s="2" t="s">
        <v>555</v>
      </c>
      <c r="C29" s="2" t="s">
        <v>588</v>
      </c>
      <c r="D29" s="2" t="s">
        <v>559</v>
      </c>
      <c r="E29" s="22">
        <f t="shared" si="4"/>
        <v>149</v>
      </c>
      <c r="F29" s="2">
        <v>3.3</v>
      </c>
      <c r="G29" s="12">
        <v>73.0</v>
      </c>
      <c r="H29" s="2" t="s">
        <v>585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554</v>
      </c>
      <c r="B30" s="2" t="s">
        <v>555</v>
      </c>
      <c r="C30" s="2" t="s">
        <v>588</v>
      </c>
      <c r="D30" s="2" t="s">
        <v>559</v>
      </c>
      <c r="E30" s="22">
        <f t="shared" si="4"/>
        <v>128</v>
      </c>
      <c r="F30" s="2">
        <v>4.1</v>
      </c>
      <c r="G30" s="12">
        <v>52.0</v>
      </c>
      <c r="H30" s="2" t="s">
        <v>585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554</v>
      </c>
      <c r="B31" s="2" t="s">
        <v>555</v>
      </c>
      <c r="C31" s="2" t="s">
        <v>588</v>
      </c>
      <c r="D31" s="2" t="s">
        <v>559</v>
      </c>
      <c r="E31" s="22">
        <v>125.0</v>
      </c>
      <c r="F31" s="2">
        <v>4.5</v>
      </c>
      <c r="G31" s="12">
        <v>43.0</v>
      </c>
      <c r="H31" s="2" t="s">
        <v>585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554</v>
      </c>
      <c r="B32" s="2" t="s">
        <v>555</v>
      </c>
      <c r="C32" s="2" t="s">
        <v>588</v>
      </c>
      <c r="D32" s="2" t="s">
        <v>559</v>
      </c>
      <c r="E32" s="22">
        <f t="shared" ref="E32:E33" si="5">G32+76</f>
        <v>198</v>
      </c>
      <c r="F32" s="2">
        <v>3.9</v>
      </c>
      <c r="G32" s="12">
        <v>122.0</v>
      </c>
      <c r="H32" s="2" t="s">
        <v>585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554</v>
      </c>
      <c r="B33" s="2" t="s">
        <v>555</v>
      </c>
      <c r="C33" s="2" t="s">
        <v>588</v>
      </c>
      <c r="D33" s="2" t="s">
        <v>559</v>
      </c>
      <c r="E33" s="22">
        <f t="shared" si="5"/>
        <v>211</v>
      </c>
      <c r="F33" s="2">
        <v>3.9</v>
      </c>
      <c r="G33" s="12">
        <v>135.0</v>
      </c>
      <c r="H33" s="2" t="s">
        <v>585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554</v>
      </c>
      <c r="B34" s="2" t="s">
        <v>555</v>
      </c>
      <c r="C34" s="2" t="s">
        <v>588</v>
      </c>
      <c r="D34" s="2" t="s">
        <v>559</v>
      </c>
      <c r="E34" s="22">
        <v>92.0</v>
      </c>
      <c r="F34" s="2">
        <v>3.1</v>
      </c>
      <c r="G34" s="12">
        <v>10.0</v>
      </c>
      <c r="H34" s="2" t="s">
        <v>585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554</v>
      </c>
      <c r="B35" s="2" t="s">
        <v>555</v>
      </c>
      <c r="C35" s="2" t="s">
        <v>588</v>
      </c>
      <c r="D35" s="2" t="s">
        <v>559</v>
      </c>
      <c r="E35" s="22">
        <f t="shared" ref="E35:E36" si="6">G35+76</f>
        <v>218</v>
      </c>
      <c r="F35" s="2">
        <v>4.6</v>
      </c>
      <c r="G35" s="12">
        <v>142.0</v>
      </c>
      <c r="H35" s="2" t="s">
        <v>585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554</v>
      </c>
      <c r="B36" s="2" t="s">
        <v>555</v>
      </c>
      <c r="C36" s="2" t="s">
        <v>588</v>
      </c>
      <c r="D36" s="2" t="s">
        <v>559</v>
      </c>
      <c r="E36" s="22">
        <f t="shared" si="6"/>
        <v>177</v>
      </c>
      <c r="F36" s="2">
        <v>3.9</v>
      </c>
      <c r="G36" s="12">
        <v>101.0</v>
      </c>
      <c r="H36" s="2" t="s">
        <v>585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554</v>
      </c>
      <c r="B37" s="2" t="s">
        <v>555</v>
      </c>
      <c r="C37" s="2" t="s">
        <v>631</v>
      </c>
      <c r="D37" s="2" t="s">
        <v>477</v>
      </c>
      <c r="E37" s="12">
        <v>90.0</v>
      </c>
      <c r="F37" s="4">
        <v>6.6</v>
      </c>
      <c r="G37" s="22">
        <v>8.0</v>
      </c>
      <c r="H37" s="2" t="s">
        <v>585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 t="s">
        <v>554</v>
      </c>
      <c r="B38" s="2" t="s">
        <v>555</v>
      </c>
      <c r="C38" s="2" t="s">
        <v>631</v>
      </c>
      <c r="D38" s="2" t="s">
        <v>477</v>
      </c>
      <c r="E38" s="12">
        <v>197.0</v>
      </c>
      <c r="F38" s="4">
        <v>5.3</v>
      </c>
      <c r="G38" s="22">
        <v>121.0</v>
      </c>
      <c r="H38" s="2" t="s">
        <v>585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 t="s">
        <v>554</v>
      </c>
      <c r="B39" s="2" t="s">
        <v>555</v>
      </c>
      <c r="C39" s="2" t="s">
        <v>588</v>
      </c>
      <c r="D39" s="2" t="s">
        <v>477</v>
      </c>
      <c r="E39" s="12">
        <v>90.0</v>
      </c>
      <c r="F39" s="4">
        <v>6.5</v>
      </c>
      <c r="G39" s="22">
        <v>8.0</v>
      </c>
      <c r="H39" s="2" t="s">
        <v>585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 t="s">
        <v>554</v>
      </c>
      <c r="B40" s="2" t="s">
        <v>555</v>
      </c>
      <c r="C40" s="2" t="s">
        <v>588</v>
      </c>
      <c r="D40" s="2" t="s">
        <v>477</v>
      </c>
      <c r="E40" s="12">
        <v>197.0</v>
      </c>
      <c r="F40" s="4">
        <v>5.6</v>
      </c>
      <c r="G40" s="22">
        <v>121.0</v>
      </c>
      <c r="H40" s="2" t="s">
        <v>585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 t="s">
        <v>554</v>
      </c>
      <c r="B41" s="2" t="s">
        <v>555</v>
      </c>
      <c r="C41" s="2" t="s">
        <v>582</v>
      </c>
      <c r="D41" s="2" t="s">
        <v>477</v>
      </c>
      <c r="E41" s="12">
        <v>90.0</v>
      </c>
      <c r="F41" s="4">
        <v>6.5</v>
      </c>
      <c r="G41" s="22">
        <v>8.0</v>
      </c>
      <c r="H41" s="2" t="s">
        <v>585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 t="s">
        <v>554</v>
      </c>
      <c r="B42" s="2" t="s">
        <v>555</v>
      </c>
      <c r="C42" s="2" t="s">
        <v>582</v>
      </c>
      <c r="D42" s="2" t="s">
        <v>477</v>
      </c>
      <c r="E42" s="12">
        <v>197.0</v>
      </c>
      <c r="F42" s="4">
        <v>5.7</v>
      </c>
      <c r="G42" s="22">
        <v>121.0</v>
      </c>
      <c r="H42" s="2" t="s">
        <v>585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 t="s">
        <v>554</v>
      </c>
      <c r="B43" s="2" t="s">
        <v>555</v>
      </c>
      <c r="C43" s="2" t="s">
        <v>584</v>
      </c>
      <c r="D43" s="2" t="s">
        <v>477</v>
      </c>
      <c r="E43" s="12">
        <v>90.0</v>
      </c>
      <c r="F43" s="4">
        <v>6.4</v>
      </c>
      <c r="G43" s="22">
        <v>8.0</v>
      </c>
      <c r="H43" s="2" t="s">
        <v>585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 t="s">
        <v>554</v>
      </c>
      <c r="B44" s="2" t="s">
        <v>555</v>
      </c>
      <c r="C44" s="2" t="s">
        <v>584</v>
      </c>
      <c r="D44" s="2" t="s">
        <v>477</v>
      </c>
      <c r="E44" s="12">
        <v>197.0</v>
      </c>
      <c r="F44" s="4">
        <v>5.7</v>
      </c>
      <c r="G44" s="22">
        <v>121.0</v>
      </c>
      <c r="H44" s="2" t="s">
        <v>585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 t="s">
        <v>554</v>
      </c>
      <c r="B45" s="2" t="s">
        <v>555</v>
      </c>
      <c r="C45" s="2" t="s">
        <v>577</v>
      </c>
      <c r="D45" s="2" t="s">
        <v>477</v>
      </c>
      <c r="E45" s="12">
        <v>90.0</v>
      </c>
      <c r="F45" s="4">
        <v>6.5</v>
      </c>
      <c r="G45" s="22">
        <v>8.0</v>
      </c>
      <c r="H45" s="2" t="s">
        <v>585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 t="s">
        <v>554</v>
      </c>
      <c r="B46" s="2" t="s">
        <v>555</v>
      </c>
      <c r="C46" s="2" t="s">
        <v>577</v>
      </c>
      <c r="D46" s="2" t="s">
        <v>477</v>
      </c>
      <c r="E46" s="12">
        <v>197.0</v>
      </c>
      <c r="F46" s="4">
        <v>5.7</v>
      </c>
      <c r="G46" s="22">
        <v>121.0</v>
      </c>
      <c r="H46" s="2" t="s">
        <v>585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 t="s">
        <v>554</v>
      </c>
      <c r="B47" s="2" t="s">
        <v>555</v>
      </c>
      <c r="C47" s="2" t="s">
        <v>578</v>
      </c>
      <c r="D47" s="2" t="s">
        <v>477</v>
      </c>
      <c r="E47" s="12">
        <v>90.0</v>
      </c>
      <c r="F47" s="4">
        <v>6.5</v>
      </c>
      <c r="G47" s="22">
        <v>8.0</v>
      </c>
      <c r="H47" s="2" t="s">
        <v>585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 t="s">
        <v>554</v>
      </c>
      <c r="B48" s="2" t="s">
        <v>555</v>
      </c>
      <c r="C48" s="2" t="s">
        <v>578</v>
      </c>
      <c r="D48" s="2" t="s">
        <v>477</v>
      </c>
      <c r="E48" s="12">
        <v>197.0</v>
      </c>
      <c r="F48" s="4">
        <v>5.8</v>
      </c>
      <c r="G48" s="22">
        <v>121.0</v>
      </c>
      <c r="H48" s="2" t="s">
        <v>585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" t="s">
        <v>554</v>
      </c>
      <c r="B49" s="4" t="s">
        <v>555</v>
      </c>
      <c r="C49" s="4" t="s">
        <v>647</v>
      </c>
      <c r="D49" s="4" t="s">
        <v>557</v>
      </c>
      <c r="E49" s="22">
        <f t="shared" ref="E49:E51" si="7">G49+76</f>
        <v>219</v>
      </c>
      <c r="F49" s="23">
        <v>3.8</v>
      </c>
      <c r="G49" s="22">
        <v>143.0</v>
      </c>
      <c r="H49" s="2" t="s">
        <v>651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" t="s">
        <v>554</v>
      </c>
      <c r="B50" s="4" t="s">
        <v>555</v>
      </c>
      <c r="C50" s="4" t="s">
        <v>647</v>
      </c>
      <c r="D50" s="4" t="s">
        <v>557</v>
      </c>
      <c r="E50" s="22">
        <f t="shared" si="7"/>
        <v>222</v>
      </c>
      <c r="F50" s="4">
        <v>3.86</v>
      </c>
      <c r="G50" s="22">
        <v>146.0</v>
      </c>
      <c r="H50" s="2" t="s">
        <v>651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" t="s">
        <v>554</v>
      </c>
      <c r="B51" s="4" t="s">
        <v>555</v>
      </c>
      <c r="C51" s="4" t="s">
        <v>647</v>
      </c>
      <c r="D51" s="4" t="s">
        <v>559</v>
      </c>
      <c r="E51" s="22">
        <f t="shared" si="7"/>
        <v>218</v>
      </c>
      <c r="F51" s="4">
        <v>4.49</v>
      </c>
      <c r="G51" s="22">
        <v>142.0</v>
      </c>
      <c r="H51" s="2" t="s">
        <v>651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 t="s">
        <v>554</v>
      </c>
      <c r="B52" s="4" t="s">
        <v>607</v>
      </c>
      <c r="C52" s="4" t="s">
        <v>647</v>
      </c>
      <c r="D52" s="4" t="s">
        <v>477</v>
      </c>
      <c r="E52" s="22">
        <v>90.0</v>
      </c>
      <c r="F52" s="4">
        <v>6.53</v>
      </c>
      <c r="G52" s="22">
        <v>8.0</v>
      </c>
      <c r="H52" s="4" t="s">
        <v>654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 t="s">
        <v>554</v>
      </c>
      <c r="B53" s="4" t="s">
        <v>607</v>
      </c>
      <c r="C53" s="4" t="s">
        <v>647</v>
      </c>
      <c r="D53" s="4" t="s">
        <v>477</v>
      </c>
      <c r="E53" s="22">
        <f t="shared" ref="E53:E54" si="8">G53+82</f>
        <v>128</v>
      </c>
      <c r="F53" s="23">
        <v>5.9</v>
      </c>
      <c r="G53" s="22">
        <v>46.0</v>
      </c>
      <c r="H53" s="4" t="s">
        <v>654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 t="s">
        <v>554</v>
      </c>
      <c r="B54" s="4" t="s">
        <v>607</v>
      </c>
      <c r="C54" s="4" t="s">
        <v>647</v>
      </c>
      <c r="D54" s="4" t="s">
        <v>477</v>
      </c>
      <c r="E54" s="22">
        <f t="shared" si="8"/>
        <v>203</v>
      </c>
      <c r="F54" s="23">
        <v>5.31</v>
      </c>
      <c r="G54" s="22">
        <v>121.0</v>
      </c>
      <c r="H54" s="4" t="s">
        <v>654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 t="s">
        <v>554</v>
      </c>
      <c r="B55" s="4" t="s">
        <v>607</v>
      </c>
      <c r="C55" s="4" t="s">
        <v>609</v>
      </c>
      <c r="D55" s="4" t="s">
        <v>477</v>
      </c>
      <c r="E55" s="22">
        <v>90.0</v>
      </c>
      <c r="F55" s="23">
        <v>6.51</v>
      </c>
      <c r="G55" s="22">
        <v>8.0</v>
      </c>
      <c r="H55" s="4" t="s">
        <v>654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 t="s">
        <v>554</v>
      </c>
      <c r="B56" s="4" t="s">
        <v>607</v>
      </c>
      <c r="C56" s="4" t="s">
        <v>609</v>
      </c>
      <c r="D56" s="4" t="s">
        <v>477</v>
      </c>
      <c r="E56" s="22">
        <v>128.0</v>
      </c>
      <c r="F56" s="23">
        <v>6.38</v>
      </c>
      <c r="G56" s="22">
        <v>46.0</v>
      </c>
      <c r="H56" s="4" t="s">
        <v>654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 t="s">
        <v>554</v>
      </c>
      <c r="B57" s="4" t="s">
        <v>607</v>
      </c>
      <c r="C57" s="4" t="s">
        <v>609</v>
      </c>
      <c r="D57" s="4" t="s">
        <v>477</v>
      </c>
      <c r="E57" s="22">
        <v>203.0</v>
      </c>
      <c r="F57" s="23">
        <v>6.49</v>
      </c>
      <c r="G57" s="22">
        <v>121.0</v>
      </c>
      <c r="H57" s="4" t="s">
        <v>654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 t="s">
        <v>554</v>
      </c>
      <c r="B58" s="4" t="s">
        <v>555</v>
      </c>
      <c r="C58" s="4" t="s">
        <v>609</v>
      </c>
      <c r="D58" s="4" t="s">
        <v>477</v>
      </c>
      <c r="E58" s="22">
        <v>90.0</v>
      </c>
      <c r="F58" s="4">
        <v>6.56</v>
      </c>
      <c r="G58" s="22">
        <v>8.0</v>
      </c>
      <c r="H58" s="4" t="s">
        <v>654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 t="s">
        <v>554</v>
      </c>
      <c r="B59" s="4" t="s">
        <v>555</v>
      </c>
      <c r="C59" s="4" t="s">
        <v>609</v>
      </c>
      <c r="D59" s="4" t="s">
        <v>477</v>
      </c>
      <c r="E59" s="22">
        <v>203.0</v>
      </c>
      <c r="F59" s="4">
        <v>5.38</v>
      </c>
      <c r="G59" s="22">
        <v>121.0</v>
      </c>
      <c r="H59" s="4" t="s">
        <v>654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 t="s">
        <v>554</v>
      </c>
      <c r="B60" s="4" t="s">
        <v>647</v>
      </c>
      <c r="C60" s="4" t="s">
        <v>647</v>
      </c>
      <c r="D60" s="4" t="s">
        <v>477</v>
      </c>
      <c r="E60" s="22">
        <v>128.0</v>
      </c>
      <c r="F60" s="4">
        <v>5.86</v>
      </c>
      <c r="G60" s="22">
        <v>46.0</v>
      </c>
      <c r="H60" s="24" t="s">
        <v>655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 t="s">
        <v>554</v>
      </c>
      <c r="B61" s="4" t="s">
        <v>647</v>
      </c>
      <c r="C61" s="4" t="s">
        <v>647</v>
      </c>
      <c r="D61" s="4" t="s">
        <v>477</v>
      </c>
      <c r="E61" s="22">
        <v>206.0</v>
      </c>
      <c r="F61" s="4">
        <v>5.73</v>
      </c>
      <c r="G61" s="12">
        <v>124.0</v>
      </c>
      <c r="H61" s="2" t="s">
        <v>655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 t="s">
        <v>554</v>
      </c>
      <c r="B62" s="4" t="s">
        <v>647</v>
      </c>
      <c r="C62" s="4" t="s">
        <v>647</v>
      </c>
      <c r="D62" s="4" t="s">
        <v>477</v>
      </c>
      <c r="E62" s="22">
        <v>203.0</v>
      </c>
      <c r="F62" s="4">
        <v>5.3</v>
      </c>
      <c r="G62" s="12">
        <v>121.0</v>
      </c>
      <c r="H62" s="24" t="s">
        <v>656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 t="s">
        <v>554</v>
      </c>
      <c r="B63" s="2" t="s">
        <v>555</v>
      </c>
      <c r="C63" s="2" t="s">
        <v>566</v>
      </c>
      <c r="D63" s="4" t="s">
        <v>480</v>
      </c>
      <c r="E63" s="4">
        <v>107.0</v>
      </c>
      <c r="F63" s="4">
        <v>6.3</v>
      </c>
      <c r="G63" s="12">
        <v>25.0</v>
      </c>
      <c r="H63" s="24" t="s">
        <v>657</v>
      </c>
      <c r="I63" s="2"/>
      <c r="J63" s="2"/>
      <c r="K63" s="2"/>
      <c r="L63" s="2" t="s">
        <v>658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 t="s">
        <v>554</v>
      </c>
      <c r="B64" s="2" t="s">
        <v>555</v>
      </c>
      <c r="C64" s="2" t="s">
        <v>649</v>
      </c>
      <c r="D64" s="4" t="s">
        <v>480</v>
      </c>
      <c r="E64" s="4">
        <v>207.0</v>
      </c>
      <c r="F64" s="4">
        <v>6.2</v>
      </c>
      <c r="G64" s="12">
        <v>125.0</v>
      </c>
      <c r="H64" s="24" t="s">
        <v>657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 t="s">
        <v>659</v>
      </c>
      <c r="B66" s="2" t="s">
        <v>647</v>
      </c>
      <c r="C66" s="2" t="s">
        <v>647</v>
      </c>
      <c r="D66" s="2" t="s">
        <v>559</v>
      </c>
      <c r="E66" s="2">
        <v>13.0</v>
      </c>
      <c r="F66" s="2">
        <v>4.42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 t="s">
        <v>659</v>
      </c>
      <c r="B67" s="2" t="s">
        <v>647</v>
      </c>
      <c r="C67" s="2" t="s">
        <v>647</v>
      </c>
      <c r="D67" s="2" t="s">
        <v>559</v>
      </c>
      <c r="E67" s="2">
        <v>27.0</v>
      </c>
      <c r="F67" s="2">
        <v>4.74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 t="s">
        <v>659</v>
      </c>
      <c r="B68" s="2" t="s">
        <v>647</v>
      </c>
      <c r="C68" s="2" t="s">
        <v>647</v>
      </c>
      <c r="D68" s="2" t="s">
        <v>559</v>
      </c>
      <c r="E68" s="2">
        <v>20.0</v>
      </c>
      <c r="F68" s="2">
        <v>4.21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 t="s">
        <v>659</v>
      </c>
      <c r="B69" s="2" t="s">
        <v>647</v>
      </c>
      <c r="C69" s="2" t="s">
        <v>647</v>
      </c>
      <c r="D69" s="2" t="s">
        <v>559</v>
      </c>
      <c r="E69" s="2">
        <v>15.0</v>
      </c>
      <c r="F69" s="2">
        <v>4.09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 t="s">
        <v>660</v>
      </c>
      <c r="B70" s="2" t="s">
        <v>647</v>
      </c>
      <c r="C70" s="2" t="s">
        <v>647</v>
      </c>
      <c r="D70" s="2" t="s">
        <v>557</v>
      </c>
      <c r="E70" s="2">
        <v>399.0</v>
      </c>
      <c r="F70" s="2">
        <v>5.9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 t="s">
        <v>661</v>
      </c>
      <c r="B71" s="2" t="s">
        <v>647</v>
      </c>
      <c r="C71" s="2" t="s">
        <v>647</v>
      </c>
      <c r="D71" s="2" t="s">
        <v>478</v>
      </c>
      <c r="E71" s="2">
        <v>12.0</v>
      </c>
      <c r="F71" s="2">
        <v>8.5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 t="s">
        <v>662</v>
      </c>
      <c r="B72" s="2" t="s">
        <v>647</v>
      </c>
      <c r="C72" s="2" t="s">
        <v>647</v>
      </c>
      <c r="D72" s="2" t="s">
        <v>478</v>
      </c>
      <c r="E72" s="2">
        <v>102.0</v>
      </c>
      <c r="F72" s="2">
        <v>10.9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 t="s">
        <v>663</v>
      </c>
      <c r="B73" s="2" t="s">
        <v>647</v>
      </c>
      <c r="C73" s="2" t="s">
        <v>647</v>
      </c>
      <c r="D73" s="2" t="s">
        <v>480</v>
      </c>
      <c r="E73" s="2">
        <v>50.0</v>
      </c>
      <c r="F73" s="2">
        <v>9.3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 t="s">
        <v>664</v>
      </c>
      <c r="B74" s="2" t="s">
        <v>647</v>
      </c>
      <c r="C74" s="2" t="s">
        <v>647</v>
      </c>
      <c r="D74" s="2" t="s">
        <v>477</v>
      </c>
      <c r="E74" s="2">
        <v>34.0</v>
      </c>
      <c r="F74" s="2">
        <v>6.4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 t="s">
        <v>665</v>
      </c>
      <c r="B75" s="2" t="s">
        <v>647</v>
      </c>
      <c r="C75" s="2" t="s">
        <v>647</v>
      </c>
      <c r="D75" s="2" t="s">
        <v>477</v>
      </c>
      <c r="E75" s="2">
        <v>17.0</v>
      </c>
      <c r="F75" s="2">
        <v>7.0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 t="s">
        <v>666</v>
      </c>
      <c r="B76" s="2" t="s">
        <v>647</v>
      </c>
      <c r="C76" s="2" t="s">
        <v>647</v>
      </c>
      <c r="D76" s="2" t="s">
        <v>480</v>
      </c>
      <c r="E76" s="2">
        <v>237.0</v>
      </c>
      <c r="F76" s="2">
        <v>10.3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 t="s">
        <v>667</v>
      </c>
      <c r="B77" s="2" t="s">
        <v>647</v>
      </c>
      <c r="C77" s="2" t="s">
        <v>647</v>
      </c>
      <c r="D77" s="2" t="s">
        <v>557</v>
      </c>
      <c r="E77" s="2">
        <v>91.0</v>
      </c>
      <c r="F77" s="2">
        <v>3.6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 t="s">
        <v>667</v>
      </c>
      <c r="B78" s="2" t="s">
        <v>647</v>
      </c>
      <c r="C78" s="2" t="s">
        <v>647</v>
      </c>
      <c r="D78" s="2" t="s">
        <v>557</v>
      </c>
      <c r="E78" s="2">
        <v>91.0</v>
      </c>
      <c r="F78" s="2">
        <v>3.6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 t="s">
        <v>667</v>
      </c>
      <c r="B79" s="2" t="s">
        <v>647</v>
      </c>
      <c r="C79" s="2" t="s">
        <v>647</v>
      </c>
      <c r="D79" s="2" t="s">
        <v>557</v>
      </c>
      <c r="E79" s="2">
        <v>133.0</v>
      </c>
      <c r="F79" s="2">
        <v>4.2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 t="s">
        <v>667</v>
      </c>
      <c r="B80" s="2" t="s">
        <v>647</v>
      </c>
      <c r="C80" s="2" t="s">
        <v>647</v>
      </c>
      <c r="D80" s="2" t="s">
        <v>557</v>
      </c>
      <c r="E80" s="2">
        <v>122.0</v>
      </c>
      <c r="F80" s="2">
        <v>3.1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 t="s">
        <v>667</v>
      </c>
      <c r="B81" s="2" t="s">
        <v>647</v>
      </c>
      <c r="C81" s="2" t="s">
        <v>647</v>
      </c>
      <c r="D81" s="2" t="s">
        <v>557</v>
      </c>
      <c r="E81" s="2">
        <v>122.0</v>
      </c>
      <c r="F81" s="2">
        <v>3.1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 t="s">
        <v>667</v>
      </c>
      <c r="B82" s="2" t="s">
        <v>647</v>
      </c>
      <c r="C82" s="2" t="s">
        <v>647</v>
      </c>
      <c r="D82" s="2" t="s">
        <v>557</v>
      </c>
      <c r="E82" s="2">
        <v>122.0</v>
      </c>
      <c r="F82" s="2">
        <v>3.1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 t="s">
        <v>667</v>
      </c>
      <c r="B83" s="2" t="s">
        <v>647</v>
      </c>
      <c r="C83" s="2" t="s">
        <v>647</v>
      </c>
      <c r="D83" s="2" t="s">
        <v>557</v>
      </c>
      <c r="E83" s="2">
        <v>122.0</v>
      </c>
      <c r="F83" s="2">
        <v>3.1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 t="s">
        <v>667</v>
      </c>
      <c r="B84" s="2" t="s">
        <v>647</v>
      </c>
      <c r="C84" s="2" t="s">
        <v>647</v>
      </c>
      <c r="D84" s="2" t="s">
        <v>557</v>
      </c>
      <c r="E84" s="2">
        <v>122.0</v>
      </c>
      <c r="F84" s="2">
        <v>3.1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 t="s">
        <v>667</v>
      </c>
      <c r="B85" s="2" t="s">
        <v>647</v>
      </c>
      <c r="C85" s="2" t="s">
        <v>647</v>
      </c>
      <c r="D85" s="2" t="s">
        <v>557</v>
      </c>
      <c r="E85" s="2">
        <v>122.0</v>
      </c>
      <c r="F85" s="2">
        <v>3.1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 t="s">
        <v>667</v>
      </c>
      <c r="B86" s="2" t="s">
        <v>647</v>
      </c>
      <c r="C86" s="2" t="s">
        <v>647</v>
      </c>
      <c r="D86" s="2" t="s">
        <v>559</v>
      </c>
      <c r="E86" s="2">
        <v>120.0</v>
      </c>
      <c r="F86" s="2">
        <v>2.1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 t="s">
        <v>667</v>
      </c>
      <c r="B87" s="2" t="s">
        <v>647</v>
      </c>
      <c r="C87" s="2" t="s">
        <v>647</v>
      </c>
      <c r="D87" s="2" t="s">
        <v>559</v>
      </c>
      <c r="E87" s="2">
        <v>76.0</v>
      </c>
      <c r="F87" s="2">
        <v>3.75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 t="s">
        <v>667</v>
      </c>
      <c r="B88" s="2" t="s">
        <v>647</v>
      </c>
      <c r="C88" s="2" t="s">
        <v>647</v>
      </c>
      <c r="D88" s="2" t="s">
        <v>559</v>
      </c>
      <c r="E88" s="2">
        <v>107.0</v>
      </c>
      <c r="F88" s="2">
        <v>3.0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 t="s">
        <v>667</v>
      </c>
      <c r="B89" s="2" t="s">
        <v>647</v>
      </c>
      <c r="C89" s="2" t="s">
        <v>647</v>
      </c>
      <c r="D89" s="2" t="s">
        <v>559</v>
      </c>
      <c r="E89" s="2">
        <v>120.0</v>
      </c>
      <c r="F89" s="2">
        <v>2.1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 t="s">
        <v>667</v>
      </c>
      <c r="B90" s="2" t="s">
        <v>647</v>
      </c>
      <c r="C90" s="2" t="s">
        <v>647</v>
      </c>
      <c r="D90" s="2" t="s">
        <v>559</v>
      </c>
      <c r="E90" s="2">
        <v>107.0</v>
      </c>
      <c r="F90" s="2">
        <v>3.0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 t="s">
        <v>667</v>
      </c>
      <c r="B91" s="2" t="s">
        <v>647</v>
      </c>
      <c r="C91" s="2" t="s">
        <v>647</v>
      </c>
      <c r="D91" s="2" t="s">
        <v>559</v>
      </c>
      <c r="E91" s="2">
        <v>107.0</v>
      </c>
      <c r="F91" s="2">
        <v>3.0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 t="s">
        <v>667</v>
      </c>
      <c r="B92" s="2" t="s">
        <v>647</v>
      </c>
      <c r="C92" s="2" t="s">
        <v>647</v>
      </c>
      <c r="D92" s="2" t="s">
        <v>559</v>
      </c>
      <c r="E92" s="2">
        <v>120.0</v>
      </c>
      <c r="F92" s="2">
        <v>2.1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 t="s">
        <v>667</v>
      </c>
      <c r="B93" s="2" t="s">
        <v>647</v>
      </c>
      <c r="C93" s="2" t="s">
        <v>647</v>
      </c>
      <c r="D93" s="2" t="s">
        <v>559</v>
      </c>
      <c r="E93" s="2">
        <v>120.0</v>
      </c>
      <c r="F93" s="2">
        <v>2.1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 t="s">
        <v>667</v>
      </c>
      <c r="B94" s="2" t="s">
        <v>647</v>
      </c>
      <c r="C94" s="2" t="s">
        <v>647</v>
      </c>
      <c r="D94" s="2" t="s">
        <v>477</v>
      </c>
      <c r="E94" s="2">
        <v>149.0</v>
      </c>
      <c r="F94" s="2">
        <v>6.3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 t="s">
        <v>667</v>
      </c>
      <c r="B95" s="2" t="s">
        <v>647</v>
      </c>
      <c r="C95" s="2" t="s">
        <v>647</v>
      </c>
      <c r="D95" s="2" t="s">
        <v>477</v>
      </c>
      <c r="E95" s="2">
        <v>149.0</v>
      </c>
      <c r="F95" s="2">
        <v>6.3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 t="s">
        <v>667</v>
      </c>
      <c r="B96" s="2" t="s">
        <v>647</v>
      </c>
      <c r="C96" s="2" t="s">
        <v>647</v>
      </c>
      <c r="D96" s="2" t="s">
        <v>477</v>
      </c>
      <c r="E96" s="2">
        <v>65.0</v>
      </c>
      <c r="F96" s="2">
        <v>7.75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 t="s">
        <v>667</v>
      </c>
      <c r="B97" s="2" t="s">
        <v>647</v>
      </c>
      <c r="C97" s="2" t="s">
        <v>647</v>
      </c>
      <c r="D97" s="2" t="s">
        <v>477</v>
      </c>
      <c r="E97" s="2">
        <v>65.0</v>
      </c>
      <c r="F97" s="2">
        <v>7.75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 t="s">
        <v>667</v>
      </c>
      <c r="B98" s="2" t="s">
        <v>647</v>
      </c>
      <c r="C98" s="2" t="s">
        <v>647</v>
      </c>
      <c r="D98" s="2" t="s">
        <v>477</v>
      </c>
      <c r="E98" s="2">
        <v>149.0</v>
      </c>
      <c r="F98" s="2">
        <v>6.3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 t="s">
        <v>667</v>
      </c>
      <c r="B99" s="2" t="s">
        <v>647</v>
      </c>
      <c r="C99" s="2" t="s">
        <v>647</v>
      </c>
      <c r="D99" s="2" t="s">
        <v>477</v>
      </c>
      <c r="E99" s="2">
        <v>65.0</v>
      </c>
      <c r="F99" s="2">
        <v>7.75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 t="s">
        <v>667</v>
      </c>
      <c r="B100" s="2" t="s">
        <v>647</v>
      </c>
      <c r="C100" s="2" t="s">
        <v>647</v>
      </c>
      <c r="D100" s="2" t="s">
        <v>477</v>
      </c>
      <c r="E100" s="2">
        <v>149.0</v>
      </c>
      <c r="F100" s="2">
        <v>6.3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 t="s">
        <v>667</v>
      </c>
      <c r="B101" s="2" t="s">
        <v>647</v>
      </c>
      <c r="C101" s="2" t="s">
        <v>647</v>
      </c>
      <c r="D101" s="2" t="s">
        <v>477</v>
      </c>
      <c r="E101" s="2">
        <v>149.0</v>
      </c>
      <c r="F101" s="2">
        <v>6.3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 t="s">
        <v>667</v>
      </c>
      <c r="B102" s="2" t="s">
        <v>647</v>
      </c>
      <c r="C102" s="2" t="s">
        <v>647</v>
      </c>
      <c r="D102" s="2" t="s">
        <v>477</v>
      </c>
      <c r="E102" s="2">
        <v>65.0</v>
      </c>
      <c r="F102" s="2">
        <v>7.75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 t="s">
        <v>667</v>
      </c>
      <c r="B103" s="2" t="s">
        <v>647</v>
      </c>
      <c r="C103" s="2" t="s">
        <v>647</v>
      </c>
      <c r="D103" s="2" t="s">
        <v>477</v>
      </c>
      <c r="E103" s="2">
        <v>65.0</v>
      </c>
      <c r="F103" s="2">
        <v>7.75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 t="s">
        <v>667</v>
      </c>
      <c r="B104" s="2" t="s">
        <v>647</v>
      </c>
      <c r="C104" s="2" t="s">
        <v>647</v>
      </c>
      <c r="D104" s="2" t="s">
        <v>477</v>
      </c>
      <c r="E104" s="2">
        <v>65.0</v>
      </c>
      <c r="F104" s="2">
        <v>7.75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 t="s">
        <v>668</v>
      </c>
      <c r="B105" s="2" t="s">
        <v>647</v>
      </c>
      <c r="C105" s="2" t="s">
        <v>647</v>
      </c>
      <c r="D105" s="2" t="s">
        <v>557</v>
      </c>
      <c r="E105" s="2">
        <v>92.0</v>
      </c>
      <c r="F105" s="2">
        <v>3.9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 t="s">
        <v>668</v>
      </c>
      <c r="B106" s="2" t="s">
        <v>647</v>
      </c>
      <c r="C106" s="2" t="s">
        <v>647</v>
      </c>
      <c r="D106" s="2" t="s">
        <v>557</v>
      </c>
      <c r="E106" s="2">
        <v>75.0</v>
      </c>
      <c r="F106" s="2">
        <v>4.22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 t="s">
        <v>668</v>
      </c>
      <c r="B107" s="2" t="s">
        <v>647</v>
      </c>
      <c r="C107" s="2" t="s">
        <v>647</v>
      </c>
      <c r="D107" s="2" t="s">
        <v>559</v>
      </c>
      <c r="E107" s="2">
        <v>72.0</v>
      </c>
      <c r="F107" s="2">
        <v>3.62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 t="s">
        <v>668</v>
      </c>
      <c r="B108" s="2" t="s">
        <v>647</v>
      </c>
      <c r="C108" s="2" t="s">
        <v>647</v>
      </c>
      <c r="D108" s="2" t="s">
        <v>559</v>
      </c>
      <c r="E108" s="2">
        <v>54.0</v>
      </c>
      <c r="F108" s="2">
        <v>5.61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 t="s">
        <v>668</v>
      </c>
      <c r="B109" s="2" t="s">
        <v>647</v>
      </c>
      <c r="C109" s="2" t="s">
        <v>647</v>
      </c>
      <c r="D109" s="2" t="s">
        <v>559</v>
      </c>
      <c r="E109" s="2">
        <v>84.0</v>
      </c>
      <c r="F109" s="2">
        <v>3.96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 t="s">
        <v>668</v>
      </c>
      <c r="B110" s="2" t="s">
        <v>647</v>
      </c>
      <c r="C110" s="2" t="s">
        <v>647</v>
      </c>
      <c r="D110" s="2" t="s">
        <v>559</v>
      </c>
      <c r="E110" s="2">
        <v>84.0</v>
      </c>
      <c r="F110" s="2">
        <v>3.96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 t="s">
        <v>668</v>
      </c>
      <c r="B111" s="2" t="s">
        <v>647</v>
      </c>
      <c r="C111" s="2" t="s">
        <v>647</v>
      </c>
      <c r="D111" s="2" t="s">
        <v>559</v>
      </c>
      <c r="E111" s="2">
        <v>128.0</v>
      </c>
      <c r="F111" s="2">
        <v>5.3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 t="s">
        <v>668</v>
      </c>
      <c r="B112" s="2" t="s">
        <v>647</v>
      </c>
      <c r="C112" s="2" t="s">
        <v>647</v>
      </c>
      <c r="D112" s="2" t="s">
        <v>559</v>
      </c>
      <c r="E112" s="2">
        <v>54.0</v>
      </c>
      <c r="F112" s="2">
        <v>5.61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 t="s">
        <v>668</v>
      </c>
      <c r="B113" s="2" t="s">
        <v>647</v>
      </c>
      <c r="C113" s="2" t="s">
        <v>647</v>
      </c>
      <c r="D113" s="2" t="s">
        <v>559</v>
      </c>
      <c r="E113" s="2">
        <v>54.0</v>
      </c>
      <c r="F113" s="2">
        <v>5.61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 t="s">
        <v>668</v>
      </c>
      <c r="B114" s="2" t="s">
        <v>647</v>
      </c>
      <c r="C114" s="2" t="s">
        <v>647</v>
      </c>
      <c r="D114" s="2" t="s">
        <v>559</v>
      </c>
      <c r="E114" s="2">
        <v>84.0</v>
      </c>
      <c r="F114" s="2">
        <v>3.96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 t="s">
        <v>668</v>
      </c>
      <c r="B115" s="2" t="s">
        <v>647</v>
      </c>
      <c r="C115" s="2" t="s">
        <v>647</v>
      </c>
      <c r="D115" s="2" t="s">
        <v>559</v>
      </c>
      <c r="E115" s="2">
        <v>54.0</v>
      </c>
      <c r="F115" s="2">
        <v>5.61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 t="s">
        <v>668</v>
      </c>
      <c r="B116" s="2" t="s">
        <v>647</v>
      </c>
      <c r="C116" s="2" t="s">
        <v>647</v>
      </c>
      <c r="D116" s="2" t="s">
        <v>559</v>
      </c>
      <c r="E116" s="2">
        <v>57.0</v>
      </c>
      <c r="F116" s="2">
        <v>5.36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 t="s">
        <v>668</v>
      </c>
      <c r="B117" s="2" t="s">
        <v>647</v>
      </c>
      <c r="C117" s="2" t="s">
        <v>647</v>
      </c>
      <c r="D117" s="2" t="s">
        <v>477</v>
      </c>
      <c r="E117" s="2">
        <v>118.0</v>
      </c>
      <c r="F117" s="2">
        <v>7.31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 t="s">
        <v>668</v>
      </c>
      <c r="B118" s="2" t="s">
        <v>647</v>
      </c>
      <c r="C118" s="2" t="s">
        <v>647</v>
      </c>
      <c r="D118" s="2" t="s">
        <v>477</v>
      </c>
      <c r="E118" s="2">
        <v>53.0</v>
      </c>
      <c r="F118" s="2">
        <v>7.57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 t="s">
        <v>668</v>
      </c>
      <c r="B119" s="2" t="s">
        <v>647</v>
      </c>
      <c r="C119" s="2" t="s">
        <v>647</v>
      </c>
      <c r="D119" s="2" t="s">
        <v>477</v>
      </c>
      <c r="E119" s="2">
        <v>66.0</v>
      </c>
      <c r="F119" s="2">
        <v>7.44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 t="s">
        <v>668</v>
      </c>
      <c r="B120" s="2" t="s">
        <v>647</v>
      </c>
      <c r="C120" s="2" t="s">
        <v>647</v>
      </c>
      <c r="D120" s="2" t="s">
        <v>477</v>
      </c>
      <c r="E120" s="2">
        <v>53.0</v>
      </c>
      <c r="F120" s="2">
        <v>7.57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 t="s">
        <v>668</v>
      </c>
      <c r="B121" s="2" t="s">
        <v>647</v>
      </c>
      <c r="C121" s="2" t="s">
        <v>647</v>
      </c>
      <c r="D121" s="2" t="s">
        <v>477</v>
      </c>
      <c r="E121" s="2">
        <v>118.0</v>
      </c>
      <c r="F121" s="2">
        <v>7.31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 t="s">
        <v>668</v>
      </c>
      <c r="B122" s="2" t="s">
        <v>647</v>
      </c>
      <c r="C122" s="2" t="s">
        <v>647</v>
      </c>
      <c r="D122" s="2" t="s">
        <v>477</v>
      </c>
      <c r="E122" s="2">
        <v>53.0</v>
      </c>
      <c r="F122" s="2">
        <v>7.57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 t="s">
        <v>668</v>
      </c>
      <c r="B123" s="2" t="s">
        <v>647</v>
      </c>
      <c r="C123" s="2" t="s">
        <v>647</v>
      </c>
      <c r="D123" s="2" t="s">
        <v>477</v>
      </c>
      <c r="E123" s="2">
        <v>66.0</v>
      </c>
      <c r="F123" s="2">
        <v>7.44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 t="s">
        <v>668</v>
      </c>
      <c r="B124" s="2" t="s">
        <v>647</v>
      </c>
      <c r="C124" s="2" t="s">
        <v>647</v>
      </c>
      <c r="D124" s="2" t="s">
        <v>477</v>
      </c>
      <c r="E124" s="2">
        <v>118.0</v>
      </c>
      <c r="F124" s="2">
        <v>7.31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 t="s">
        <v>668</v>
      </c>
      <c r="B125" s="2" t="s">
        <v>647</v>
      </c>
      <c r="C125" s="2" t="s">
        <v>647</v>
      </c>
      <c r="D125" s="2" t="s">
        <v>477</v>
      </c>
      <c r="E125" s="2">
        <v>118.0</v>
      </c>
      <c r="F125" s="2">
        <v>7.31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 t="s">
        <v>668</v>
      </c>
      <c r="B126" s="2" t="s">
        <v>647</v>
      </c>
      <c r="C126" s="2" t="s">
        <v>647</v>
      </c>
      <c r="D126" s="2" t="s">
        <v>477</v>
      </c>
      <c r="E126" s="2">
        <v>53.0</v>
      </c>
      <c r="F126" s="2">
        <v>7.57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 t="s">
        <v>668</v>
      </c>
      <c r="B127" s="2" t="s">
        <v>647</v>
      </c>
      <c r="C127" s="2" t="s">
        <v>647</v>
      </c>
      <c r="D127" s="2" t="s">
        <v>477</v>
      </c>
      <c r="E127" s="2">
        <v>66.0</v>
      </c>
      <c r="F127" s="2">
        <v>7.44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 t="s">
        <v>668</v>
      </c>
      <c r="B128" s="2" t="s">
        <v>647</v>
      </c>
      <c r="C128" s="2" t="s">
        <v>647</v>
      </c>
      <c r="D128" s="2" t="s">
        <v>477</v>
      </c>
      <c r="E128" s="2">
        <v>66.0</v>
      </c>
      <c r="F128" s="2">
        <v>7.44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 t="s">
        <v>669</v>
      </c>
      <c r="B129" s="2" t="s">
        <v>647</v>
      </c>
      <c r="C129" s="2" t="s">
        <v>647</v>
      </c>
      <c r="D129" s="2" t="s">
        <v>557</v>
      </c>
      <c r="E129" s="2">
        <v>105.0</v>
      </c>
      <c r="F129" s="2">
        <v>2.07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 t="s">
        <v>669</v>
      </c>
      <c r="B130" s="2" t="s">
        <v>647</v>
      </c>
      <c r="C130" s="2" t="s">
        <v>647</v>
      </c>
      <c r="D130" s="2" t="s">
        <v>557</v>
      </c>
      <c r="E130" s="2">
        <v>66.0</v>
      </c>
      <c r="F130" s="2">
        <v>1.6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 t="s">
        <v>669</v>
      </c>
      <c r="B131" s="2" t="s">
        <v>647</v>
      </c>
      <c r="C131" s="2" t="s">
        <v>647</v>
      </c>
      <c r="D131" s="2" t="s">
        <v>557</v>
      </c>
      <c r="E131" s="2">
        <v>105.0</v>
      </c>
      <c r="F131" s="2">
        <v>2.07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 t="s">
        <v>669</v>
      </c>
      <c r="B132" s="2" t="s">
        <v>647</v>
      </c>
      <c r="C132" s="2" t="s">
        <v>647</v>
      </c>
      <c r="D132" s="2" t="s">
        <v>557</v>
      </c>
      <c r="E132" s="2">
        <v>66.0</v>
      </c>
      <c r="F132" s="2">
        <v>1.6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 t="s">
        <v>669</v>
      </c>
      <c r="B133" s="2" t="s">
        <v>647</v>
      </c>
      <c r="C133" s="2" t="s">
        <v>647</v>
      </c>
      <c r="D133" s="2" t="s">
        <v>557</v>
      </c>
      <c r="E133" s="2">
        <v>36.0</v>
      </c>
      <c r="F133" s="2">
        <v>2.66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 t="s">
        <v>669</v>
      </c>
      <c r="B134" s="2" t="s">
        <v>647</v>
      </c>
      <c r="C134" s="2" t="s">
        <v>647</v>
      </c>
      <c r="D134" s="2" t="s">
        <v>557</v>
      </c>
      <c r="E134" s="2">
        <v>70.0</v>
      </c>
      <c r="F134" s="2">
        <v>3.68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 t="s">
        <v>669</v>
      </c>
      <c r="B135" s="2" t="s">
        <v>647</v>
      </c>
      <c r="C135" s="2" t="s">
        <v>647</v>
      </c>
      <c r="D135" s="2" t="s">
        <v>557</v>
      </c>
      <c r="E135" s="2">
        <v>137.0</v>
      </c>
      <c r="F135" s="2">
        <v>3.2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 t="s">
        <v>669</v>
      </c>
      <c r="B136" s="2" t="s">
        <v>647</v>
      </c>
      <c r="C136" s="2" t="s">
        <v>647</v>
      </c>
      <c r="D136" s="2" t="s">
        <v>557</v>
      </c>
      <c r="E136" s="2">
        <v>137.0</v>
      </c>
      <c r="F136" s="2">
        <v>3.2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 t="s">
        <v>669</v>
      </c>
      <c r="B137" s="2" t="s">
        <v>647</v>
      </c>
      <c r="C137" s="2" t="s">
        <v>647</v>
      </c>
      <c r="D137" s="2" t="s">
        <v>557</v>
      </c>
      <c r="E137" s="2">
        <v>137.0</v>
      </c>
      <c r="F137" s="2">
        <v>3.2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 t="s">
        <v>669</v>
      </c>
      <c r="B138" s="2" t="s">
        <v>647</v>
      </c>
      <c r="C138" s="2" t="s">
        <v>647</v>
      </c>
      <c r="D138" s="2" t="s">
        <v>559</v>
      </c>
      <c r="E138" s="2">
        <v>53.0</v>
      </c>
      <c r="F138" s="2">
        <v>6.2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 t="s">
        <v>669</v>
      </c>
      <c r="B139" s="2" t="s">
        <v>647</v>
      </c>
      <c r="C139" s="2" t="s">
        <v>647</v>
      </c>
      <c r="D139" s="2" t="s">
        <v>559</v>
      </c>
      <c r="E139" s="2">
        <v>53.0</v>
      </c>
      <c r="F139" s="2">
        <v>6.2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 t="s">
        <v>669</v>
      </c>
      <c r="B140" s="2" t="s">
        <v>647</v>
      </c>
      <c r="C140" s="2" t="s">
        <v>647</v>
      </c>
      <c r="D140" s="2" t="s">
        <v>559</v>
      </c>
      <c r="E140" s="2">
        <v>53.0</v>
      </c>
      <c r="F140" s="2">
        <v>6.2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 t="s">
        <v>669</v>
      </c>
      <c r="B141" s="2" t="s">
        <v>647</v>
      </c>
      <c r="C141" s="2" t="s">
        <v>647</v>
      </c>
      <c r="D141" s="2" t="s">
        <v>477</v>
      </c>
      <c r="E141" s="2">
        <v>33.0</v>
      </c>
      <c r="F141" s="2">
        <v>5.5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 t="s">
        <v>669</v>
      </c>
      <c r="B142" s="2" t="s">
        <v>647</v>
      </c>
      <c r="C142" s="2" t="s">
        <v>647</v>
      </c>
      <c r="D142" s="2" t="s">
        <v>477</v>
      </c>
      <c r="E142" s="2">
        <v>33.0</v>
      </c>
      <c r="F142" s="2">
        <v>5.36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 t="s">
        <v>669</v>
      </c>
      <c r="B143" s="2" t="s">
        <v>647</v>
      </c>
      <c r="C143" s="2" t="s">
        <v>647</v>
      </c>
      <c r="D143" s="2" t="s">
        <v>480</v>
      </c>
      <c r="E143" s="2">
        <v>51.0</v>
      </c>
      <c r="F143" s="2">
        <v>10.6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 t="s">
        <v>669</v>
      </c>
      <c r="B144" s="2" t="s">
        <v>647</v>
      </c>
      <c r="C144" s="2" t="s">
        <v>647</v>
      </c>
      <c r="D144" s="2" t="s">
        <v>480</v>
      </c>
      <c r="E144" s="2">
        <v>51.0</v>
      </c>
      <c r="F144" s="2">
        <v>10.6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 t="s">
        <v>669</v>
      </c>
      <c r="B145" s="2" t="s">
        <v>647</v>
      </c>
      <c r="C145" s="2" t="s">
        <v>647</v>
      </c>
      <c r="D145" s="2" t="s">
        <v>480</v>
      </c>
      <c r="E145" s="2">
        <v>51.0</v>
      </c>
      <c r="F145" s="2">
        <v>10.6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 t="s">
        <v>669</v>
      </c>
      <c r="B146" s="2" t="s">
        <v>647</v>
      </c>
      <c r="C146" s="2" t="s">
        <v>647</v>
      </c>
      <c r="D146" s="2" t="s">
        <v>480</v>
      </c>
      <c r="E146" s="2">
        <v>19.0</v>
      </c>
      <c r="F146" s="2">
        <v>10.8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 t="s">
        <v>669</v>
      </c>
      <c r="B147" s="2" t="s">
        <v>647</v>
      </c>
      <c r="C147" s="2" t="s">
        <v>647</v>
      </c>
      <c r="D147" s="2" t="s">
        <v>480</v>
      </c>
      <c r="E147" s="2">
        <v>115.0</v>
      </c>
      <c r="F147" s="2">
        <v>10.3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 t="s">
        <v>669</v>
      </c>
      <c r="B148" s="2" t="s">
        <v>647</v>
      </c>
      <c r="C148" s="2" t="s">
        <v>647</v>
      </c>
      <c r="D148" s="2" t="s">
        <v>480</v>
      </c>
      <c r="E148" s="2">
        <v>31.0</v>
      </c>
      <c r="F148" s="2">
        <v>10.5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 t="s">
        <v>670</v>
      </c>
      <c r="B149" s="2" t="s">
        <v>647</v>
      </c>
      <c r="C149" s="2" t="s">
        <v>647</v>
      </c>
      <c r="D149" s="2" t="s">
        <v>557</v>
      </c>
      <c r="E149" s="2">
        <v>36.0</v>
      </c>
      <c r="F149" s="2">
        <v>2.68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 t="s">
        <v>670</v>
      </c>
      <c r="B150" s="2" t="s">
        <v>647</v>
      </c>
      <c r="C150" s="2" t="s">
        <v>647</v>
      </c>
      <c r="D150" s="2" t="s">
        <v>557</v>
      </c>
      <c r="E150" s="2">
        <v>105.0</v>
      </c>
      <c r="F150" s="2">
        <v>2.13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 t="s">
        <v>670</v>
      </c>
      <c r="B151" s="2" t="s">
        <v>647</v>
      </c>
      <c r="C151" s="2" t="s">
        <v>647</v>
      </c>
      <c r="D151" s="2" t="s">
        <v>559</v>
      </c>
      <c r="E151" s="2">
        <v>25.0</v>
      </c>
      <c r="F151" s="2">
        <v>2.68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 t="s">
        <v>670</v>
      </c>
      <c r="B152" s="2" t="s">
        <v>647</v>
      </c>
      <c r="C152" s="2" t="s">
        <v>647</v>
      </c>
      <c r="D152" s="2" t="s">
        <v>477</v>
      </c>
      <c r="E152" s="2">
        <v>59.0</v>
      </c>
      <c r="F152" s="2">
        <v>5.56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 t="s">
        <v>670</v>
      </c>
      <c r="B153" s="2" t="s">
        <v>647</v>
      </c>
      <c r="C153" s="2" t="s">
        <v>647</v>
      </c>
      <c r="D153" s="2" t="s">
        <v>477</v>
      </c>
      <c r="E153" s="2">
        <v>139.0</v>
      </c>
      <c r="F153" s="2">
        <v>5.25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 t="s">
        <v>671</v>
      </c>
      <c r="B154" s="2" t="s">
        <v>647</v>
      </c>
      <c r="C154" s="2" t="s">
        <v>647</v>
      </c>
      <c r="D154" s="2" t="s">
        <v>480</v>
      </c>
      <c r="E154" s="2">
        <v>102.0</v>
      </c>
      <c r="F154" s="2">
        <v>6.5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 t="s">
        <v>671</v>
      </c>
      <c r="B155" s="2" t="s">
        <v>647</v>
      </c>
      <c r="C155" s="2" t="s">
        <v>647</v>
      </c>
      <c r="D155" s="2" t="s">
        <v>557</v>
      </c>
      <c r="E155" s="2">
        <v>92.0</v>
      </c>
      <c r="F155" s="2">
        <v>2.5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 t="s">
        <v>671</v>
      </c>
      <c r="B156" s="2" t="s">
        <v>647</v>
      </c>
      <c r="C156" s="2" t="s">
        <v>647</v>
      </c>
      <c r="D156" s="2" t="s">
        <v>477</v>
      </c>
      <c r="E156" s="2">
        <v>31.0</v>
      </c>
      <c r="F156" s="2">
        <v>9.1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 t="s">
        <v>672</v>
      </c>
      <c r="B157" s="2" t="s">
        <v>647</v>
      </c>
      <c r="C157" s="2" t="s">
        <v>647</v>
      </c>
      <c r="D157" s="2" t="s">
        <v>557</v>
      </c>
      <c r="E157" s="2">
        <v>85.0</v>
      </c>
      <c r="F157" s="2">
        <v>3.4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 t="s">
        <v>672</v>
      </c>
      <c r="B158" s="2" t="s">
        <v>647</v>
      </c>
      <c r="C158" s="2" t="s">
        <v>647</v>
      </c>
      <c r="D158" s="2" t="s">
        <v>557</v>
      </c>
      <c r="E158" s="2">
        <v>38.0</v>
      </c>
      <c r="F158" s="2">
        <v>3.0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 t="s">
        <v>672</v>
      </c>
      <c r="B159" s="2" t="s">
        <v>647</v>
      </c>
      <c r="C159" s="2" t="s">
        <v>647</v>
      </c>
      <c r="D159" s="2" t="s">
        <v>557</v>
      </c>
      <c r="E159" s="2">
        <v>85.0</v>
      </c>
      <c r="F159" s="2">
        <v>3.4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 t="s">
        <v>672</v>
      </c>
      <c r="B160" s="2" t="s">
        <v>647</v>
      </c>
      <c r="C160" s="2" t="s">
        <v>647</v>
      </c>
      <c r="D160" s="2" t="s">
        <v>559</v>
      </c>
      <c r="E160" s="2">
        <v>84.0</v>
      </c>
      <c r="F160" s="2">
        <v>3.8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 t="s">
        <v>672</v>
      </c>
      <c r="B161" s="2" t="s">
        <v>647</v>
      </c>
      <c r="C161" s="2" t="s">
        <v>647</v>
      </c>
      <c r="D161" s="2" t="s">
        <v>559</v>
      </c>
      <c r="E161" s="2">
        <v>42.0</v>
      </c>
      <c r="F161" s="2">
        <v>3.7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 t="s">
        <v>672</v>
      </c>
      <c r="B162" s="2" t="s">
        <v>647</v>
      </c>
      <c r="C162" s="2" t="s">
        <v>647</v>
      </c>
      <c r="D162" s="2" t="s">
        <v>559</v>
      </c>
      <c r="E162" s="2">
        <v>42.0</v>
      </c>
      <c r="F162" s="2">
        <v>3.7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 t="s">
        <v>672</v>
      </c>
      <c r="B163" s="2" t="s">
        <v>647</v>
      </c>
      <c r="C163" s="2" t="s">
        <v>647</v>
      </c>
      <c r="D163" s="2" t="s">
        <v>559</v>
      </c>
      <c r="E163" s="2">
        <v>42.0</v>
      </c>
      <c r="F163" s="2">
        <v>3.7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 t="s">
        <v>672</v>
      </c>
      <c r="B164" s="2" t="s">
        <v>647</v>
      </c>
      <c r="C164" s="2" t="s">
        <v>647</v>
      </c>
      <c r="D164" s="2" t="s">
        <v>479</v>
      </c>
      <c r="E164" s="2">
        <v>45.0</v>
      </c>
      <c r="F164" s="2">
        <v>10.4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 t="s">
        <v>672</v>
      </c>
      <c r="B165" s="2" t="s">
        <v>647</v>
      </c>
      <c r="C165" s="2" t="s">
        <v>647</v>
      </c>
      <c r="D165" s="2" t="s">
        <v>479</v>
      </c>
      <c r="E165" s="2">
        <v>70.0</v>
      </c>
      <c r="F165" s="2">
        <v>11.1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 t="s">
        <v>672</v>
      </c>
      <c r="B166" s="2" t="s">
        <v>647</v>
      </c>
      <c r="C166" s="2" t="s">
        <v>647</v>
      </c>
      <c r="D166" s="2" t="s">
        <v>480</v>
      </c>
      <c r="E166" s="2">
        <v>61.0</v>
      </c>
      <c r="F166" s="2">
        <v>10.6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 t="s">
        <v>672</v>
      </c>
      <c r="B167" s="2" t="s">
        <v>647</v>
      </c>
      <c r="C167" s="2" t="s">
        <v>647</v>
      </c>
      <c r="D167" s="2" t="s">
        <v>480</v>
      </c>
      <c r="E167" s="2">
        <v>50.0</v>
      </c>
      <c r="F167" s="2">
        <v>10.6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 t="s">
        <v>672</v>
      </c>
      <c r="B168" s="2" t="s">
        <v>647</v>
      </c>
      <c r="C168" s="2" t="s">
        <v>647</v>
      </c>
      <c r="D168" s="2" t="s">
        <v>480</v>
      </c>
      <c r="E168" s="2">
        <v>61.0</v>
      </c>
      <c r="F168" s="2">
        <v>10.6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 t="s">
        <v>672</v>
      </c>
      <c r="B169" s="2" t="s">
        <v>647</v>
      </c>
      <c r="C169" s="2" t="s">
        <v>647</v>
      </c>
      <c r="D169" s="2" t="s">
        <v>480</v>
      </c>
      <c r="E169" s="2">
        <v>61.0</v>
      </c>
      <c r="F169" s="2">
        <v>10.6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 t="s">
        <v>672</v>
      </c>
      <c r="B170" s="2" t="s">
        <v>647</v>
      </c>
      <c r="C170" s="2" t="s">
        <v>647</v>
      </c>
      <c r="D170" s="2" t="s">
        <v>480</v>
      </c>
      <c r="E170" s="2">
        <v>50.0</v>
      </c>
      <c r="F170" s="2">
        <v>10.6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 t="s">
        <v>672</v>
      </c>
      <c r="B171" s="2" t="s">
        <v>647</v>
      </c>
      <c r="C171" s="2" t="s">
        <v>647</v>
      </c>
      <c r="D171" s="2" t="s">
        <v>480</v>
      </c>
      <c r="E171" s="2">
        <v>50.0</v>
      </c>
      <c r="F171" s="2">
        <v>10.6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 t="s">
        <v>672</v>
      </c>
      <c r="B172" s="2" t="s">
        <v>647</v>
      </c>
      <c r="C172" s="2" t="s">
        <v>647</v>
      </c>
      <c r="D172" s="2" t="s">
        <v>480</v>
      </c>
      <c r="E172" s="2">
        <v>81.0</v>
      </c>
      <c r="F172" s="2">
        <v>10.6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 t="s">
        <v>672</v>
      </c>
      <c r="B173" s="2" t="s">
        <v>647</v>
      </c>
      <c r="C173" s="2" t="s">
        <v>647</v>
      </c>
      <c r="D173" s="2" t="s">
        <v>480</v>
      </c>
      <c r="E173" s="2">
        <v>81.0</v>
      </c>
      <c r="F173" s="2">
        <v>10.6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 t="s">
        <v>672</v>
      </c>
      <c r="B174" s="2" t="s">
        <v>647</v>
      </c>
      <c r="C174" s="2" t="s">
        <v>647</v>
      </c>
      <c r="D174" s="2" t="s">
        <v>480</v>
      </c>
      <c r="E174" s="2">
        <v>81.0</v>
      </c>
      <c r="F174" s="2">
        <v>10.6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 t="s">
        <v>672</v>
      </c>
      <c r="B175" s="2" t="s">
        <v>647</v>
      </c>
      <c r="C175" s="2" t="s">
        <v>647</v>
      </c>
      <c r="D175" s="2" t="s">
        <v>480</v>
      </c>
      <c r="E175" s="2">
        <v>76.0</v>
      </c>
      <c r="F175" s="2">
        <v>10.8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 t="s">
        <v>672</v>
      </c>
      <c r="B176" s="2" t="s">
        <v>647</v>
      </c>
      <c r="C176" s="2" t="s">
        <v>647</v>
      </c>
      <c r="D176" s="2" t="s">
        <v>480</v>
      </c>
      <c r="E176" s="2">
        <v>76.0</v>
      </c>
      <c r="F176" s="2">
        <v>10.8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 t="s">
        <v>672</v>
      </c>
      <c r="B177" s="2" t="s">
        <v>647</v>
      </c>
      <c r="C177" s="2" t="s">
        <v>647</v>
      </c>
      <c r="D177" s="2" t="s">
        <v>480</v>
      </c>
      <c r="E177" s="2">
        <v>76.0</v>
      </c>
      <c r="F177" s="2">
        <v>10.8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 t="s">
        <v>672</v>
      </c>
      <c r="B178" s="2" t="s">
        <v>647</v>
      </c>
      <c r="C178" s="2" t="s">
        <v>647</v>
      </c>
      <c r="D178" s="2" t="s">
        <v>557</v>
      </c>
      <c r="E178" s="2">
        <v>85.0</v>
      </c>
      <c r="F178" s="2">
        <v>3.4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 t="s">
        <v>672</v>
      </c>
      <c r="B179" s="2" t="s">
        <v>647</v>
      </c>
      <c r="C179" s="2" t="s">
        <v>647</v>
      </c>
      <c r="D179" s="2" t="s">
        <v>559</v>
      </c>
      <c r="E179" s="2">
        <v>84.0</v>
      </c>
      <c r="F179" s="2">
        <v>3.8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 t="s">
        <v>672</v>
      </c>
      <c r="B180" s="2" t="s">
        <v>647</v>
      </c>
      <c r="C180" s="2" t="s">
        <v>647</v>
      </c>
      <c r="D180" s="2" t="s">
        <v>479</v>
      </c>
      <c r="E180" s="2">
        <v>45.0</v>
      </c>
      <c r="F180" s="2">
        <v>9.46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 t="s">
        <v>672</v>
      </c>
      <c r="B181" s="2" t="s">
        <v>647</v>
      </c>
      <c r="C181" s="2" t="s">
        <v>647</v>
      </c>
      <c r="D181" s="2" t="s">
        <v>479</v>
      </c>
      <c r="E181" s="2">
        <v>56.0</v>
      </c>
      <c r="F181" s="2">
        <v>10.0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 t="s">
        <v>672</v>
      </c>
      <c r="B182" s="2" t="s">
        <v>647</v>
      </c>
      <c r="C182" s="2" t="s">
        <v>647</v>
      </c>
      <c r="D182" s="2" t="s">
        <v>480</v>
      </c>
      <c r="E182" s="2">
        <v>50.0</v>
      </c>
      <c r="F182" s="2">
        <v>10.6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 t="s">
        <v>672</v>
      </c>
      <c r="B183" s="2" t="s">
        <v>647</v>
      </c>
      <c r="C183" s="2" t="s">
        <v>647</v>
      </c>
      <c r="D183" s="2" t="s">
        <v>480</v>
      </c>
      <c r="E183" s="2">
        <v>76.0</v>
      </c>
      <c r="F183" s="2">
        <v>10.8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 t="s">
        <v>672</v>
      </c>
      <c r="B184" s="2" t="s">
        <v>647</v>
      </c>
      <c r="C184" s="2" t="s">
        <v>647</v>
      </c>
      <c r="D184" s="2" t="s">
        <v>480</v>
      </c>
      <c r="E184" s="2">
        <v>81.0</v>
      </c>
      <c r="F184" s="2">
        <v>10.6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 t="s">
        <v>672</v>
      </c>
      <c r="B185" s="2" t="s">
        <v>647</v>
      </c>
      <c r="C185" s="2" t="s">
        <v>647</v>
      </c>
      <c r="D185" s="2" t="s">
        <v>557</v>
      </c>
      <c r="E185" s="2">
        <v>85.0</v>
      </c>
      <c r="F185" s="2">
        <v>3.2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 t="s">
        <v>672</v>
      </c>
      <c r="B186" s="2" t="s">
        <v>647</v>
      </c>
      <c r="C186" s="2" t="s">
        <v>647</v>
      </c>
      <c r="D186" s="2" t="s">
        <v>479</v>
      </c>
      <c r="E186" s="2">
        <v>70.0</v>
      </c>
      <c r="F186" s="2">
        <v>10.6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 t="s">
        <v>672</v>
      </c>
      <c r="B187" s="2" t="s">
        <v>647</v>
      </c>
      <c r="C187" s="2" t="s">
        <v>647</v>
      </c>
      <c r="D187" s="2" t="s">
        <v>479</v>
      </c>
      <c r="E187" s="2">
        <v>58.0</v>
      </c>
      <c r="F187" s="2">
        <v>11.0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 t="s">
        <v>672</v>
      </c>
      <c r="B188" s="2" t="s">
        <v>647</v>
      </c>
      <c r="C188" s="2" t="s">
        <v>647</v>
      </c>
      <c r="D188" s="2" t="s">
        <v>480</v>
      </c>
      <c r="E188" s="2">
        <v>76.0</v>
      </c>
      <c r="F188" s="2">
        <v>10.8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 t="s">
        <v>672</v>
      </c>
      <c r="B189" s="2" t="s">
        <v>647</v>
      </c>
      <c r="C189" s="2" t="s">
        <v>647</v>
      </c>
      <c r="D189" s="2" t="s">
        <v>480</v>
      </c>
      <c r="E189" s="2">
        <v>61.0</v>
      </c>
      <c r="F189" s="2">
        <v>10.4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 t="s">
        <v>672</v>
      </c>
      <c r="B190" s="2" t="s">
        <v>647</v>
      </c>
      <c r="C190" s="2" t="s">
        <v>647</v>
      </c>
      <c r="D190" s="2" t="s">
        <v>480</v>
      </c>
      <c r="E190" s="2">
        <v>81.0</v>
      </c>
      <c r="F190" s="2">
        <v>10.4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 t="s">
        <v>673</v>
      </c>
      <c r="B191" s="2" t="s">
        <v>647</v>
      </c>
      <c r="C191" s="2" t="s">
        <v>647</v>
      </c>
      <c r="D191" s="2" t="s">
        <v>557</v>
      </c>
      <c r="E191" s="2">
        <v>29.0</v>
      </c>
      <c r="F191" s="2">
        <v>4.1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 t="s">
        <v>673</v>
      </c>
      <c r="B192" s="2" t="s">
        <v>647</v>
      </c>
      <c r="C192" s="2" t="s">
        <v>647</v>
      </c>
      <c r="D192" s="2" t="s">
        <v>557</v>
      </c>
      <c r="E192" s="2">
        <v>35.0</v>
      </c>
      <c r="F192" s="2">
        <v>3.6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 t="s">
        <v>673</v>
      </c>
      <c r="B193" s="2" t="s">
        <v>647</v>
      </c>
      <c r="C193" s="2" t="s">
        <v>647</v>
      </c>
      <c r="D193" s="2" t="s">
        <v>557</v>
      </c>
      <c r="E193" s="2">
        <v>35.0</v>
      </c>
      <c r="F193" s="2">
        <v>3.6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 t="s">
        <v>673</v>
      </c>
      <c r="B194" s="2" t="s">
        <v>647</v>
      </c>
      <c r="C194" s="2" t="s">
        <v>647</v>
      </c>
      <c r="D194" s="2" t="s">
        <v>559</v>
      </c>
      <c r="E194" s="2">
        <v>43.0</v>
      </c>
      <c r="F194" s="2">
        <v>4.1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 t="s">
        <v>673</v>
      </c>
      <c r="B195" s="2" t="s">
        <v>647</v>
      </c>
      <c r="C195" s="2" t="s">
        <v>647</v>
      </c>
      <c r="D195" s="2" t="s">
        <v>559</v>
      </c>
      <c r="E195" s="2">
        <v>43.0</v>
      </c>
      <c r="F195" s="2">
        <v>4.4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 t="s">
        <v>674</v>
      </c>
      <c r="B196" s="2" t="s">
        <v>647</v>
      </c>
      <c r="C196" s="2" t="s">
        <v>647</v>
      </c>
      <c r="D196" s="2" t="s">
        <v>477</v>
      </c>
      <c r="E196" s="2">
        <v>137.0</v>
      </c>
      <c r="F196" s="2">
        <v>6.0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 t="s">
        <v>675</v>
      </c>
      <c r="B197" s="2" t="s">
        <v>647</v>
      </c>
      <c r="C197" s="2" t="s">
        <v>647</v>
      </c>
      <c r="D197" s="2" t="s">
        <v>478</v>
      </c>
      <c r="E197" s="2">
        <v>256.0</v>
      </c>
      <c r="F197" s="2">
        <v>6.8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 t="s">
        <v>676</v>
      </c>
      <c r="B198" s="2" t="s">
        <v>647</v>
      </c>
      <c r="C198" s="2" t="s">
        <v>647</v>
      </c>
      <c r="D198" s="2" t="s">
        <v>557</v>
      </c>
      <c r="E198" s="2">
        <v>72.0</v>
      </c>
      <c r="F198" s="2">
        <v>2.8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 t="s">
        <v>676</v>
      </c>
      <c r="B199" s="2" t="s">
        <v>647</v>
      </c>
      <c r="C199" s="2" t="s">
        <v>647</v>
      </c>
      <c r="D199" s="2" t="s">
        <v>557</v>
      </c>
      <c r="E199" s="2">
        <v>43.0</v>
      </c>
      <c r="F199" s="2">
        <v>3.3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 t="s">
        <v>676</v>
      </c>
      <c r="B200" s="2" t="s">
        <v>647</v>
      </c>
      <c r="C200" s="2" t="s">
        <v>647</v>
      </c>
      <c r="D200" s="2" t="s">
        <v>557</v>
      </c>
      <c r="E200" s="2">
        <v>65.0</v>
      </c>
      <c r="F200" s="2">
        <v>3.8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 t="s">
        <v>676</v>
      </c>
      <c r="B201" s="2" t="s">
        <v>647</v>
      </c>
      <c r="C201" s="2" t="s">
        <v>647</v>
      </c>
      <c r="D201" s="2" t="s">
        <v>557</v>
      </c>
      <c r="E201" s="2">
        <v>75.0</v>
      </c>
      <c r="F201" s="2">
        <v>5.0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 t="s">
        <v>676</v>
      </c>
      <c r="B202" s="2" t="s">
        <v>647</v>
      </c>
      <c r="C202" s="2" t="s">
        <v>647</v>
      </c>
      <c r="D202" s="2" t="s">
        <v>559</v>
      </c>
      <c r="E202" s="2">
        <v>24.0</v>
      </c>
      <c r="F202" s="2">
        <v>3.2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 t="s">
        <v>676</v>
      </c>
      <c r="B203" s="2" t="s">
        <v>647</v>
      </c>
      <c r="C203" s="2" t="s">
        <v>647</v>
      </c>
      <c r="D203" s="2" t="s">
        <v>559</v>
      </c>
      <c r="E203" s="2">
        <v>61.0</v>
      </c>
      <c r="F203" s="2">
        <v>3.5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 t="s">
        <v>677</v>
      </c>
      <c r="B204" s="2" t="s">
        <v>647</v>
      </c>
      <c r="C204" s="2" t="s">
        <v>647</v>
      </c>
      <c r="D204" s="2" t="s">
        <v>557</v>
      </c>
      <c r="E204" s="2">
        <v>1016.0</v>
      </c>
      <c r="F204" s="2">
        <v>3.6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 t="s">
        <v>677</v>
      </c>
      <c r="B205" s="2" t="s">
        <v>647</v>
      </c>
      <c r="C205" s="2" t="s">
        <v>647</v>
      </c>
      <c r="D205" s="2" t="s">
        <v>557</v>
      </c>
      <c r="E205" s="2">
        <v>1016.0</v>
      </c>
      <c r="F205" s="2">
        <v>3.6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 t="s">
        <v>677</v>
      </c>
      <c r="B206" s="2" t="s">
        <v>647</v>
      </c>
      <c r="C206" s="2" t="s">
        <v>647</v>
      </c>
      <c r="D206" s="2" t="s">
        <v>557</v>
      </c>
      <c r="E206" s="2">
        <v>1022.0</v>
      </c>
      <c r="F206" s="2">
        <v>3.8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 t="s">
        <v>677</v>
      </c>
      <c r="B207" s="2" t="s">
        <v>647</v>
      </c>
      <c r="C207" s="2" t="s">
        <v>647</v>
      </c>
      <c r="D207" s="2" t="s">
        <v>557</v>
      </c>
      <c r="E207" s="2">
        <v>1022.0</v>
      </c>
      <c r="F207" s="2">
        <v>3.8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 t="s">
        <v>677</v>
      </c>
      <c r="B208" s="2" t="s">
        <v>647</v>
      </c>
      <c r="C208" s="2" t="s">
        <v>647</v>
      </c>
      <c r="D208" s="2" t="s">
        <v>557</v>
      </c>
      <c r="E208" s="2">
        <v>1016.0</v>
      </c>
      <c r="F208" s="2">
        <v>3.6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 t="s">
        <v>677</v>
      </c>
      <c r="B209" s="2" t="s">
        <v>647</v>
      </c>
      <c r="C209" s="2" t="s">
        <v>647</v>
      </c>
      <c r="D209" s="2" t="s">
        <v>557</v>
      </c>
      <c r="E209" s="2">
        <v>987.0</v>
      </c>
      <c r="F209" s="2">
        <v>3.9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 t="s">
        <v>677</v>
      </c>
      <c r="B210" s="2" t="s">
        <v>647</v>
      </c>
      <c r="C210" s="2" t="s">
        <v>647</v>
      </c>
      <c r="D210" s="2" t="s">
        <v>557</v>
      </c>
      <c r="E210" s="2">
        <v>1003.0</v>
      </c>
      <c r="F210" s="2">
        <v>4.0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 t="s">
        <v>677</v>
      </c>
      <c r="B211" s="2" t="s">
        <v>647</v>
      </c>
      <c r="C211" s="2" t="s">
        <v>647</v>
      </c>
      <c r="D211" s="2" t="s">
        <v>557</v>
      </c>
      <c r="E211" s="2">
        <v>1003.0</v>
      </c>
      <c r="F211" s="2">
        <v>4.0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 t="s">
        <v>677</v>
      </c>
      <c r="B212" s="2" t="s">
        <v>647</v>
      </c>
      <c r="C212" s="2" t="s">
        <v>647</v>
      </c>
      <c r="D212" s="2" t="s">
        <v>557</v>
      </c>
      <c r="E212" s="2">
        <v>1003.0</v>
      </c>
      <c r="F212" s="2">
        <v>4.0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 t="s">
        <v>677</v>
      </c>
      <c r="B213" s="2" t="s">
        <v>647</v>
      </c>
      <c r="C213" s="2" t="s">
        <v>647</v>
      </c>
      <c r="D213" s="2" t="s">
        <v>557</v>
      </c>
      <c r="E213" s="2">
        <v>1022.0</v>
      </c>
      <c r="F213" s="2">
        <v>3.8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 t="s">
        <v>677</v>
      </c>
      <c r="B214" s="2" t="s">
        <v>647</v>
      </c>
      <c r="C214" s="2" t="s">
        <v>647</v>
      </c>
      <c r="D214" s="2" t="s">
        <v>557</v>
      </c>
      <c r="E214" s="2">
        <v>1016.0</v>
      </c>
      <c r="F214" s="2">
        <v>3.6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 t="s">
        <v>677</v>
      </c>
      <c r="B215" s="2" t="s">
        <v>647</v>
      </c>
      <c r="C215" s="2" t="s">
        <v>647</v>
      </c>
      <c r="D215" s="2" t="s">
        <v>557</v>
      </c>
      <c r="E215" s="2">
        <v>1016.0</v>
      </c>
      <c r="F215" s="2">
        <v>3.6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 t="s">
        <v>677</v>
      </c>
      <c r="B216" s="2" t="s">
        <v>647</v>
      </c>
      <c r="C216" s="2" t="s">
        <v>647</v>
      </c>
      <c r="D216" s="2" t="s">
        <v>557</v>
      </c>
      <c r="E216" s="2">
        <v>987.0</v>
      </c>
      <c r="F216" s="2">
        <v>3.9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 t="s">
        <v>677</v>
      </c>
      <c r="B217" s="2" t="s">
        <v>647</v>
      </c>
      <c r="C217" s="2" t="s">
        <v>647</v>
      </c>
      <c r="D217" s="2" t="s">
        <v>557</v>
      </c>
      <c r="E217" s="2">
        <v>987.0</v>
      </c>
      <c r="F217" s="2">
        <v>3.9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 t="s">
        <v>677</v>
      </c>
      <c r="B218" s="2" t="s">
        <v>647</v>
      </c>
      <c r="C218" s="2" t="s">
        <v>647</v>
      </c>
      <c r="D218" s="2" t="s">
        <v>559</v>
      </c>
      <c r="E218" s="2">
        <v>1000.0</v>
      </c>
      <c r="F218" s="2">
        <v>4.1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 t="s">
        <v>677</v>
      </c>
      <c r="B219" s="2" t="s">
        <v>647</v>
      </c>
      <c r="C219" s="2" t="s">
        <v>647</v>
      </c>
      <c r="D219" s="2" t="s">
        <v>559</v>
      </c>
      <c r="E219" s="2">
        <v>1000.0</v>
      </c>
      <c r="F219" s="2">
        <v>4.1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 t="s">
        <v>677</v>
      </c>
      <c r="B220" s="2" t="s">
        <v>647</v>
      </c>
      <c r="C220" s="2" t="s">
        <v>647</v>
      </c>
      <c r="D220" s="2" t="s">
        <v>559</v>
      </c>
      <c r="E220" s="2">
        <v>1000.0</v>
      </c>
      <c r="F220" s="2">
        <v>4.1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 t="s">
        <v>677</v>
      </c>
      <c r="B221" s="2" t="s">
        <v>647</v>
      </c>
      <c r="C221" s="2" t="s">
        <v>647</v>
      </c>
      <c r="D221" s="2" t="s">
        <v>559</v>
      </c>
      <c r="E221" s="2">
        <v>1000.0</v>
      </c>
      <c r="F221" s="2">
        <v>4.1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 t="s">
        <v>677</v>
      </c>
      <c r="B222" s="2" t="s">
        <v>647</v>
      </c>
      <c r="C222" s="2" t="s">
        <v>647</v>
      </c>
      <c r="D222" s="2" t="s">
        <v>477</v>
      </c>
      <c r="E222" s="2">
        <v>998.0</v>
      </c>
      <c r="F222" s="2">
        <v>6.8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 t="s">
        <v>677</v>
      </c>
      <c r="B223" s="2" t="s">
        <v>647</v>
      </c>
      <c r="C223" s="2" t="s">
        <v>647</v>
      </c>
      <c r="D223" s="2" t="s">
        <v>477</v>
      </c>
      <c r="E223" s="2">
        <v>998.0</v>
      </c>
      <c r="F223" s="2">
        <v>6.8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 t="s">
        <v>677</v>
      </c>
      <c r="B224" s="2" t="s">
        <v>647</v>
      </c>
      <c r="C224" s="2" t="s">
        <v>647</v>
      </c>
      <c r="D224" s="2" t="s">
        <v>477</v>
      </c>
      <c r="E224" s="2">
        <v>998.0</v>
      </c>
      <c r="F224" s="2">
        <v>6.8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 t="s">
        <v>678</v>
      </c>
      <c r="B225" s="2" t="s">
        <v>647</v>
      </c>
      <c r="C225" s="2" t="s">
        <v>647</v>
      </c>
      <c r="D225" s="2" t="s">
        <v>477</v>
      </c>
      <c r="E225" s="2">
        <v>117.0</v>
      </c>
      <c r="F225" s="2">
        <v>6.63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 t="s">
        <v>678</v>
      </c>
      <c r="B226" s="2" t="s">
        <v>647</v>
      </c>
      <c r="C226" s="2" t="s">
        <v>647</v>
      </c>
      <c r="D226" s="2" t="s">
        <v>477</v>
      </c>
      <c r="E226" s="2">
        <v>82.0</v>
      </c>
      <c r="F226" s="2">
        <v>6.89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 t="s">
        <v>678</v>
      </c>
      <c r="B227" s="2" t="s">
        <v>647</v>
      </c>
      <c r="C227" s="2" t="s">
        <v>647</v>
      </c>
      <c r="D227" s="2" t="s">
        <v>477</v>
      </c>
      <c r="E227" s="2">
        <v>114.0</v>
      </c>
      <c r="F227" s="2">
        <v>5.44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 t="s">
        <v>678</v>
      </c>
      <c r="B228" s="2" t="s">
        <v>647</v>
      </c>
      <c r="C228" s="2" t="s">
        <v>647</v>
      </c>
      <c r="D228" s="2" t="s">
        <v>477</v>
      </c>
      <c r="E228" s="2">
        <v>37.0</v>
      </c>
      <c r="F228" s="2">
        <v>7.83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 t="s">
        <v>678</v>
      </c>
      <c r="B229" s="2" t="s">
        <v>647</v>
      </c>
      <c r="C229" s="2" t="s">
        <v>647</v>
      </c>
      <c r="D229" s="2" t="s">
        <v>477</v>
      </c>
      <c r="E229" s="2">
        <v>82.0</v>
      </c>
      <c r="F229" s="2">
        <v>6.68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 t="s">
        <v>678</v>
      </c>
      <c r="B230" s="2" t="s">
        <v>647</v>
      </c>
      <c r="C230" s="2" t="s">
        <v>647</v>
      </c>
      <c r="D230" s="2" t="s">
        <v>477</v>
      </c>
      <c r="E230" s="2">
        <v>117.0</v>
      </c>
      <c r="F230" s="2">
        <v>6.49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 t="s">
        <v>678</v>
      </c>
      <c r="B231" s="2" t="s">
        <v>647</v>
      </c>
      <c r="C231" s="2" t="s">
        <v>647</v>
      </c>
      <c r="D231" s="2" t="s">
        <v>477</v>
      </c>
      <c r="E231" s="2">
        <v>117.0</v>
      </c>
      <c r="F231" s="2">
        <v>6.66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 t="s">
        <v>678</v>
      </c>
      <c r="B232" s="2" t="s">
        <v>647</v>
      </c>
      <c r="C232" s="2" t="s">
        <v>647</v>
      </c>
      <c r="D232" s="2" t="s">
        <v>477</v>
      </c>
      <c r="E232" s="2">
        <v>117.0</v>
      </c>
      <c r="F232" s="2">
        <v>6.6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 t="s">
        <v>678</v>
      </c>
      <c r="B233" s="2" t="s">
        <v>647</v>
      </c>
      <c r="C233" s="2" t="s">
        <v>647</v>
      </c>
      <c r="D233" s="2" t="s">
        <v>477</v>
      </c>
      <c r="E233" s="2">
        <v>120.0</v>
      </c>
      <c r="F233" s="2">
        <v>6.1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 t="s">
        <v>678</v>
      </c>
      <c r="B234" s="2" t="s">
        <v>647</v>
      </c>
      <c r="C234" s="2" t="s">
        <v>647</v>
      </c>
      <c r="D234" s="2" t="s">
        <v>477</v>
      </c>
      <c r="E234" s="2">
        <v>114.0</v>
      </c>
      <c r="F234" s="2">
        <v>5.46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 t="s">
        <v>678</v>
      </c>
      <c r="B235" s="2" t="s">
        <v>647</v>
      </c>
      <c r="C235" s="2" t="s">
        <v>647</v>
      </c>
      <c r="D235" s="2" t="s">
        <v>477</v>
      </c>
      <c r="E235" s="2">
        <v>114.0</v>
      </c>
      <c r="F235" s="2">
        <v>5.51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 t="s">
        <v>678</v>
      </c>
      <c r="B236" s="2" t="s">
        <v>647</v>
      </c>
      <c r="C236" s="2" t="s">
        <v>647</v>
      </c>
      <c r="D236" s="2" t="s">
        <v>477</v>
      </c>
      <c r="E236" s="2">
        <v>120.0</v>
      </c>
      <c r="F236" s="2">
        <v>6.38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 t="s">
        <v>678</v>
      </c>
      <c r="B237" s="2" t="s">
        <v>647</v>
      </c>
      <c r="C237" s="2" t="s">
        <v>647</v>
      </c>
      <c r="D237" s="2" t="s">
        <v>477</v>
      </c>
      <c r="E237" s="2">
        <v>82.0</v>
      </c>
      <c r="F237" s="2">
        <v>6.68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 t="s">
        <v>678</v>
      </c>
      <c r="B238" s="2" t="s">
        <v>647</v>
      </c>
      <c r="C238" s="2" t="s">
        <v>647</v>
      </c>
      <c r="D238" s="2" t="s">
        <v>477</v>
      </c>
      <c r="E238" s="2">
        <v>120.0</v>
      </c>
      <c r="F238" s="2">
        <v>6.13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 t="s">
        <v>678</v>
      </c>
      <c r="B239" s="2" t="s">
        <v>647</v>
      </c>
      <c r="C239" s="2" t="s">
        <v>647</v>
      </c>
      <c r="D239" s="2" t="s">
        <v>477</v>
      </c>
      <c r="E239" s="2">
        <v>117.0</v>
      </c>
      <c r="F239" s="2">
        <v>6.49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 t="s">
        <v>678</v>
      </c>
      <c r="B240" s="2" t="s">
        <v>647</v>
      </c>
      <c r="C240" s="2" t="s">
        <v>647</v>
      </c>
      <c r="D240" s="2" t="s">
        <v>477</v>
      </c>
      <c r="E240" s="2">
        <v>98.0</v>
      </c>
      <c r="F240" s="2">
        <v>5.63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 t="s">
        <v>678</v>
      </c>
      <c r="B241" s="2" t="s">
        <v>647</v>
      </c>
      <c r="C241" s="2" t="s">
        <v>647</v>
      </c>
      <c r="D241" s="2" t="s">
        <v>477</v>
      </c>
      <c r="E241" s="2">
        <v>82.0</v>
      </c>
      <c r="F241" s="2">
        <v>6.58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 t="s">
        <v>678</v>
      </c>
      <c r="B242" s="2" t="s">
        <v>647</v>
      </c>
      <c r="C242" s="2" t="s">
        <v>647</v>
      </c>
      <c r="D242" s="2" t="s">
        <v>477</v>
      </c>
      <c r="E242" s="2">
        <v>120.0</v>
      </c>
      <c r="F242" s="2">
        <v>6.1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 t="s">
        <v>678</v>
      </c>
      <c r="B243" s="2" t="s">
        <v>647</v>
      </c>
      <c r="C243" s="2" t="s">
        <v>647</v>
      </c>
      <c r="D243" s="2" t="s">
        <v>477</v>
      </c>
      <c r="E243" s="2">
        <v>37.0</v>
      </c>
      <c r="F243" s="2">
        <v>7.84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 t="s">
        <v>678</v>
      </c>
      <c r="B244" s="2" t="s">
        <v>647</v>
      </c>
      <c r="C244" s="2" t="s">
        <v>647</v>
      </c>
      <c r="D244" s="2" t="s">
        <v>477</v>
      </c>
      <c r="E244" s="2">
        <v>82.0</v>
      </c>
      <c r="F244" s="2">
        <v>6.7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 t="s">
        <v>678</v>
      </c>
      <c r="B245" s="2" t="s">
        <v>647</v>
      </c>
      <c r="C245" s="2" t="s">
        <v>647</v>
      </c>
      <c r="D245" s="2" t="s">
        <v>477</v>
      </c>
      <c r="E245" s="2">
        <v>49.0</v>
      </c>
      <c r="F245" s="2">
        <v>5.25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 t="s">
        <v>678</v>
      </c>
      <c r="B246" s="2" t="s">
        <v>647</v>
      </c>
      <c r="C246" s="2" t="s">
        <v>647</v>
      </c>
      <c r="D246" s="2" t="s">
        <v>477</v>
      </c>
      <c r="E246" s="2">
        <v>49.0</v>
      </c>
      <c r="F246" s="2">
        <v>5.25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 t="s">
        <v>678</v>
      </c>
      <c r="B247" s="2" t="s">
        <v>647</v>
      </c>
      <c r="C247" s="2" t="s">
        <v>647</v>
      </c>
      <c r="D247" s="2" t="s">
        <v>477</v>
      </c>
      <c r="E247" s="2">
        <v>13.0</v>
      </c>
      <c r="F247" s="2">
        <v>6.29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 t="s">
        <v>678</v>
      </c>
      <c r="B248" s="2" t="s">
        <v>647</v>
      </c>
      <c r="C248" s="2" t="s">
        <v>647</v>
      </c>
      <c r="D248" s="2" t="s">
        <v>479</v>
      </c>
      <c r="E248" s="2">
        <v>152.0</v>
      </c>
      <c r="F248" s="2">
        <v>10.5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 t="s">
        <v>679</v>
      </c>
      <c r="B249" s="2" t="s">
        <v>647</v>
      </c>
      <c r="C249" s="2" t="s">
        <v>647</v>
      </c>
      <c r="D249" s="2" t="s">
        <v>557</v>
      </c>
      <c r="E249" s="2">
        <v>23.0</v>
      </c>
      <c r="F249" s="2">
        <v>3.06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 t="s">
        <v>679</v>
      </c>
      <c r="B250" s="2" t="s">
        <v>647</v>
      </c>
      <c r="C250" s="2" t="s">
        <v>647</v>
      </c>
      <c r="D250" s="2" t="s">
        <v>557</v>
      </c>
      <c r="E250" s="2">
        <v>23.0</v>
      </c>
      <c r="F250" s="2">
        <v>3.05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 t="s">
        <v>679</v>
      </c>
      <c r="B251" s="2" t="s">
        <v>647</v>
      </c>
      <c r="C251" s="2" t="s">
        <v>647</v>
      </c>
      <c r="D251" s="2" t="s">
        <v>557</v>
      </c>
      <c r="E251" s="2">
        <v>23.0</v>
      </c>
      <c r="F251" s="2">
        <v>3.05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 t="s">
        <v>679</v>
      </c>
      <c r="B252" s="2" t="s">
        <v>647</v>
      </c>
      <c r="C252" s="2" t="s">
        <v>647</v>
      </c>
      <c r="D252" s="2" t="s">
        <v>557</v>
      </c>
      <c r="E252" s="2">
        <v>8.0</v>
      </c>
      <c r="F252" s="2">
        <v>2.94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 t="s">
        <v>679</v>
      </c>
      <c r="B253" s="2" t="s">
        <v>647</v>
      </c>
      <c r="C253" s="2" t="s">
        <v>647</v>
      </c>
      <c r="D253" s="2" t="s">
        <v>557</v>
      </c>
      <c r="E253" s="2">
        <v>8.0</v>
      </c>
      <c r="F253" s="2">
        <v>2.99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 t="s">
        <v>679</v>
      </c>
      <c r="B254" s="2" t="s">
        <v>647</v>
      </c>
      <c r="C254" s="2" t="s">
        <v>647</v>
      </c>
      <c r="D254" s="2" t="s">
        <v>557</v>
      </c>
      <c r="E254" s="2">
        <v>8.0</v>
      </c>
      <c r="F254" s="2">
        <v>2.99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 t="s">
        <v>679</v>
      </c>
      <c r="B255" s="2" t="s">
        <v>647</v>
      </c>
      <c r="C255" s="2" t="s">
        <v>647</v>
      </c>
      <c r="D255" s="2" t="s">
        <v>559</v>
      </c>
      <c r="E255" s="2">
        <v>38.0</v>
      </c>
      <c r="F255" s="2">
        <v>4.04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 t="s">
        <v>679</v>
      </c>
      <c r="B256" s="2" t="s">
        <v>647</v>
      </c>
      <c r="C256" s="2" t="s">
        <v>647</v>
      </c>
      <c r="D256" s="2" t="s">
        <v>559</v>
      </c>
      <c r="E256" s="2">
        <v>48.0</v>
      </c>
      <c r="F256" s="2">
        <v>4.21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 t="s">
        <v>679</v>
      </c>
      <c r="B257" s="2" t="s">
        <v>647</v>
      </c>
      <c r="C257" s="2" t="s">
        <v>647</v>
      </c>
      <c r="D257" s="2" t="s">
        <v>559</v>
      </c>
      <c r="E257" s="2">
        <v>17.0</v>
      </c>
      <c r="F257" s="2">
        <v>3.57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 t="s">
        <v>679</v>
      </c>
      <c r="B258" s="2" t="s">
        <v>647</v>
      </c>
      <c r="C258" s="2" t="s">
        <v>647</v>
      </c>
      <c r="D258" s="2" t="s">
        <v>559</v>
      </c>
      <c r="E258" s="2">
        <v>17.0</v>
      </c>
      <c r="F258" s="2">
        <v>3.57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 t="s">
        <v>679</v>
      </c>
      <c r="B259" s="2" t="s">
        <v>647</v>
      </c>
      <c r="C259" s="2" t="s">
        <v>647</v>
      </c>
      <c r="D259" s="2" t="s">
        <v>559</v>
      </c>
      <c r="E259" s="2">
        <v>38.0</v>
      </c>
      <c r="F259" s="2">
        <v>4.04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 t="s">
        <v>679</v>
      </c>
      <c r="B260" s="2" t="s">
        <v>647</v>
      </c>
      <c r="C260" s="2" t="s">
        <v>647</v>
      </c>
      <c r="D260" s="2" t="s">
        <v>559</v>
      </c>
      <c r="E260" s="2">
        <v>38.0</v>
      </c>
      <c r="F260" s="2">
        <v>4.04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 t="s">
        <v>679</v>
      </c>
      <c r="B261" s="2" t="s">
        <v>647</v>
      </c>
      <c r="C261" s="2" t="s">
        <v>647</v>
      </c>
      <c r="D261" s="2" t="s">
        <v>559</v>
      </c>
      <c r="E261" s="2">
        <v>17.0</v>
      </c>
      <c r="F261" s="2">
        <v>3.69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 t="s">
        <v>679</v>
      </c>
      <c r="B262" s="2" t="s">
        <v>647</v>
      </c>
      <c r="C262" s="2" t="s">
        <v>647</v>
      </c>
      <c r="D262" s="2" t="s">
        <v>559</v>
      </c>
      <c r="E262" s="2">
        <v>54.0</v>
      </c>
      <c r="F262" s="2">
        <v>4.21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 t="s">
        <v>680</v>
      </c>
      <c r="B263" s="2" t="s">
        <v>647</v>
      </c>
      <c r="C263" s="2" t="s">
        <v>647</v>
      </c>
      <c r="D263" s="2" t="s">
        <v>557</v>
      </c>
      <c r="E263" s="2">
        <v>51.0</v>
      </c>
      <c r="F263" s="2">
        <v>3.0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 t="s">
        <v>680</v>
      </c>
      <c r="B264" s="2" t="s">
        <v>647</v>
      </c>
      <c r="C264" s="2" t="s">
        <v>647</v>
      </c>
      <c r="D264" s="2" t="s">
        <v>559</v>
      </c>
      <c r="E264" s="2">
        <v>30.0</v>
      </c>
      <c r="F264" s="2">
        <v>4.08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 t="s">
        <v>680</v>
      </c>
      <c r="B265" s="2" t="s">
        <v>647</v>
      </c>
      <c r="C265" s="2" t="s">
        <v>647</v>
      </c>
      <c r="D265" s="2" t="s">
        <v>559</v>
      </c>
      <c r="E265" s="2">
        <v>21.0</v>
      </c>
      <c r="F265" s="2">
        <v>3.62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 t="s">
        <v>680</v>
      </c>
      <c r="B266" s="2" t="s">
        <v>647</v>
      </c>
      <c r="C266" s="2" t="s">
        <v>647</v>
      </c>
      <c r="D266" s="2" t="s">
        <v>559</v>
      </c>
      <c r="E266" s="2">
        <v>21.0</v>
      </c>
      <c r="F266" s="2">
        <v>3.62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 t="s">
        <v>680</v>
      </c>
      <c r="B267" s="2" t="s">
        <v>647</v>
      </c>
      <c r="C267" s="2" t="s">
        <v>647</v>
      </c>
      <c r="D267" s="2" t="s">
        <v>559</v>
      </c>
      <c r="E267" s="2">
        <v>52.0</v>
      </c>
      <c r="F267" s="2">
        <v>4.6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 t="s">
        <v>680</v>
      </c>
      <c r="B268" s="2" t="s">
        <v>647</v>
      </c>
      <c r="C268" s="2" t="s">
        <v>647</v>
      </c>
      <c r="D268" s="2" t="s">
        <v>559</v>
      </c>
      <c r="E268" s="2">
        <v>30.0</v>
      </c>
      <c r="F268" s="2">
        <v>4.08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 t="s">
        <v>680</v>
      </c>
      <c r="B269" s="2" t="s">
        <v>647</v>
      </c>
      <c r="C269" s="2" t="s">
        <v>647</v>
      </c>
      <c r="D269" s="2" t="s">
        <v>559</v>
      </c>
      <c r="E269" s="2">
        <v>30.0</v>
      </c>
      <c r="F269" s="2">
        <v>4.08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 t="s">
        <v>680</v>
      </c>
      <c r="B270" s="2" t="s">
        <v>647</v>
      </c>
      <c r="C270" s="2" t="s">
        <v>647</v>
      </c>
      <c r="D270" s="2" t="s">
        <v>559</v>
      </c>
      <c r="E270" s="2">
        <v>52.0</v>
      </c>
      <c r="F270" s="2">
        <v>4.62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 t="s">
        <v>680</v>
      </c>
      <c r="B271" s="2" t="s">
        <v>647</v>
      </c>
      <c r="C271" s="2" t="s">
        <v>647</v>
      </c>
      <c r="D271" s="2" t="s">
        <v>559</v>
      </c>
      <c r="E271" s="2">
        <v>8.0</v>
      </c>
      <c r="F271" s="2">
        <v>3.77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 t="s">
        <v>680</v>
      </c>
      <c r="B272" s="2" t="s">
        <v>647</v>
      </c>
      <c r="C272" s="2" t="s">
        <v>647</v>
      </c>
      <c r="D272" s="2" t="s">
        <v>559</v>
      </c>
      <c r="E272" s="2">
        <v>21.0</v>
      </c>
      <c r="F272" s="2">
        <v>3.62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 t="s">
        <v>680</v>
      </c>
      <c r="B273" s="2" t="s">
        <v>647</v>
      </c>
      <c r="C273" s="2" t="s">
        <v>647</v>
      </c>
      <c r="D273" s="2" t="s">
        <v>559</v>
      </c>
      <c r="E273" s="2">
        <v>21.0</v>
      </c>
      <c r="F273" s="2">
        <v>3.62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 t="s">
        <v>680</v>
      </c>
      <c r="B274" s="2" t="s">
        <v>647</v>
      </c>
      <c r="C274" s="2" t="s">
        <v>647</v>
      </c>
      <c r="D274" s="2" t="s">
        <v>559</v>
      </c>
      <c r="E274" s="2">
        <v>8.0</v>
      </c>
      <c r="F274" s="2">
        <v>3.77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 t="s">
        <v>680</v>
      </c>
      <c r="B275" s="2" t="s">
        <v>647</v>
      </c>
      <c r="C275" s="2" t="s">
        <v>647</v>
      </c>
      <c r="D275" s="2" t="s">
        <v>559</v>
      </c>
      <c r="E275" s="2">
        <v>21.0</v>
      </c>
      <c r="F275" s="2">
        <v>3.62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 t="s">
        <v>680</v>
      </c>
      <c r="B276" s="2" t="s">
        <v>647</v>
      </c>
      <c r="C276" s="2" t="s">
        <v>647</v>
      </c>
      <c r="D276" s="2" t="s">
        <v>559</v>
      </c>
      <c r="E276" s="2">
        <v>30.0</v>
      </c>
      <c r="F276" s="2">
        <v>4.1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 t="s">
        <v>680</v>
      </c>
      <c r="B277" s="2" t="s">
        <v>647</v>
      </c>
      <c r="C277" s="2" t="s">
        <v>647</v>
      </c>
      <c r="D277" s="2" t="s">
        <v>559</v>
      </c>
      <c r="E277" s="2">
        <v>15.0</v>
      </c>
      <c r="F277" s="2">
        <v>4.74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 t="s">
        <v>680</v>
      </c>
      <c r="B278" s="2" t="s">
        <v>647</v>
      </c>
      <c r="C278" s="2" t="s">
        <v>647</v>
      </c>
      <c r="D278" s="2" t="s">
        <v>559</v>
      </c>
      <c r="E278" s="2">
        <v>68.0</v>
      </c>
      <c r="F278" s="2">
        <v>3.84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 t="s">
        <v>680</v>
      </c>
      <c r="B279" s="2" t="s">
        <v>647</v>
      </c>
      <c r="C279" s="2" t="s">
        <v>647</v>
      </c>
      <c r="D279" s="2" t="s">
        <v>559</v>
      </c>
      <c r="E279" s="2">
        <v>15.0</v>
      </c>
      <c r="F279" s="2">
        <v>4.74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 t="s">
        <v>680</v>
      </c>
      <c r="B280" s="2" t="s">
        <v>647</v>
      </c>
      <c r="C280" s="2" t="s">
        <v>647</v>
      </c>
      <c r="D280" s="2" t="s">
        <v>559</v>
      </c>
      <c r="E280" s="2">
        <v>15.0</v>
      </c>
      <c r="F280" s="2">
        <v>4.7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 t="s">
        <v>680</v>
      </c>
      <c r="B281" s="2" t="s">
        <v>647</v>
      </c>
      <c r="C281" s="2" t="s">
        <v>647</v>
      </c>
      <c r="D281" s="2" t="s">
        <v>559</v>
      </c>
      <c r="E281" s="2">
        <v>68.0</v>
      </c>
      <c r="F281" s="2">
        <v>3.84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 t="s">
        <v>680</v>
      </c>
      <c r="B282" s="2" t="s">
        <v>647</v>
      </c>
      <c r="C282" s="2" t="s">
        <v>647</v>
      </c>
      <c r="D282" s="2" t="s">
        <v>559</v>
      </c>
      <c r="E282" s="2">
        <v>68.0</v>
      </c>
      <c r="F282" s="2">
        <v>3.84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 t="s">
        <v>680</v>
      </c>
      <c r="B283" s="2" t="s">
        <v>647</v>
      </c>
      <c r="C283" s="2" t="s">
        <v>647</v>
      </c>
      <c r="D283" s="2" t="s">
        <v>559</v>
      </c>
      <c r="E283" s="2">
        <v>15.0</v>
      </c>
      <c r="F283" s="2">
        <v>4.74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 t="s">
        <v>680</v>
      </c>
      <c r="B284" s="2" t="s">
        <v>647</v>
      </c>
      <c r="C284" s="2" t="s">
        <v>647</v>
      </c>
      <c r="D284" s="2" t="s">
        <v>559</v>
      </c>
      <c r="E284" s="2">
        <v>9.0</v>
      </c>
      <c r="F284" s="2">
        <v>3.4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 t="s">
        <v>680</v>
      </c>
      <c r="B285" s="2" t="s">
        <v>647</v>
      </c>
      <c r="C285" s="2" t="s">
        <v>647</v>
      </c>
      <c r="D285" s="2" t="s">
        <v>559</v>
      </c>
      <c r="E285" s="2">
        <v>9.0</v>
      </c>
      <c r="F285" s="2">
        <v>3.4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 t="s">
        <v>680</v>
      </c>
      <c r="B286" s="2" t="s">
        <v>647</v>
      </c>
      <c r="C286" s="2" t="s">
        <v>647</v>
      </c>
      <c r="D286" s="2" t="s">
        <v>480</v>
      </c>
      <c r="E286" s="2">
        <v>11.0</v>
      </c>
      <c r="F286" s="2">
        <v>11.36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 t="s">
        <v>680</v>
      </c>
      <c r="B287" s="2" t="s">
        <v>647</v>
      </c>
      <c r="C287" s="2" t="s">
        <v>647</v>
      </c>
      <c r="D287" s="2" t="s">
        <v>480</v>
      </c>
      <c r="E287" s="2">
        <v>20.0</v>
      </c>
      <c r="F287" s="2">
        <v>11.06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 t="s">
        <v>680</v>
      </c>
      <c r="B288" s="2" t="s">
        <v>647</v>
      </c>
      <c r="C288" s="2" t="s">
        <v>647</v>
      </c>
      <c r="D288" s="2" t="s">
        <v>480</v>
      </c>
      <c r="E288" s="2">
        <v>59.0</v>
      </c>
      <c r="F288" s="2">
        <v>11.43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 t="s">
        <v>680</v>
      </c>
      <c r="B289" s="2" t="s">
        <v>647</v>
      </c>
      <c r="C289" s="2" t="s">
        <v>647</v>
      </c>
      <c r="D289" s="2" t="s">
        <v>480</v>
      </c>
      <c r="E289" s="2">
        <v>11.0</v>
      </c>
      <c r="F289" s="2">
        <v>11.39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 t="s">
        <v>680</v>
      </c>
      <c r="B290" s="2" t="s">
        <v>647</v>
      </c>
      <c r="C290" s="2" t="s">
        <v>647</v>
      </c>
      <c r="D290" s="2" t="s">
        <v>480</v>
      </c>
      <c r="E290" s="2">
        <v>20.0</v>
      </c>
      <c r="F290" s="2">
        <v>10.1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 t="s">
        <v>680</v>
      </c>
      <c r="B291" s="2" t="s">
        <v>647</v>
      </c>
      <c r="C291" s="2" t="s">
        <v>647</v>
      </c>
      <c r="D291" s="2" t="s">
        <v>480</v>
      </c>
      <c r="E291" s="2">
        <v>11.0</v>
      </c>
      <c r="F291" s="2">
        <v>11.36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 t="s">
        <v>680</v>
      </c>
      <c r="B292" s="2" t="s">
        <v>647</v>
      </c>
      <c r="C292" s="2" t="s">
        <v>647</v>
      </c>
      <c r="D292" s="2" t="s">
        <v>480</v>
      </c>
      <c r="E292" s="2">
        <v>76.0</v>
      </c>
      <c r="F292" s="2">
        <v>11.33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 t="s">
        <v>680</v>
      </c>
      <c r="B293" s="2" t="s">
        <v>647</v>
      </c>
      <c r="C293" s="2" t="s">
        <v>647</v>
      </c>
      <c r="D293" s="2" t="s">
        <v>480</v>
      </c>
      <c r="E293" s="2">
        <v>59.0</v>
      </c>
      <c r="F293" s="2">
        <v>12.1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 t="s">
        <v>680</v>
      </c>
      <c r="B294" s="2" t="s">
        <v>647</v>
      </c>
      <c r="C294" s="2" t="s">
        <v>647</v>
      </c>
      <c r="D294" s="2" t="s">
        <v>480</v>
      </c>
      <c r="E294" s="2">
        <v>5.0</v>
      </c>
      <c r="F294" s="2">
        <v>10.61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 t="s">
        <v>680</v>
      </c>
      <c r="B295" s="2" t="s">
        <v>647</v>
      </c>
      <c r="C295" s="2" t="s">
        <v>647</v>
      </c>
      <c r="D295" s="2" t="s">
        <v>480</v>
      </c>
      <c r="E295" s="2">
        <v>59.0</v>
      </c>
      <c r="F295" s="2">
        <v>12.12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 t="s">
        <v>680</v>
      </c>
      <c r="B296" s="2" t="s">
        <v>647</v>
      </c>
      <c r="C296" s="2" t="s">
        <v>647</v>
      </c>
      <c r="D296" s="2" t="s">
        <v>480</v>
      </c>
      <c r="E296" s="2">
        <v>45.0</v>
      </c>
      <c r="F296" s="2">
        <v>10.95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 t="s">
        <v>680</v>
      </c>
      <c r="B297" s="2" t="s">
        <v>647</v>
      </c>
      <c r="C297" s="2" t="s">
        <v>647</v>
      </c>
      <c r="D297" s="2" t="s">
        <v>480</v>
      </c>
      <c r="E297" s="2">
        <v>16.0</v>
      </c>
      <c r="F297" s="2">
        <v>11.06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 t="s">
        <v>680</v>
      </c>
      <c r="B298" s="2" t="s">
        <v>647</v>
      </c>
      <c r="C298" s="2" t="s">
        <v>647</v>
      </c>
      <c r="D298" s="2" t="s">
        <v>480</v>
      </c>
      <c r="E298" s="2">
        <v>16.0</v>
      </c>
      <c r="F298" s="2">
        <v>11.06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 t="s">
        <v>680</v>
      </c>
      <c r="B299" s="2" t="s">
        <v>647</v>
      </c>
      <c r="C299" s="2" t="s">
        <v>647</v>
      </c>
      <c r="D299" s="2" t="s">
        <v>480</v>
      </c>
      <c r="E299" s="2">
        <v>59.0</v>
      </c>
      <c r="F299" s="2">
        <v>12.1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 t="s">
        <v>680</v>
      </c>
      <c r="B300" s="2" t="s">
        <v>647</v>
      </c>
      <c r="C300" s="2" t="s">
        <v>647</v>
      </c>
      <c r="D300" s="2" t="s">
        <v>480</v>
      </c>
      <c r="E300" s="2">
        <v>5.0</v>
      </c>
      <c r="F300" s="2">
        <v>10.59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 t="s">
        <v>680</v>
      </c>
      <c r="B301" s="2" t="s">
        <v>647</v>
      </c>
      <c r="C301" s="2" t="s">
        <v>647</v>
      </c>
      <c r="D301" s="2" t="s">
        <v>480</v>
      </c>
      <c r="E301" s="2">
        <v>76.0</v>
      </c>
      <c r="F301" s="2">
        <v>11.33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 t="s">
        <v>680</v>
      </c>
      <c r="B302" s="2" t="s">
        <v>647</v>
      </c>
      <c r="C302" s="2" t="s">
        <v>647</v>
      </c>
      <c r="D302" s="2" t="s">
        <v>480</v>
      </c>
      <c r="E302" s="2">
        <v>29.0</v>
      </c>
      <c r="F302" s="2">
        <v>11.7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 t="s">
        <v>680</v>
      </c>
      <c r="B303" s="2" t="s">
        <v>647</v>
      </c>
      <c r="C303" s="2" t="s">
        <v>647</v>
      </c>
      <c r="D303" s="2" t="s">
        <v>480</v>
      </c>
      <c r="E303" s="2">
        <v>20.0</v>
      </c>
      <c r="F303" s="2">
        <v>10.1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 t="s">
        <v>680</v>
      </c>
      <c r="B304" s="2" t="s">
        <v>647</v>
      </c>
      <c r="C304" s="2" t="s">
        <v>647</v>
      </c>
      <c r="D304" s="2" t="s">
        <v>480</v>
      </c>
      <c r="E304" s="2">
        <v>20.0</v>
      </c>
      <c r="F304" s="2">
        <v>11.06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 t="s">
        <v>680</v>
      </c>
      <c r="B305" s="2" t="s">
        <v>647</v>
      </c>
      <c r="C305" s="2" t="s">
        <v>647</v>
      </c>
      <c r="D305" s="2" t="s">
        <v>480</v>
      </c>
      <c r="E305" s="2">
        <v>59.0</v>
      </c>
      <c r="F305" s="2">
        <v>12.12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 t="s">
        <v>680</v>
      </c>
      <c r="B306" s="2" t="s">
        <v>647</v>
      </c>
      <c r="C306" s="2" t="s">
        <v>647</v>
      </c>
      <c r="D306" s="2" t="s">
        <v>480</v>
      </c>
      <c r="E306" s="2">
        <v>11.0</v>
      </c>
      <c r="F306" s="2">
        <v>11.36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 t="s">
        <v>680</v>
      </c>
      <c r="B307" s="2" t="s">
        <v>647</v>
      </c>
      <c r="C307" s="2" t="s">
        <v>647</v>
      </c>
      <c r="D307" s="2" t="s">
        <v>480</v>
      </c>
      <c r="E307" s="2">
        <v>29.0</v>
      </c>
      <c r="F307" s="2">
        <v>11.7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 t="s">
        <v>680</v>
      </c>
      <c r="B308" s="2" t="s">
        <v>647</v>
      </c>
      <c r="C308" s="2" t="s">
        <v>647</v>
      </c>
      <c r="D308" s="2" t="s">
        <v>480</v>
      </c>
      <c r="E308" s="2">
        <v>20.0</v>
      </c>
      <c r="F308" s="2">
        <v>10.06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 t="s">
        <v>680</v>
      </c>
      <c r="B309" s="2" t="s">
        <v>647</v>
      </c>
      <c r="C309" s="2" t="s">
        <v>647</v>
      </c>
      <c r="D309" s="2" t="s">
        <v>480</v>
      </c>
      <c r="E309" s="2">
        <v>29.0</v>
      </c>
      <c r="F309" s="2">
        <v>11.81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 t="s">
        <v>680</v>
      </c>
      <c r="B310" s="2" t="s">
        <v>647</v>
      </c>
      <c r="C310" s="2" t="s">
        <v>647</v>
      </c>
      <c r="D310" s="2" t="s">
        <v>480</v>
      </c>
      <c r="E310" s="2">
        <v>29.0</v>
      </c>
      <c r="F310" s="2">
        <v>11.72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 t="s">
        <v>680</v>
      </c>
      <c r="B311" s="2" t="s">
        <v>647</v>
      </c>
      <c r="C311" s="2" t="s">
        <v>647</v>
      </c>
      <c r="D311" s="2" t="s">
        <v>480</v>
      </c>
      <c r="E311" s="2">
        <v>5.0</v>
      </c>
      <c r="F311" s="2">
        <v>10.6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 t="s">
        <v>680</v>
      </c>
      <c r="B312" s="2" t="s">
        <v>647</v>
      </c>
      <c r="C312" s="2" t="s">
        <v>647</v>
      </c>
      <c r="D312" s="2" t="s">
        <v>480</v>
      </c>
      <c r="E312" s="2">
        <v>20.0</v>
      </c>
      <c r="F312" s="2">
        <v>11.06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 t="s">
        <v>680</v>
      </c>
      <c r="B313" s="2" t="s">
        <v>647</v>
      </c>
      <c r="C313" s="2" t="s">
        <v>647</v>
      </c>
      <c r="D313" s="2" t="s">
        <v>480</v>
      </c>
      <c r="E313" s="2">
        <v>59.0</v>
      </c>
      <c r="F313" s="2">
        <v>12.12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 t="s">
        <v>680</v>
      </c>
      <c r="B314" s="2" t="s">
        <v>647</v>
      </c>
      <c r="C314" s="2" t="s">
        <v>647</v>
      </c>
      <c r="D314" s="2" t="s">
        <v>480</v>
      </c>
      <c r="E314" s="2">
        <v>76.0</v>
      </c>
      <c r="F314" s="2">
        <v>11.33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 t="s">
        <v>680</v>
      </c>
      <c r="B315" s="2" t="s">
        <v>647</v>
      </c>
      <c r="C315" s="2" t="s">
        <v>647</v>
      </c>
      <c r="D315" s="2" t="s">
        <v>480</v>
      </c>
      <c r="E315" s="2">
        <v>45.0</v>
      </c>
      <c r="F315" s="2">
        <v>10.93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 t="s">
        <v>680</v>
      </c>
      <c r="B316" s="2" t="s">
        <v>647</v>
      </c>
      <c r="C316" s="2" t="s">
        <v>647</v>
      </c>
      <c r="D316" s="2" t="s">
        <v>480</v>
      </c>
      <c r="E316" s="2">
        <v>29.0</v>
      </c>
      <c r="F316" s="2">
        <v>11.81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 t="s">
        <v>680</v>
      </c>
      <c r="B317" s="2" t="s">
        <v>647</v>
      </c>
      <c r="C317" s="2" t="s">
        <v>647</v>
      </c>
      <c r="D317" s="2" t="s">
        <v>480</v>
      </c>
      <c r="E317" s="2">
        <v>16.0</v>
      </c>
      <c r="F317" s="2">
        <v>11.06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 t="s">
        <v>680</v>
      </c>
      <c r="B318" s="2" t="s">
        <v>647</v>
      </c>
      <c r="C318" s="2" t="s">
        <v>647</v>
      </c>
      <c r="D318" s="2" t="s">
        <v>480</v>
      </c>
      <c r="E318" s="2">
        <v>75.0</v>
      </c>
      <c r="F318" s="2">
        <v>10.73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 t="s">
        <v>680</v>
      </c>
      <c r="B319" s="2" t="s">
        <v>647</v>
      </c>
      <c r="C319" s="2" t="s">
        <v>647</v>
      </c>
      <c r="D319" s="2" t="s">
        <v>480</v>
      </c>
      <c r="E319" s="2">
        <v>75.0</v>
      </c>
      <c r="F319" s="2">
        <v>10.73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 t="s">
        <v>680</v>
      </c>
      <c r="B320" s="2" t="s">
        <v>647</v>
      </c>
      <c r="C320" s="2" t="s">
        <v>647</v>
      </c>
      <c r="D320" s="2" t="s">
        <v>480</v>
      </c>
      <c r="E320" s="2">
        <v>75.0</v>
      </c>
      <c r="F320" s="2">
        <v>10.73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 t="s">
        <v>680</v>
      </c>
      <c r="B321" s="2" t="s">
        <v>647</v>
      </c>
      <c r="C321" s="2" t="s">
        <v>647</v>
      </c>
      <c r="D321" s="2" t="s">
        <v>480</v>
      </c>
      <c r="E321" s="2">
        <v>33.0</v>
      </c>
      <c r="F321" s="2">
        <v>11.4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 t="s">
        <v>680</v>
      </c>
      <c r="B322" s="2" t="s">
        <v>647</v>
      </c>
      <c r="C322" s="2" t="s">
        <v>647</v>
      </c>
      <c r="D322" s="2" t="s">
        <v>480</v>
      </c>
      <c r="E322" s="2">
        <v>33.0</v>
      </c>
      <c r="F322" s="2">
        <v>11.4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 t="s">
        <v>680</v>
      </c>
      <c r="B323" s="2" t="s">
        <v>647</v>
      </c>
      <c r="C323" s="2" t="s">
        <v>647</v>
      </c>
      <c r="D323" s="2" t="s">
        <v>480</v>
      </c>
      <c r="E323" s="2">
        <v>33.0</v>
      </c>
      <c r="F323" s="2">
        <v>11.28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 t="s">
        <v>681</v>
      </c>
      <c r="B324" s="2" t="s">
        <v>647</v>
      </c>
      <c r="C324" s="2" t="s">
        <v>647</v>
      </c>
      <c r="D324" s="2" t="s">
        <v>557</v>
      </c>
      <c r="E324" s="2">
        <v>794.0</v>
      </c>
      <c r="F324" s="2">
        <v>3.1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 t="s">
        <v>681</v>
      </c>
      <c r="B325" s="2" t="s">
        <v>647</v>
      </c>
      <c r="C325" s="2" t="s">
        <v>647</v>
      </c>
      <c r="D325" s="2" t="s">
        <v>557</v>
      </c>
      <c r="E325" s="2">
        <v>794.0</v>
      </c>
      <c r="F325" s="2">
        <v>3.04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 t="s">
        <v>681</v>
      </c>
      <c r="B326" s="2" t="s">
        <v>647</v>
      </c>
      <c r="C326" s="2" t="s">
        <v>647</v>
      </c>
      <c r="D326" s="2" t="s">
        <v>557</v>
      </c>
      <c r="E326" s="2">
        <v>796.0</v>
      </c>
      <c r="F326" s="2">
        <v>3.44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 t="s">
        <v>682</v>
      </c>
      <c r="B327" s="2" t="s">
        <v>647</v>
      </c>
      <c r="C327" s="2" t="s">
        <v>647</v>
      </c>
      <c r="D327" s="2" t="s">
        <v>480</v>
      </c>
      <c r="E327" s="2">
        <v>90.0</v>
      </c>
      <c r="F327" s="2">
        <v>10.0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 t="s">
        <v>682</v>
      </c>
      <c r="B328" s="2" t="s">
        <v>647</v>
      </c>
      <c r="C328" s="2" t="s">
        <v>647</v>
      </c>
      <c r="D328" s="2" t="s">
        <v>480</v>
      </c>
      <c r="E328" s="2">
        <v>161.0</v>
      </c>
      <c r="F328" s="2">
        <v>9.4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 t="s">
        <v>682</v>
      </c>
      <c r="B329" s="2" t="s">
        <v>647</v>
      </c>
      <c r="C329" s="2" t="s">
        <v>647</v>
      </c>
      <c r="D329" s="2" t="s">
        <v>480</v>
      </c>
      <c r="E329" s="2">
        <v>87.0</v>
      </c>
      <c r="F329" s="2">
        <v>10.1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 t="s">
        <v>682</v>
      </c>
      <c r="B330" s="2" t="s">
        <v>647</v>
      </c>
      <c r="C330" s="2" t="s">
        <v>647</v>
      </c>
      <c r="D330" s="2" t="s">
        <v>480</v>
      </c>
      <c r="E330" s="2">
        <v>93.0</v>
      </c>
      <c r="F330" s="2">
        <v>10.0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 t="s">
        <v>682</v>
      </c>
      <c r="B331" s="2" t="s">
        <v>647</v>
      </c>
      <c r="C331" s="2" t="s">
        <v>647</v>
      </c>
      <c r="D331" s="2" t="s">
        <v>480</v>
      </c>
      <c r="E331" s="2">
        <v>164.0</v>
      </c>
      <c r="F331" s="2">
        <v>9.9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 t="s">
        <v>683</v>
      </c>
      <c r="B332" s="2" t="s">
        <v>647</v>
      </c>
      <c r="C332" s="2" t="s">
        <v>647</v>
      </c>
      <c r="D332" s="2" t="s">
        <v>557</v>
      </c>
      <c r="E332" s="2">
        <v>1617.0</v>
      </c>
      <c r="F332" s="2">
        <v>3.4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 t="s">
        <v>684</v>
      </c>
      <c r="B333" s="2" t="s">
        <v>647</v>
      </c>
      <c r="C333" s="2" t="s">
        <v>647</v>
      </c>
      <c r="D333" s="2" t="s">
        <v>559</v>
      </c>
      <c r="E333" s="2">
        <v>325.0</v>
      </c>
      <c r="F333" s="2">
        <v>10.5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 t="s">
        <v>685</v>
      </c>
      <c r="B334" s="2" t="s">
        <v>647</v>
      </c>
      <c r="C334" s="2" t="s">
        <v>647</v>
      </c>
      <c r="D334" s="2" t="s">
        <v>559</v>
      </c>
      <c r="E334" s="2">
        <v>270.0</v>
      </c>
      <c r="F334" s="2">
        <v>4.82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 t="s">
        <v>686</v>
      </c>
      <c r="B335" s="2" t="s">
        <v>647</v>
      </c>
      <c r="C335" s="2" t="s">
        <v>647</v>
      </c>
      <c r="D335" s="2" t="s">
        <v>477</v>
      </c>
      <c r="E335" s="2">
        <v>168.0</v>
      </c>
      <c r="F335" s="2">
        <v>7.77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 t="s">
        <v>687</v>
      </c>
      <c r="B336" s="2" t="s">
        <v>647</v>
      </c>
      <c r="C336" s="2" t="s">
        <v>647</v>
      </c>
      <c r="D336" s="2" t="s">
        <v>557</v>
      </c>
      <c r="E336" s="2">
        <v>79.0</v>
      </c>
      <c r="F336" s="2">
        <v>7.37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 t="s">
        <v>687</v>
      </c>
      <c r="B337" s="2" t="s">
        <v>647</v>
      </c>
      <c r="C337" s="2" t="s">
        <v>647</v>
      </c>
      <c r="D337" s="2" t="s">
        <v>557</v>
      </c>
      <c r="E337" s="2">
        <v>25.0</v>
      </c>
      <c r="F337" s="2">
        <v>4.87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 t="s">
        <v>687</v>
      </c>
      <c r="B338" s="2" t="s">
        <v>647</v>
      </c>
      <c r="C338" s="2" t="s">
        <v>647</v>
      </c>
      <c r="D338" s="2" t="s">
        <v>557</v>
      </c>
      <c r="E338" s="2">
        <v>33.0</v>
      </c>
      <c r="F338" s="2">
        <v>2.39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 t="s">
        <v>687</v>
      </c>
      <c r="B339" s="2" t="s">
        <v>647</v>
      </c>
      <c r="C339" s="2" t="s">
        <v>647</v>
      </c>
      <c r="D339" s="2" t="s">
        <v>559</v>
      </c>
      <c r="E339" s="2">
        <v>78.0</v>
      </c>
      <c r="F339" s="2">
        <v>3.13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 t="s">
        <v>687</v>
      </c>
      <c r="B340" s="2" t="s">
        <v>647</v>
      </c>
      <c r="C340" s="2" t="s">
        <v>647</v>
      </c>
      <c r="D340" s="2" t="s">
        <v>559</v>
      </c>
      <c r="E340" s="2">
        <v>54.0</v>
      </c>
      <c r="F340" s="2">
        <v>3.42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 t="s">
        <v>687</v>
      </c>
      <c r="B341" s="2" t="s">
        <v>647</v>
      </c>
      <c r="C341" s="2" t="s">
        <v>647</v>
      </c>
      <c r="D341" s="2" t="s">
        <v>559</v>
      </c>
      <c r="E341" s="2">
        <v>14.0</v>
      </c>
      <c r="F341" s="2">
        <v>5.02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 t="s">
        <v>687</v>
      </c>
      <c r="B342" s="2" t="s">
        <v>647</v>
      </c>
      <c r="C342" s="2" t="s">
        <v>647</v>
      </c>
      <c r="D342" s="2" t="s">
        <v>559</v>
      </c>
      <c r="E342" s="2">
        <v>41.0</v>
      </c>
      <c r="F342" s="2">
        <v>4.14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 t="s">
        <v>687</v>
      </c>
      <c r="B343" s="2" t="s">
        <v>647</v>
      </c>
      <c r="C343" s="2" t="s">
        <v>647</v>
      </c>
      <c r="D343" s="2" t="s">
        <v>559</v>
      </c>
      <c r="E343" s="2">
        <v>74.0</v>
      </c>
      <c r="F343" s="2">
        <v>3.47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 t="s">
        <v>687</v>
      </c>
      <c r="B344" s="2" t="s">
        <v>647</v>
      </c>
      <c r="C344" s="2" t="s">
        <v>647</v>
      </c>
      <c r="D344" s="2" t="s">
        <v>477</v>
      </c>
      <c r="E344" s="2">
        <v>85.0</v>
      </c>
      <c r="F344" s="2">
        <v>6.35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 t="s">
        <v>687</v>
      </c>
      <c r="B345" s="2" t="s">
        <v>647</v>
      </c>
      <c r="C345" s="2" t="s">
        <v>647</v>
      </c>
      <c r="D345" s="2" t="s">
        <v>557</v>
      </c>
      <c r="E345" s="2">
        <v>25.0</v>
      </c>
      <c r="F345" s="2">
        <v>4.87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 t="s">
        <v>687</v>
      </c>
      <c r="B346" s="2" t="s">
        <v>647</v>
      </c>
      <c r="C346" s="2" t="s">
        <v>647</v>
      </c>
      <c r="D346" s="2" t="s">
        <v>557</v>
      </c>
      <c r="E346" s="2">
        <v>93.0</v>
      </c>
      <c r="F346" s="2">
        <v>3.09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 t="s">
        <v>687</v>
      </c>
      <c r="B347" s="2" t="s">
        <v>647</v>
      </c>
      <c r="C347" s="2" t="s">
        <v>647</v>
      </c>
      <c r="D347" s="2" t="s">
        <v>559</v>
      </c>
      <c r="E347" s="2">
        <v>74.0</v>
      </c>
      <c r="F347" s="2">
        <v>3.47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 t="s">
        <v>687</v>
      </c>
      <c r="B348" s="2" t="s">
        <v>647</v>
      </c>
      <c r="C348" s="2" t="s">
        <v>647</v>
      </c>
      <c r="D348" s="2" t="s">
        <v>559</v>
      </c>
      <c r="E348" s="2">
        <v>14.0</v>
      </c>
      <c r="F348" s="2">
        <v>5.02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 t="s">
        <v>687</v>
      </c>
      <c r="B349" s="2" t="s">
        <v>647</v>
      </c>
      <c r="C349" s="2" t="s">
        <v>647</v>
      </c>
      <c r="D349" s="2" t="s">
        <v>477</v>
      </c>
      <c r="E349" s="2">
        <v>53.0</v>
      </c>
      <c r="F349" s="2">
        <v>8.27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 t="s">
        <v>688</v>
      </c>
      <c r="B350" s="2" t="s">
        <v>647</v>
      </c>
      <c r="C350" s="2" t="s">
        <v>647</v>
      </c>
      <c r="D350" s="2" t="s">
        <v>557</v>
      </c>
      <c r="E350" s="2">
        <v>343.0</v>
      </c>
      <c r="F350" s="2">
        <v>3.4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 t="s">
        <v>688</v>
      </c>
      <c r="B351" s="2" t="s">
        <v>647</v>
      </c>
      <c r="C351" s="2" t="s">
        <v>647</v>
      </c>
      <c r="D351" s="2" t="s">
        <v>557</v>
      </c>
      <c r="E351" s="2">
        <v>272.0</v>
      </c>
      <c r="F351" s="2">
        <v>3.6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 t="s">
        <v>688</v>
      </c>
      <c r="B352" s="2" t="s">
        <v>647</v>
      </c>
      <c r="C352" s="2" t="s">
        <v>647</v>
      </c>
      <c r="D352" s="2" t="s">
        <v>557</v>
      </c>
      <c r="E352" s="2">
        <v>262.0</v>
      </c>
      <c r="F352" s="2">
        <v>3.8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 t="s">
        <v>688</v>
      </c>
      <c r="B353" s="2" t="s">
        <v>647</v>
      </c>
      <c r="C353" s="2" t="s">
        <v>647</v>
      </c>
      <c r="D353" s="2" t="s">
        <v>557</v>
      </c>
      <c r="E353" s="2">
        <v>343.0</v>
      </c>
      <c r="F353" s="2">
        <v>3.4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 t="s">
        <v>688</v>
      </c>
      <c r="B354" s="2" t="s">
        <v>647</v>
      </c>
      <c r="C354" s="2" t="s">
        <v>647</v>
      </c>
      <c r="D354" s="2" t="s">
        <v>557</v>
      </c>
      <c r="E354" s="2">
        <v>248.0</v>
      </c>
      <c r="F354" s="2">
        <v>2.9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 t="s">
        <v>688</v>
      </c>
      <c r="B355" s="2" t="s">
        <v>647</v>
      </c>
      <c r="C355" s="2" t="s">
        <v>647</v>
      </c>
      <c r="D355" s="2" t="s">
        <v>557</v>
      </c>
      <c r="E355" s="2">
        <v>248.0</v>
      </c>
      <c r="F355" s="2">
        <v>2.9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 t="s">
        <v>688</v>
      </c>
      <c r="B356" s="2" t="s">
        <v>647</v>
      </c>
      <c r="C356" s="2" t="s">
        <v>647</v>
      </c>
      <c r="D356" s="2" t="s">
        <v>557</v>
      </c>
      <c r="E356" s="2">
        <v>266.0</v>
      </c>
      <c r="F356" s="2">
        <v>4.0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 t="s">
        <v>688</v>
      </c>
      <c r="B357" s="2" t="s">
        <v>647</v>
      </c>
      <c r="C357" s="2" t="s">
        <v>647</v>
      </c>
      <c r="D357" s="2" t="s">
        <v>557</v>
      </c>
      <c r="E357" s="2">
        <v>272.0</v>
      </c>
      <c r="F357" s="2">
        <v>3.6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 t="s">
        <v>688</v>
      </c>
      <c r="B358" s="2" t="s">
        <v>647</v>
      </c>
      <c r="C358" s="2" t="s">
        <v>647</v>
      </c>
      <c r="D358" s="2" t="s">
        <v>557</v>
      </c>
      <c r="E358" s="2">
        <v>336.0</v>
      </c>
      <c r="F358" s="2">
        <v>4.4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 t="s">
        <v>688</v>
      </c>
      <c r="B359" s="2" t="s">
        <v>647</v>
      </c>
      <c r="C359" s="2" t="s">
        <v>647</v>
      </c>
      <c r="D359" s="2" t="s">
        <v>557</v>
      </c>
      <c r="E359" s="2">
        <v>248.0</v>
      </c>
      <c r="F359" s="2">
        <v>2.9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 t="s">
        <v>688</v>
      </c>
      <c r="B360" s="2" t="s">
        <v>647</v>
      </c>
      <c r="C360" s="2" t="s">
        <v>647</v>
      </c>
      <c r="D360" s="2" t="s">
        <v>557</v>
      </c>
      <c r="E360" s="2">
        <v>336.0</v>
      </c>
      <c r="F360" s="2">
        <v>4.4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 t="s">
        <v>688</v>
      </c>
      <c r="B361" s="2" t="s">
        <v>647</v>
      </c>
      <c r="C361" s="2" t="s">
        <v>647</v>
      </c>
      <c r="D361" s="2" t="s">
        <v>557</v>
      </c>
      <c r="E361" s="2">
        <v>266.0</v>
      </c>
      <c r="F361" s="2">
        <v>4.0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 t="s">
        <v>688</v>
      </c>
      <c r="B362" s="2" t="s">
        <v>647</v>
      </c>
      <c r="C362" s="2" t="s">
        <v>647</v>
      </c>
      <c r="D362" s="2" t="s">
        <v>557</v>
      </c>
      <c r="E362" s="2">
        <v>262.0</v>
      </c>
      <c r="F362" s="2">
        <v>3.8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 t="s">
        <v>688</v>
      </c>
      <c r="B363" s="2" t="s">
        <v>647</v>
      </c>
      <c r="C363" s="2" t="s">
        <v>647</v>
      </c>
      <c r="D363" s="2" t="s">
        <v>557</v>
      </c>
      <c r="E363" s="2">
        <v>248.0</v>
      </c>
      <c r="F363" s="2">
        <v>2.9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 t="s">
        <v>688</v>
      </c>
      <c r="B364" s="2" t="s">
        <v>647</v>
      </c>
      <c r="C364" s="2" t="s">
        <v>647</v>
      </c>
      <c r="D364" s="2" t="s">
        <v>557</v>
      </c>
      <c r="E364" s="2">
        <v>332.0</v>
      </c>
      <c r="F364" s="2">
        <v>3.9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 t="s">
        <v>688</v>
      </c>
      <c r="B365" s="2" t="s">
        <v>647</v>
      </c>
      <c r="C365" s="2" t="s">
        <v>647</v>
      </c>
      <c r="D365" s="2" t="s">
        <v>557</v>
      </c>
      <c r="E365" s="2">
        <v>272.0</v>
      </c>
      <c r="F365" s="2">
        <v>3.6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 t="s">
        <v>688</v>
      </c>
      <c r="B366" s="2" t="s">
        <v>647</v>
      </c>
      <c r="C366" s="2" t="s">
        <v>647</v>
      </c>
      <c r="D366" s="2" t="s">
        <v>557</v>
      </c>
      <c r="E366" s="2">
        <v>272.0</v>
      </c>
      <c r="F366" s="2">
        <v>3.6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 t="s">
        <v>688</v>
      </c>
      <c r="B367" s="2" t="s">
        <v>647</v>
      </c>
      <c r="C367" s="2" t="s">
        <v>647</v>
      </c>
      <c r="D367" s="2" t="s">
        <v>557</v>
      </c>
      <c r="E367" s="2">
        <v>266.0</v>
      </c>
      <c r="F367" s="2">
        <v>4.0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 t="s">
        <v>688</v>
      </c>
      <c r="B368" s="2" t="s">
        <v>647</v>
      </c>
      <c r="C368" s="2" t="s">
        <v>647</v>
      </c>
      <c r="D368" s="2" t="s">
        <v>557</v>
      </c>
      <c r="E368" s="2">
        <v>262.0</v>
      </c>
      <c r="F368" s="2">
        <v>3.8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 t="s">
        <v>688</v>
      </c>
      <c r="B369" s="2" t="s">
        <v>647</v>
      </c>
      <c r="C369" s="2" t="s">
        <v>647</v>
      </c>
      <c r="D369" s="2" t="s">
        <v>557</v>
      </c>
      <c r="E369" s="2">
        <v>332.0</v>
      </c>
      <c r="F369" s="2">
        <v>3.9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 t="s">
        <v>688</v>
      </c>
      <c r="B370" s="2" t="s">
        <v>647</v>
      </c>
      <c r="C370" s="2" t="s">
        <v>647</v>
      </c>
      <c r="D370" s="2" t="s">
        <v>557</v>
      </c>
      <c r="E370" s="2">
        <v>342.0</v>
      </c>
      <c r="F370" s="2">
        <v>3.6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 t="s">
        <v>688</v>
      </c>
      <c r="B371" s="2" t="s">
        <v>647</v>
      </c>
      <c r="C371" s="2" t="s">
        <v>647</v>
      </c>
      <c r="D371" s="2" t="s">
        <v>557</v>
      </c>
      <c r="E371" s="2">
        <v>273.0</v>
      </c>
      <c r="F371" s="2">
        <v>3.4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 t="s">
        <v>688</v>
      </c>
      <c r="B372" s="2" t="s">
        <v>647</v>
      </c>
      <c r="C372" s="2" t="s">
        <v>647</v>
      </c>
      <c r="D372" s="2" t="s">
        <v>557</v>
      </c>
      <c r="E372" s="2">
        <v>273.0</v>
      </c>
      <c r="F372" s="2">
        <v>3.4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 t="s">
        <v>688</v>
      </c>
      <c r="B373" s="2" t="s">
        <v>647</v>
      </c>
      <c r="C373" s="2" t="s">
        <v>647</v>
      </c>
      <c r="D373" s="2" t="s">
        <v>557</v>
      </c>
      <c r="E373" s="2">
        <v>273.0</v>
      </c>
      <c r="F373" s="2">
        <v>3.4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 t="s">
        <v>688</v>
      </c>
      <c r="B374" s="2" t="s">
        <v>647</v>
      </c>
      <c r="C374" s="2" t="s">
        <v>647</v>
      </c>
      <c r="D374" s="2" t="s">
        <v>557</v>
      </c>
      <c r="E374" s="2">
        <v>273.0</v>
      </c>
      <c r="F374" s="2">
        <v>3.4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 t="s">
        <v>688</v>
      </c>
      <c r="B375" s="2" t="s">
        <v>647</v>
      </c>
      <c r="C375" s="2" t="s">
        <v>647</v>
      </c>
      <c r="D375" s="2" t="s">
        <v>557</v>
      </c>
      <c r="E375" s="2">
        <v>273.0</v>
      </c>
      <c r="F375" s="2">
        <v>3.4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 t="s">
        <v>688</v>
      </c>
      <c r="B376" s="2" t="s">
        <v>647</v>
      </c>
      <c r="C376" s="2" t="s">
        <v>647</v>
      </c>
      <c r="D376" s="2" t="s">
        <v>559</v>
      </c>
      <c r="E376" s="2">
        <v>268.0</v>
      </c>
      <c r="F376" s="2">
        <v>4.4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 t="s">
        <v>688</v>
      </c>
      <c r="B377" s="2" t="s">
        <v>647</v>
      </c>
      <c r="C377" s="2" t="s">
        <v>647</v>
      </c>
      <c r="D377" s="2" t="s">
        <v>559</v>
      </c>
      <c r="E377" s="2">
        <v>282.0</v>
      </c>
      <c r="F377" s="2">
        <v>4.0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 t="s">
        <v>688</v>
      </c>
      <c r="B378" s="2" t="s">
        <v>647</v>
      </c>
      <c r="C378" s="2" t="s">
        <v>647</v>
      </c>
      <c r="D378" s="2" t="s">
        <v>559</v>
      </c>
      <c r="E378" s="2">
        <v>352.0</v>
      </c>
      <c r="F378" s="2">
        <v>4.2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 t="s">
        <v>688</v>
      </c>
      <c r="B379" s="2" t="s">
        <v>647</v>
      </c>
      <c r="C379" s="2" t="s">
        <v>647</v>
      </c>
      <c r="D379" s="2" t="s">
        <v>559</v>
      </c>
      <c r="E379" s="2">
        <v>241.0</v>
      </c>
      <c r="F379" s="2">
        <v>4.4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 t="s">
        <v>688</v>
      </c>
      <c r="B380" s="2" t="s">
        <v>647</v>
      </c>
      <c r="C380" s="2" t="s">
        <v>647</v>
      </c>
      <c r="D380" s="2" t="s">
        <v>559</v>
      </c>
      <c r="E380" s="2">
        <v>241.0</v>
      </c>
      <c r="F380" s="2">
        <v>4.4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 t="s">
        <v>688</v>
      </c>
      <c r="B381" s="2" t="s">
        <v>647</v>
      </c>
      <c r="C381" s="2" t="s">
        <v>647</v>
      </c>
      <c r="D381" s="2" t="s">
        <v>559</v>
      </c>
      <c r="E381" s="2">
        <v>245.0</v>
      </c>
      <c r="F381" s="2">
        <v>3.7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 t="s">
        <v>688</v>
      </c>
      <c r="B382" s="2" t="s">
        <v>647</v>
      </c>
      <c r="C382" s="2" t="s">
        <v>647</v>
      </c>
      <c r="D382" s="2" t="s">
        <v>559</v>
      </c>
      <c r="E382" s="2">
        <v>352.0</v>
      </c>
      <c r="F382" s="2">
        <v>4.2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 t="s">
        <v>688</v>
      </c>
      <c r="B383" s="2" t="s">
        <v>647</v>
      </c>
      <c r="C383" s="2" t="s">
        <v>647</v>
      </c>
      <c r="D383" s="2" t="s">
        <v>559</v>
      </c>
      <c r="E383" s="2">
        <v>282.0</v>
      </c>
      <c r="F383" s="2">
        <v>4.0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 t="s">
        <v>688</v>
      </c>
      <c r="B384" s="2" t="s">
        <v>647</v>
      </c>
      <c r="C384" s="2" t="s">
        <v>647</v>
      </c>
      <c r="D384" s="2" t="s">
        <v>559</v>
      </c>
      <c r="E384" s="2">
        <v>352.0</v>
      </c>
      <c r="F384" s="2">
        <v>4.2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 t="s">
        <v>688</v>
      </c>
      <c r="B385" s="2" t="s">
        <v>647</v>
      </c>
      <c r="C385" s="2" t="s">
        <v>647</v>
      </c>
      <c r="D385" s="2" t="s">
        <v>559</v>
      </c>
      <c r="E385" s="2">
        <v>282.0</v>
      </c>
      <c r="F385" s="2">
        <v>4.0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 t="s">
        <v>688</v>
      </c>
      <c r="B386" s="2" t="s">
        <v>647</v>
      </c>
      <c r="C386" s="2" t="s">
        <v>647</v>
      </c>
      <c r="D386" s="2" t="s">
        <v>559</v>
      </c>
      <c r="E386" s="2">
        <v>241.0</v>
      </c>
      <c r="F386" s="2">
        <v>4.4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 t="s">
        <v>688</v>
      </c>
      <c r="B387" s="2" t="s">
        <v>647</v>
      </c>
      <c r="C387" s="2" t="s">
        <v>647</v>
      </c>
      <c r="D387" s="2" t="s">
        <v>559</v>
      </c>
      <c r="E387" s="2">
        <v>268.0</v>
      </c>
      <c r="F387" s="2">
        <v>4.4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 t="s">
        <v>688</v>
      </c>
      <c r="B388" s="2" t="s">
        <v>647</v>
      </c>
      <c r="C388" s="2" t="s">
        <v>647</v>
      </c>
      <c r="D388" s="2" t="s">
        <v>559</v>
      </c>
      <c r="E388" s="2">
        <v>268.0</v>
      </c>
      <c r="F388" s="2">
        <v>4.4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 t="s">
        <v>688</v>
      </c>
      <c r="B389" s="2" t="s">
        <v>647</v>
      </c>
      <c r="C389" s="2" t="s">
        <v>647</v>
      </c>
      <c r="D389" s="2" t="s">
        <v>559</v>
      </c>
      <c r="E389" s="2">
        <v>268.0</v>
      </c>
      <c r="F389" s="2">
        <v>4.4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 t="s">
        <v>688</v>
      </c>
      <c r="B390" s="2" t="s">
        <v>647</v>
      </c>
      <c r="C390" s="2" t="s">
        <v>647</v>
      </c>
      <c r="D390" s="2" t="s">
        <v>559</v>
      </c>
      <c r="E390" s="2">
        <v>253.0</v>
      </c>
      <c r="F390" s="2">
        <v>4.5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 t="s">
        <v>688</v>
      </c>
      <c r="B391" s="2" t="s">
        <v>647</v>
      </c>
      <c r="C391" s="2" t="s">
        <v>647</v>
      </c>
      <c r="D391" s="2" t="s">
        <v>559</v>
      </c>
      <c r="E391" s="2">
        <v>323.0</v>
      </c>
      <c r="F391" s="2">
        <v>4.6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 t="s">
        <v>688</v>
      </c>
      <c r="B392" s="2" t="s">
        <v>647</v>
      </c>
      <c r="C392" s="2" t="s">
        <v>647</v>
      </c>
      <c r="D392" s="2" t="s">
        <v>559</v>
      </c>
      <c r="E392" s="2">
        <v>323.0</v>
      </c>
      <c r="F392" s="2">
        <v>4.6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 t="s">
        <v>688</v>
      </c>
      <c r="B393" s="2" t="s">
        <v>647</v>
      </c>
      <c r="C393" s="2" t="s">
        <v>647</v>
      </c>
      <c r="D393" s="2" t="s">
        <v>480</v>
      </c>
      <c r="E393" s="2">
        <v>254.0</v>
      </c>
      <c r="F393" s="2">
        <v>10.9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 t="s">
        <v>688</v>
      </c>
      <c r="B394" s="2" t="s">
        <v>647</v>
      </c>
      <c r="C394" s="2" t="s">
        <v>647</v>
      </c>
      <c r="D394" s="2" t="s">
        <v>480</v>
      </c>
      <c r="E394" s="2">
        <v>254.0</v>
      </c>
      <c r="F394" s="2">
        <v>10.9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 t="s">
        <v>717</v>
      </c>
      <c r="B395" s="2" t="s">
        <v>647</v>
      </c>
      <c r="C395" s="2" t="s">
        <v>647</v>
      </c>
      <c r="D395" s="2" t="s">
        <v>557</v>
      </c>
      <c r="E395" s="2">
        <v>50.0</v>
      </c>
      <c r="F395" s="2">
        <v>3.57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 t="s">
        <v>717</v>
      </c>
      <c r="B396" s="2" t="s">
        <v>647</v>
      </c>
      <c r="C396" s="2" t="s">
        <v>647</v>
      </c>
      <c r="D396" s="2" t="s">
        <v>557</v>
      </c>
      <c r="E396" s="2">
        <v>84.0</v>
      </c>
      <c r="F396" s="2">
        <v>4.15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 t="s">
        <v>717</v>
      </c>
      <c r="B397" s="2" t="s">
        <v>647</v>
      </c>
      <c r="C397" s="2" t="s">
        <v>647</v>
      </c>
      <c r="D397" s="2" t="s">
        <v>557</v>
      </c>
      <c r="E397" s="2">
        <v>47.0</v>
      </c>
      <c r="F397" s="2">
        <v>3.53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 t="s">
        <v>717</v>
      </c>
      <c r="B398" s="2" t="s">
        <v>647</v>
      </c>
      <c r="C398" s="2" t="s">
        <v>647</v>
      </c>
      <c r="D398" s="2" t="s">
        <v>557</v>
      </c>
      <c r="E398" s="2">
        <v>84.0</v>
      </c>
      <c r="F398" s="2">
        <v>4.15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 t="s">
        <v>717</v>
      </c>
      <c r="B399" s="2" t="s">
        <v>647</v>
      </c>
      <c r="C399" s="2" t="s">
        <v>647</v>
      </c>
      <c r="D399" s="2" t="s">
        <v>557</v>
      </c>
      <c r="E399" s="2">
        <v>48.0</v>
      </c>
      <c r="F399" s="2">
        <v>3.58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 t="s">
        <v>717</v>
      </c>
      <c r="B400" s="2" t="s">
        <v>647</v>
      </c>
      <c r="C400" s="2" t="s">
        <v>647</v>
      </c>
      <c r="D400" s="2" t="s">
        <v>559</v>
      </c>
      <c r="E400" s="2">
        <v>78.0</v>
      </c>
      <c r="F400" s="2">
        <v>3.92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 t="s">
        <v>717</v>
      </c>
      <c r="B401" s="2" t="s">
        <v>647</v>
      </c>
      <c r="C401" s="2" t="s">
        <v>647</v>
      </c>
      <c r="D401" s="2" t="s">
        <v>559</v>
      </c>
      <c r="E401" s="2">
        <v>51.0</v>
      </c>
      <c r="F401" s="2">
        <v>4.42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 t="s">
        <v>717</v>
      </c>
      <c r="B402" s="2" t="s">
        <v>647</v>
      </c>
      <c r="C402" s="2" t="s">
        <v>647</v>
      </c>
      <c r="D402" s="2" t="s">
        <v>559</v>
      </c>
      <c r="E402" s="2">
        <v>55.0</v>
      </c>
      <c r="F402" s="2">
        <v>4.16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 t="s">
        <v>717</v>
      </c>
      <c r="B403" s="2" t="s">
        <v>647</v>
      </c>
      <c r="C403" s="2" t="s">
        <v>647</v>
      </c>
      <c r="D403" s="2" t="s">
        <v>559</v>
      </c>
      <c r="E403" s="2">
        <v>63.0</v>
      </c>
      <c r="F403" s="2">
        <v>6.73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 t="s">
        <v>717</v>
      </c>
      <c r="B404" s="2" t="s">
        <v>647</v>
      </c>
      <c r="C404" s="2" t="s">
        <v>647</v>
      </c>
      <c r="D404" s="2" t="s">
        <v>559</v>
      </c>
      <c r="E404" s="2">
        <v>78.0</v>
      </c>
      <c r="F404" s="2">
        <v>3.92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 t="s">
        <v>717</v>
      </c>
      <c r="B405" s="2" t="s">
        <v>647</v>
      </c>
      <c r="C405" s="2" t="s">
        <v>647</v>
      </c>
      <c r="D405" s="2" t="s">
        <v>559</v>
      </c>
      <c r="E405" s="2">
        <v>51.0</v>
      </c>
      <c r="F405" s="2">
        <v>4.42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 t="s">
        <v>718</v>
      </c>
      <c r="B406" s="2" t="s">
        <v>647</v>
      </c>
      <c r="C406" s="2" t="s">
        <v>647</v>
      </c>
      <c r="D406" s="2" t="s">
        <v>557</v>
      </c>
      <c r="E406" s="2">
        <v>147.0</v>
      </c>
      <c r="F406" s="2">
        <v>3.2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 t="s">
        <v>718</v>
      </c>
      <c r="B407" s="2" t="s">
        <v>647</v>
      </c>
      <c r="C407" s="2" t="s">
        <v>647</v>
      </c>
      <c r="D407" s="2" t="s">
        <v>557</v>
      </c>
      <c r="E407" s="2">
        <v>39.0</v>
      </c>
      <c r="F407" s="2">
        <v>2.5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 t="s">
        <v>718</v>
      </c>
      <c r="B408" s="2" t="s">
        <v>647</v>
      </c>
      <c r="C408" s="2" t="s">
        <v>647</v>
      </c>
      <c r="D408" s="2" t="s">
        <v>559</v>
      </c>
      <c r="E408" s="2">
        <v>106.0</v>
      </c>
      <c r="F408" s="2">
        <v>4.6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 t="s">
        <v>718</v>
      </c>
      <c r="B409" s="2" t="s">
        <v>647</v>
      </c>
      <c r="C409" s="2" t="s">
        <v>647</v>
      </c>
      <c r="D409" s="2" t="s">
        <v>559</v>
      </c>
      <c r="E409" s="2">
        <v>106.0</v>
      </c>
      <c r="F409" s="2">
        <v>4.6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 t="s">
        <v>718</v>
      </c>
      <c r="B410" s="2" t="s">
        <v>647</v>
      </c>
      <c r="C410" s="2" t="s">
        <v>647</v>
      </c>
      <c r="D410" s="2" t="s">
        <v>559</v>
      </c>
      <c r="E410" s="2">
        <v>106.0</v>
      </c>
      <c r="F410" s="2">
        <v>4.6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 t="s">
        <v>718</v>
      </c>
      <c r="B411" s="2" t="s">
        <v>647</v>
      </c>
      <c r="C411" s="2" t="s">
        <v>647</v>
      </c>
      <c r="D411" s="2" t="s">
        <v>559</v>
      </c>
      <c r="E411" s="2">
        <v>106.0</v>
      </c>
      <c r="F411" s="2">
        <v>3.4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 t="s">
        <v>718</v>
      </c>
      <c r="B412" s="2" t="s">
        <v>647</v>
      </c>
      <c r="C412" s="2" t="s">
        <v>647</v>
      </c>
      <c r="D412" s="2" t="s">
        <v>477</v>
      </c>
      <c r="E412" s="2">
        <v>200.0</v>
      </c>
      <c r="F412" s="2">
        <v>5.2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 t="s">
        <v>718</v>
      </c>
      <c r="B413" s="2" t="s">
        <v>647</v>
      </c>
      <c r="C413" s="2" t="s">
        <v>647</v>
      </c>
      <c r="D413" s="2" t="s">
        <v>559</v>
      </c>
      <c r="E413" s="2">
        <v>200.0</v>
      </c>
      <c r="F413" s="2">
        <v>8.0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 t="s">
        <v>718</v>
      </c>
      <c r="B414" s="2" t="s">
        <v>647</v>
      </c>
      <c r="C414" s="2" t="s">
        <v>647</v>
      </c>
      <c r="D414" s="2" t="s">
        <v>559</v>
      </c>
      <c r="E414" s="2">
        <v>106.0</v>
      </c>
      <c r="F414" s="2">
        <v>5.5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 t="s">
        <v>718</v>
      </c>
      <c r="B415" s="2"/>
      <c r="C415" s="2" t="s">
        <v>719</v>
      </c>
      <c r="D415" s="2" t="s">
        <v>559</v>
      </c>
      <c r="E415" s="2">
        <v>200.0</v>
      </c>
      <c r="F415" s="2">
        <v>7.5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 t="s">
        <v>718</v>
      </c>
      <c r="B416" s="2"/>
      <c r="C416" s="2" t="s">
        <v>719</v>
      </c>
      <c r="D416" s="2" t="s">
        <v>559</v>
      </c>
      <c r="E416" s="2">
        <v>106.0</v>
      </c>
      <c r="F416" s="2">
        <v>3.2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 t="s">
        <v>718</v>
      </c>
      <c r="B417" s="2"/>
      <c r="C417" s="2" t="s">
        <v>720</v>
      </c>
      <c r="D417" s="2" t="s">
        <v>559</v>
      </c>
      <c r="E417" s="2">
        <v>200.0</v>
      </c>
      <c r="F417" s="2">
        <v>7.0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 t="s">
        <v>718</v>
      </c>
      <c r="B418" s="2"/>
      <c r="C418" s="2" t="s">
        <v>720</v>
      </c>
      <c r="D418" s="2" t="s">
        <v>559</v>
      </c>
      <c r="E418" s="2">
        <v>106.0</v>
      </c>
      <c r="F418" s="2">
        <v>3.8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 t="s">
        <v>718</v>
      </c>
      <c r="B419" s="2"/>
      <c r="C419" s="2" t="s">
        <v>721</v>
      </c>
      <c r="D419" s="2" t="s">
        <v>559</v>
      </c>
      <c r="E419" s="2">
        <v>200.0</v>
      </c>
      <c r="F419" s="2">
        <v>6.8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 t="s">
        <v>718</v>
      </c>
      <c r="B420" s="2"/>
      <c r="C420" s="2" t="s">
        <v>721</v>
      </c>
      <c r="D420" s="2" t="s">
        <v>559</v>
      </c>
      <c r="E420" s="2">
        <v>106.0</v>
      </c>
      <c r="F420" s="2">
        <v>4.2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 t="s">
        <v>718</v>
      </c>
      <c r="B421" s="2"/>
      <c r="C421" s="2" t="s">
        <v>722</v>
      </c>
      <c r="D421" s="2" t="s">
        <v>559</v>
      </c>
      <c r="E421" s="2">
        <v>200.0</v>
      </c>
      <c r="F421" s="2">
        <v>7.3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 t="s">
        <v>718</v>
      </c>
      <c r="B422" s="2"/>
      <c r="C422" s="2" t="s">
        <v>722</v>
      </c>
      <c r="D422" s="2" t="s">
        <v>559</v>
      </c>
      <c r="E422" s="2">
        <v>106.0</v>
      </c>
      <c r="F422" s="2">
        <v>3.6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 t="s">
        <v>718</v>
      </c>
      <c r="B423" s="2"/>
      <c r="C423" s="2" t="s">
        <v>723</v>
      </c>
      <c r="D423" s="2" t="s">
        <v>559</v>
      </c>
      <c r="E423" s="2">
        <v>200.0</v>
      </c>
      <c r="F423" s="2">
        <v>7.2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 t="s">
        <v>718</v>
      </c>
      <c r="B424" s="2"/>
      <c r="C424" s="2" t="s">
        <v>723</v>
      </c>
      <c r="D424" s="2" t="s">
        <v>559</v>
      </c>
      <c r="E424" s="2">
        <v>106.0</v>
      </c>
      <c r="F424" s="2">
        <v>3.5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 t="s">
        <v>718</v>
      </c>
      <c r="B425" s="2"/>
      <c r="C425" s="2" t="s">
        <v>724</v>
      </c>
      <c r="D425" s="2" t="s">
        <v>559</v>
      </c>
      <c r="E425" s="2">
        <v>200.0</v>
      </c>
      <c r="F425" s="2">
        <v>6.6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 t="s">
        <v>718</v>
      </c>
      <c r="B426" s="2"/>
      <c r="C426" s="2" t="s">
        <v>724</v>
      </c>
      <c r="D426" s="2" t="s">
        <v>559</v>
      </c>
      <c r="E426" s="2">
        <v>106.0</v>
      </c>
      <c r="F426" s="2">
        <v>2.9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 t="s">
        <v>718</v>
      </c>
      <c r="B427" s="2"/>
      <c r="C427" s="2" t="s">
        <v>725</v>
      </c>
      <c r="D427" s="2" t="s">
        <v>559</v>
      </c>
      <c r="E427" s="2">
        <v>200.0</v>
      </c>
      <c r="F427" s="2">
        <v>7.3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 t="s">
        <v>718</v>
      </c>
      <c r="B428" s="2"/>
      <c r="C428" s="2" t="s">
        <v>726</v>
      </c>
      <c r="D428" s="2" t="s">
        <v>559</v>
      </c>
      <c r="E428" s="2">
        <v>106.0</v>
      </c>
      <c r="F428" s="2">
        <v>4.1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 t="s">
        <v>718</v>
      </c>
      <c r="B429" s="2"/>
      <c r="C429" s="2" t="s">
        <v>726</v>
      </c>
      <c r="D429" s="2" t="s">
        <v>559</v>
      </c>
      <c r="E429" s="2">
        <v>200.0</v>
      </c>
      <c r="F429" s="2">
        <v>6.9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 t="s">
        <v>718</v>
      </c>
      <c r="B430" s="2"/>
      <c r="C430" s="2" t="s">
        <v>727</v>
      </c>
      <c r="D430" s="2" t="s">
        <v>559</v>
      </c>
      <c r="E430" s="2">
        <v>106.0</v>
      </c>
      <c r="F430" s="2">
        <v>3.8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 t="s">
        <v>718</v>
      </c>
      <c r="B431" s="2"/>
      <c r="C431" s="2" t="s">
        <v>727</v>
      </c>
      <c r="D431" s="2" t="s">
        <v>559</v>
      </c>
      <c r="E431" s="2">
        <v>200.0</v>
      </c>
      <c r="F431" s="2">
        <v>6.8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 t="s">
        <v>718</v>
      </c>
      <c r="B432" s="2"/>
      <c r="C432" s="2" t="s">
        <v>728</v>
      </c>
      <c r="D432" s="2" t="s">
        <v>559</v>
      </c>
      <c r="E432" s="2">
        <v>106.0</v>
      </c>
      <c r="F432" s="2">
        <v>3.6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 t="s">
        <v>718</v>
      </c>
      <c r="B433" s="2"/>
      <c r="C433" s="2" t="s">
        <v>728</v>
      </c>
      <c r="D433" s="2" t="s">
        <v>559</v>
      </c>
      <c r="E433" s="2">
        <v>200.0</v>
      </c>
      <c r="F433" s="2">
        <v>6.5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 t="s">
        <v>718</v>
      </c>
      <c r="B434" s="2"/>
      <c r="C434" s="2" t="s">
        <v>729</v>
      </c>
      <c r="D434" s="2" t="s">
        <v>559</v>
      </c>
      <c r="E434" s="2">
        <v>106.0</v>
      </c>
      <c r="F434" s="2">
        <v>4.1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 t="s">
        <v>718</v>
      </c>
      <c r="B435" s="2"/>
      <c r="C435" s="2" t="s">
        <v>729</v>
      </c>
      <c r="D435" s="2" t="s">
        <v>559</v>
      </c>
      <c r="E435" s="2">
        <v>200.0</v>
      </c>
      <c r="F435" s="2">
        <v>7.1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 t="s">
        <v>718</v>
      </c>
      <c r="B436" s="2"/>
      <c r="C436" s="2" t="s">
        <v>730</v>
      </c>
      <c r="D436" s="2" t="s">
        <v>559</v>
      </c>
      <c r="E436" s="2">
        <v>200.0</v>
      </c>
      <c r="F436" s="2">
        <v>6.9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 t="s">
        <v>718</v>
      </c>
      <c r="B437" s="2"/>
      <c r="C437" s="2" t="s">
        <v>730</v>
      </c>
      <c r="D437" s="2" t="s">
        <v>559</v>
      </c>
      <c r="E437" s="2">
        <v>106.0</v>
      </c>
      <c r="F437" s="2">
        <v>4.2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 t="s">
        <v>718</v>
      </c>
      <c r="B438" s="2"/>
      <c r="C438" s="2" t="s">
        <v>731</v>
      </c>
      <c r="D438" s="2" t="s">
        <v>559</v>
      </c>
      <c r="E438" s="2">
        <v>200.0</v>
      </c>
      <c r="F438" s="2">
        <v>6.8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 t="s">
        <v>718</v>
      </c>
      <c r="B439" s="2"/>
      <c r="C439" s="2" t="s">
        <v>731</v>
      </c>
      <c r="D439" s="2" t="s">
        <v>559</v>
      </c>
      <c r="E439" s="2">
        <v>106.0</v>
      </c>
      <c r="F439" s="2">
        <v>4.2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 t="s">
        <v>718</v>
      </c>
      <c r="B440" s="2"/>
      <c r="C440" s="2" t="s">
        <v>732</v>
      </c>
      <c r="D440" s="2" t="s">
        <v>559</v>
      </c>
      <c r="E440" s="2">
        <v>106.0</v>
      </c>
      <c r="F440" s="2">
        <v>3.1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 t="s">
        <v>718</v>
      </c>
      <c r="B441" s="2"/>
      <c r="C441" s="2" t="s">
        <v>732</v>
      </c>
      <c r="D441" s="2" t="s">
        <v>559</v>
      </c>
      <c r="E441" s="2">
        <v>200.0</v>
      </c>
      <c r="F441" s="2">
        <v>7.0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 t="s">
        <v>718</v>
      </c>
      <c r="B442" s="2"/>
      <c r="C442" s="2" t="s">
        <v>733</v>
      </c>
      <c r="D442" s="2" t="s">
        <v>559</v>
      </c>
      <c r="E442" s="2">
        <v>106.0</v>
      </c>
      <c r="F442" s="2">
        <v>4.1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 t="s">
        <v>718</v>
      </c>
      <c r="B443" s="2"/>
      <c r="C443" s="2" t="s">
        <v>733</v>
      </c>
      <c r="D443" s="2" t="s">
        <v>559</v>
      </c>
      <c r="E443" s="2">
        <v>200.0</v>
      </c>
      <c r="F443" s="2">
        <v>7.0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 t="s">
        <v>718</v>
      </c>
      <c r="B444" s="2"/>
      <c r="C444" s="2" t="s">
        <v>734</v>
      </c>
      <c r="D444" s="2" t="s">
        <v>559</v>
      </c>
      <c r="E444" s="2">
        <v>200.0</v>
      </c>
      <c r="F444" s="2">
        <v>7.0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 t="s">
        <v>718</v>
      </c>
      <c r="B445" s="2"/>
      <c r="C445" s="2" t="s">
        <v>734</v>
      </c>
      <c r="D445" s="2" t="s">
        <v>559</v>
      </c>
      <c r="E445" s="2">
        <v>106.0</v>
      </c>
      <c r="F445" s="2">
        <v>4.5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 t="s">
        <v>735</v>
      </c>
      <c r="B446" s="2"/>
      <c r="C446" s="2" t="s">
        <v>647</v>
      </c>
      <c r="D446" s="2" t="s">
        <v>557</v>
      </c>
      <c r="E446" s="2">
        <v>10.0</v>
      </c>
      <c r="F446" s="2">
        <v>6.1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 t="s">
        <v>735</v>
      </c>
      <c r="B447" s="2"/>
      <c r="C447" s="2" t="s">
        <v>647</v>
      </c>
      <c r="D447" s="2" t="s">
        <v>557</v>
      </c>
      <c r="E447" s="2">
        <v>94.0</v>
      </c>
      <c r="F447" s="2">
        <v>3.2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 t="s">
        <v>735</v>
      </c>
      <c r="B448" s="2"/>
      <c r="C448" s="2" t="s">
        <v>647</v>
      </c>
      <c r="D448" s="2" t="s">
        <v>557</v>
      </c>
      <c r="E448" s="2">
        <v>70.0</v>
      </c>
      <c r="F448" s="2">
        <v>2.6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 t="s">
        <v>735</v>
      </c>
      <c r="B449" s="2"/>
      <c r="C449" s="2" t="s">
        <v>647</v>
      </c>
      <c r="D449" s="2" t="s">
        <v>557</v>
      </c>
      <c r="E449" s="2">
        <v>94.0</v>
      </c>
      <c r="F449" s="2">
        <v>3.2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 t="s">
        <v>735</v>
      </c>
      <c r="B450" s="2"/>
      <c r="C450" s="2" t="s">
        <v>647</v>
      </c>
      <c r="D450" s="2" t="s">
        <v>557</v>
      </c>
      <c r="E450" s="2">
        <v>134.0</v>
      </c>
      <c r="F450" s="2">
        <v>4.1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 t="s">
        <v>735</v>
      </c>
      <c r="B451" s="2"/>
      <c r="C451" s="2" t="s">
        <v>647</v>
      </c>
      <c r="D451" s="2" t="s">
        <v>557</v>
      </c>
      <c r="E451" s="2">
        <v>10.0</v>
      </c>
      <c r="F451" s="2">
        <v>6.1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 t="s">
        <v>735</v>
      </c>
      <c r="B452" s="2"/>
      <c r="C452" s="2" t="s">
        <v>647</v>
      </c>
      <c r="D452" s="2" t="s">
        <v>557</v>
      </c>
      <c r="E452" s="2">
        <v>94.0</v>
      </c>
      <c r="F452" s="2">
        <v>3.2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 t="s">
        <v>735</v>
      </c>
      <c r="B453" s="2"/>
      <c r="C453" s="2" t="s">
        <v>647</v>
      </c>
      <c r="D453" s="2" t="s">
        <v>557</v>
      </c>
      <c r="E453" s="2">
        <v>108.0</v>
      </c>
      <c r="F453" s="2">
        <v>3.2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 t="s">
        <v>735</v>
      </c>
      <c r="B454" s="2"/>
      <c r="C454" s="2" t="s">
        <v>647</v>
      </c>
      <c r="D454" s="2" t="s">
        <v>557</v>
      </c>
      <c r="E454" s="2">
        <v>108.0</v>
      </c>
      <c r="F454" s="2">
        <v>3.2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 t="s">
        <v>735</v>
      </c>
      <c r="B455" s="2"/>
      <c r="C455" s="2" t="s">
        <v>647</v>
      </c>
      <c r="D455" s="2" t="s">
        <v>559</v>
      </c>
      <c r="E455" s="2">
        <v>48.0</v>
      </c>
      <c r="F455" s="2">
        <v>4.4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 t="s">
        <v>735</v>
      </c>
      <c r="B456" s="2"/>
      <c r="C456" s="2" t="s">
        <v>647</v>
      </c>
      <c r="D456" s="2" t="s">
        <v>559</v>
      </c>
      <c r="E456" s="2">
        <v>6.0</v>
      </c>
      <c r="F456" s="2">
        <v>4.5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 t="s">
        <v>735</v>
      </c>
      <c r="B457" s="2"/>
      <c r="C457" s="2" t="s">
        <v>647</v>
      </c>
      <c r="D457" s="2" t="s">
        <v>559</v>
      </c>
      <c r="E457" s="2">
        <v>61.0</v>
      </c>
      <c r="F457" s="2">
        <v>3.9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 t="s">
        <v>735</v>
      </c>
      <c r="B458" s="2"/>
      <c r="C458" s="2" t="s">
        <v>647</v>
      </c>
      <c r="D458" s="2" t="s">
        <v>559</v>
      </c>
      <c r="E458" s="2">
        <v>32.0</v>
      </c>
      <c r="F458" s="2">
        <v>3.6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 t="s">
        <v>735</v>
      </c>
      <c r="B459" s="2"/>
      <c r="C459" s="2" t="s">
        <v>647</v>
      </c>
      <c r="D459" s="2" t="s">
        <v>559</v>
      </c>
      <c r="E459" s="2">
        <v>61.0</v>
      </c>
      <c r="F459" s="2">
        <v>3.9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 t="s">
        <v>735</v>
      </c>
      <c r="B460" s="2"/>
      <c r="C460" s="2" t="s">
        <v>647</v>
      </c>
      <c r="D460" s="2" t="s">
        <v>559</v>
      </c>
      <c r="E460" s="2">
        <v>129.0</v>
      </c>
      <c r="F460" s="2">
        <v>3.6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 t="s">
        <v>735</v>
      </c>
      <c r="B461" s="2"/>
      <c r="C461" s="2" t="s">
        <v>647</v>
      </c>
      <c r="D461" s="2" t="s">
        <v>559</v>
      </c>
      <c r="E461" s="2">
        <v>119.0</v>
      </c>
      <c r="F461" s="2">
        <v>4.1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 t="s">
        <v>735</v>
      </c>
      <c r="B462" s="2"/>
      <c r="C462" s="2" t="s">
        <v>647</v>
      </c>
      <c r="D462" s="2" t="s">
        <v>559</v>
      </c>
      <c r="E462" s="2">
        <v>6.0</v>
      </c>
      <c r="F462" s="2">
        <v>4.5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 t="s">
        <v>735</v>
      </c>
      <c r="B463" s="2"/>
      <c r="C463" s="2" t="s">
        <v>647</v>
      </c>
      <c r="D463" s="2" t="s">
        <v>559</v>
      </c>
      <c r="E463" s="2">
        <v>129.0</v>
      </c>
      <c r="F463" s="2">
        <v>3.6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 t="s">
        <v>735</v>
      </c>
      <c r="B464" s="2"/>
      <c r="C464" s="2" t="s">
        <v>647</v>
      </c>
      <c r="D464" s="2" t="s">
        <v>559</v>
      </c>
      <c r="E464" s="2">
        <v>61.0</v>
      </c>
      <c r="F464" s="2">
        <v>3.9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 t="s">
        <v>735</v>
      </c>
      <c r="B465" s="2"/>
      <c r="C465" s="2" t="s">
        <v>647</v>
      </c>
      <c r="D465" s="2" t="s">
        <v>559</v>
      </c>
      <c r="E465" s="2">
        <v>129.0</v>
      </c>
      <c r="F465" s="2">
        <v>3.6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 t="s">
        <v>735</v>
      </c>
      <c r="B466" s="2"/>
      <c r="C466" s="2" t="s">
        <v>647</v>
      </c>
      <c r="D466" s="2" t="s">
        <v>559</v>
      </c>
      <c r="E466" s="2">
        <v>131.0</v>
      </c>
      <c r="F466" s="2">
        <v>4.3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 t="s">
        <v>735</v>
      </c>
      <c r="B467" s="2"/>
      <c r="C467" s="2" t="s">
        <v>647</v>
      </c>
      <c r="D467" s="2" t="s">
        <v>559</v>
      </c>
      <c r="E467" s="2">
        <v>147.0</v>
      </c>
      <c r="F467" s="2">
        <v>4.2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 t="s">
        <v>735</v>
      </c>
      <c r="B468" s="2"/>
      <c r="C468" s="2" t="s">
        <v>647</v>
      </c>
      <c r="D468" s="2" t="s">
        <v>559</v>
      </c>
      <c r="E468" s="2">
        <v>119.0</v>
      </c>
      <c r="F468" s="2">
        <v>4.1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 t="s">
        <v>735</v>
      </c>
      <c r="B469" s="2"/>
      <c r="C469" s="2" t="s">
        <v>647</v>
      </c>
      <c r="D469" s="2" t="s">
        <v>559</v>
      </c>
      <c r="E469" s="2">
        <v>135.0</v>
      </c>
      <c r="F469" s="2">
        <v>4.3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 t="s">
        <v>735</v>
      </c>
      <c r="B470" s="2"/>
      <c r="C470" s="2" t="s">
        <v>647</v>
      </c>
      <c r="D470" s="2" t="s">
        <v>559</v>
      </c>
      <c r="E470" s="2">
        <v>135.0</v>
      </c>
      <c r="F470" s="2">
        <v>4.3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 t="s">
        <v>735</v>
      </c>
      <c r="B471" s="2"/>
      <c r="C471" s="2" t="s">
        <v>647</v>
      </c>
      <c r="D471" s="2" t="s">
        <v>559</v>
      </c>
      <c r="E471" s="2">
        <v>154.0</v>
      </c>
      <c r="F471" s="2">
        <v>4.4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 t="s">
        <v>735</v>
      </c>
      <c r="B472" s="2"/>
      <c r="C472" s="2" t="s">
        <v>647</v>
      </c>
      <c r="D472" s="2" t="s">
        <v>559</v>
      </c>
      <c r="E472" s="2">
        <v>135.0</v>
      </c>
      <c r="F472" s="2">
        <v>4.3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 t="s">
        <v>735</v>
      </c>
      <c r="B473" s="2"/>
      <c r="C473" s="2" t="s">
        <v>647</v>
      </c>
      <c r="D473" s="2" t="s">
        <v>477</v>
      </c>
      <c r="E473" s="2">
        <v>127.0</v>
      </c>
      <c r="F473" s="2">
        <v>7.9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 t="s">
        <v>735</v>
      </c>
      <c r="B474" s="2"/>
      <c r="C474" s="2" t="s">
        <v>647</v>
      </c>
      <c r="D474" s="2" t="s">
        <v>477</v>
      </c>
      <c r="E474" s="2">
        <v>124.0</v>
      </c>
      <c r="F474" s="2">
        <v>7.1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 t="s">
        <v>735</v>
      </c>
      <c r="B475" s="2"/>
      <c r="C475" s="2" t="s">
        <v>647</v>
      </c>
      <c r="D475" s="2" t="s">
        <v>477</v>
      </c>
      <c r="E475" s="2">
        <v>62.0</v>
      </c>
      <c r="F475" s="2">
        <v>7.0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 t="s">
        <v>735</v>
      </c>
      <c r="B476" s="2"/>
      <c r="C476" s="2" t="s">
        <v>647</v>
      </c>
      <c r="D476" s="2" t="s">
        <v>477</v>
      </c>
      <c r="E476" s="2">
        <v>62.0</v>
      </c>
      <c r="F476" s="2">
        <v>7.0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 t="s">
        <v>735</v>
      </c>
      <c r="B477" s="2"/>
      <c r="C477" s="2" t="s">
        <v>647</v>
      </c>
      <c r="D477" s="2" t="s">
        <v>477</v>
      </c>
      <c r="E477" s="2">
        <v>127.0</v>
      </c>
      <c r="F477" s="2">
        <v>7.9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 t="s">
        <v>735</v>
      </c>
      <c r="B478" s="2"/>
      <c r="C478" s="2" t="s">
        <v>647</v>
      </c>
      <c r="D478" s="2" t="s">
        <v>477</v>
      </c>
      <c r="E478" s="2">
        <v>62.0</v>
      </c>
      <c r="F478" s="2">
        <v>7.0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 t="s">
        <v>735</v>
      </c>
      <c r="B479" s="2"/>
      <c r="C479" s="2" t="s">
        <v>647</v>
      </c>
      <c r="D479" s="2" t="s">
        <v>477</v>
      </c>
      <c r="E479" s="2">
        <v>83.0</v>
      </c>
      <c r="F479" s="2">
        <v>5.5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 t="s">
        <v>735</v>
      </c>
      <c r="B480" s="2"/>
      <c r="C480" s="2" t="s">
        <v>647</v>
      </c>
      <c r="D480" s="2" t="s">
        <v>477</v>
      </c>
      <c r="E480" s="2">
        <v>83.0</v>
      </c>
      <c r="F480" s="2">
        <v>5.5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 t="s">
        <v>736</v>
      </c>
      <c r="B481" s="2"/>
      <c r="C481" s="2" t="s">
        <v>647</v>
      </c>
      <c r="D481" s="2" t="s">
        <v>477</v>
      </c>
      <c r="E481" s="2">
        <v>76.0</v>
      </c>
      <c r="F481" s="2">
        <v>6.0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 t="s">
        <v>737</v>
      </c>
      <c r="B482" s="2"/>
      <c r="C482" s="2" t="s">
        <v>647</v>
      </c>
      <c r="D482" s="2" t="s">
        <v>478</v>
      </c>
      <c r="E482" s="2">
        <v>49.0</v>
      </c>
      <c r="F482" s="2">
        <v>4.9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 t="s">
        <v>738</v>
      </c>
      <c r="B483" s="2"/>
      <c r="C483" s="2" t="s">
        <v>647</v>
      </c>
      <c r="D483" s="2" t="s">
        <v>557</v>
      </c>
      <c r="E483" s="2">
        <v>90.0</v>
      </c>
      <c r="F483" s="2">
        <v>3.7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 t="s">
        <v>738</v>
      </c>
      <c r="B484" s="2"/>
      <c r="C484" s="2" t="s">
        <v>647</v>
      </c>
      <c r="D484" s="2" t="s">
        <v>557</v>
      </c>
      <c r="E484" s="2">
        <v>46.0</v>
      </c>
      <c r="F484" s="2">
        <v>3.7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 t="s">
        <v>739</v>
      </c>
      <c r="B485" s="2"/>
      <c r="C485" s="2" t="s">
        <v>647</v>
      </c>
      <c r="D485" s="2" t="s">
        <v>477</v>
      </c>
      <c r="E485" s="2">
        <v>149.0</v>
      </c>
      <c r="F485" s="2">
        <v>5.39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 t="s">
        <v>740</v>
      </c>
      <c r="B486" s="2"/>
      <c r="C486" s="2" t="s">
        <v>647</v>
      </c>
      <c r="D486" s="2" t="s">
        <v>557</v>
      </c>
      <c r="E486" s="2">
        <v>26.0</v>
      </c>
      <c r="F486" s="2">
        <v>8.1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 t="s">
        <v>740</v>
      </c>
      <c r="B487" s="2"/>
      <c r="C487" s="2" t="s">
        <v>647</v>
      </c>
      <c r="D487" s="2" t="s">
        <v>557</v>
      </c>
      <c r="E487" s="2">
        <v>64.0</v>
      </c>
      <c r="F487" s="2">
        <v>3.2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 t="s">
        <v>740</v>
      </c>
      <c r="B488" s="2"/>
      <c r="C488" s="2" t="s">
        <v>647</v>
      </c>
      <c r="D488" s="2" t="s">
        <v>559</v>
      </c>
      <c r="E488" s="2">
        <v>6.0</v>
      </c>
      <c r="F488" s="2">
        <v>4.9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 t="s">
        <v>740</v>
      </c>
      <c r="B489" s="2"/>
      <c r="C489" s="2" t="s">
        <v>647</v>
      </c>
      <c r="D489" s="2" t="s">
        <v>559</v>
      </c>
      <c r="E489" s="2">
        <v>6.0</v>
      </c>
      <c r="F489" s="2">
        <v>4.9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 t="s">
        <v>740</v>
      </c>
      <c r="B490" s="2"/>
      <c r="C490" s="2" t="s">
        <v>647</v>
      </c>
      <c r="D490" s="2" t="s">
        <v>559</v>
      </c>
      <c r="E490" s="2">
        <v>95.0</v>
      </c>
      <c r="F490" s="2">
        <v>4.1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 t="s">
        <v>740</v>
      </c>
      <c r="B491" s="2"/>
      <c r="C491" s="2" t="s">
        <v>647</v>
      </c>
      <c r="D491" s="2" t="s">
        <v>559</v>
      </c>
      <c r="E491" s="2">
        <v>103.0</v>
      </c>
      <c r="F491" s="2">
        <v>4.5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 t="s">
        <v>740</v>
      </c>
      <c r="B492" s="2"/>
      <c r="C492" s="2" t="s">
        <v>647</v>
      </c>
      <c r="D492" s="2" t="s">
        <v>557</v>
      </c>
      <c r="E492" s="2">
        <v>26.0</v>
      </c>
      <c r="F492" s="2">
        <v>9.9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 t="s">
        <v>740</v>
      </c>
      <c r="B493" s="2"/>
      <c r="C493" s="2" t="s">
        <v>647</v>
      </c>
      <c r="D493" s="2" t="s">
        <v>557</v>
      </c>
      <c r="E493" s="2">
        <v>64.0</v>
      </c>
      <c r="F493" s="2">
        <v>3.2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 t="s">
        <v>740</v>
      </c>
      <c r="B494" s="2"/>
      <c r="C494" s="2" t="s">
        <v>647</v>
      </c>
      <c r="D494" s="2" t="s">
        <v>557</v>
      </c>
      <c r="E494" s="2">
        <v>61.0</v>
      </c>
      <c r="F494" s="2">
        <v>5.3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 t="s">
        <v>740</v>
      </c>
      <c r="B495" s="2"/>
      <c r="C495" s="2" t="s">
        <v>647</v>
      </c>
      <c r="D495" s="2" t="s">
        <v>557</v>
      </c>
      <c r="E495" s="2">
        <v>61.0</v>
      </c>
      <c r="F495" s="2">
        <v>5.3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 t="s">
        <v>740</v>
      </c>
      <c r="B496" s="2"/>
      <c r="C496" s="2" t="s">
        <v>647</v>
      </c>
      <c r="D496" s="2" t="s">
        <v>559</v>
      </c>
      <c r="E496" s="2">
        <v>70.0</v>
      </c>
      <c r="F496" s="2">
        <v>4.6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 t="s">
        <v>740</v>
      </c>
      <c r="B497" s="2"/>
      <c r="C497" s="2" t="s">
        <v>647</v>
      </c>
      <c r="D497" s="2" t="s">
        <v>559</v>
      </c>
      <c r="E497" s="2">
        <v>88.0</v>
      </c>
      <c r="F497" s="2">
        <v>3.7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 t="s">
        <v>740</v>
      </c>
      <c r="B498" s="2"/>
      <c r="C498" s="2" t="s">
        <v>647</v>
      </c>
      <c r="D498" s="2" t="s">
        <v>559</v>
      </c>
      <c r="E498" s="2">
        <v>95.0</v>
      </c>
      <c r="F498" s="2">
        <v>4.1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 t="s">
        <v>740</v>
      </c>
      <c r="B499" s="2"/>
      <c r="C499" s="2" t="s">
        <v>647</v>
      </c>
      <c r="D499" s="2" t="s">
        <v>559</v>
      </c>
      <c r="E499" s="2">
        <v>68.0</v>
      </c>
      <c r="F499" s="2">
        <v>4.9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 t="s">
        <v>740</v>
      </c>
      <c r="B500" s="2"/>
      <c r="C500" s="2" t="s">
        <v>647</v>
      </c>
      <c r="D500" s="2" t="s">
        <v>559</v>
      </c>
      <c r="E500" s="2">
        <v>98.0</v>
      </c>
      <c r="F500" s="2">
        <v>3.9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 t="s">
        <v>741</v>
      </c>
      <c r="B501" s="2"/>
      <c r="C501" s="2" t="s">
        <v>647</v>
      </c>
      <c r="D501" s="2" t="s">
        <v>477</v>
      </c>
      <c r="E501" s="2">
        <v>73.0</v>
      </c>
      <c r="F501" s="2">
        <v>9.19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 t="s">
        <v>742</v>
      </c>
      <c r="B502" s="2"/>
      <c r="C502" s="2" t="s">
        <v>647</v>
      </c>
      <c r="D502" s="2" t="s">
        <v>557</v>
      </c>
      <c r="E502" s="2">
        <v>35.0</v>
      </c>
      <c r="F502" s="2">
        <v>3.42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 t="s">
        <v>742</v>
      </c>
      <c r="B503" s="2"/>
      <c r="C503" s="2" t="s">
        <v>647</v>
      </c>
      <c r="D503" s="2" t="s">
        <v>557</v>
      </c>
      <c r="E503" s="2">
        <v>35.0</v>
      </c>
      <c r="F503" s="2">
        <v>3.42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 t="s">
        <v>742</v>
      </c>
      <c r="B504" s="2"/>
      <c r="C504" s="2" t="s">
        <v>647</v>
      </c>
      <c r="D504" s="2" t="s">
        <v>557</v>
      </c>
      <c r="E504" s="2">
        <v>35.0</v>
      </c>
      <c r="F504" s="2">
        <v>3.42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 t="s">
        <v>742</v>
      </c>
      <c r="B505" s="2"/>
      <c r="C505" s="2" t="s">
        <v>647</v>
      </c>
      <c r="D505" s="2" t="s">
        <v>557</v>
      </c>
      <c r="E505" s="2">
        <v>36.0</v>
      </c>
      <c r="F505" s="2">
        <v>3.12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 t="s">
        <v>742</v>
      </c>
      <c r="B506" s="2"/>
      <c r="C506" s="2" t="s">
        <v>647</v>
      </c>
      <c r="D506" s="2" t="s">
        <v>557</v>
      </c>
      <c r="E506" s="2">
        <v>49.0</v>
      </c>
      <c r="F506" s="2">
        <v>3.55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 t="s">
        <v>742</v>
      </c>
      <c r="B507" s="2"/>
      <c r="C507" s="2" t="s">
        <v>647</v>
      </c>
      <c r="D507" s="2" t="s">
        <v>557</v>
      </c>
      <c r="E507" s="2">
        <v>56.0</v>
      </c>
      <c r="F507" s="2">
        <v>3.35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 t="s">
        <v>742</v>
      </c>
      <c r="B508" s="2"/>
      <c r="C508" s="2" t="s">
        <v>647</v>
      </c>
      <c r="D508" s="2" t="s">
        <v>557</v>
      </c>
      <c r="E508" s="2">
        <v>36.0</v>
      </c>
      <c r="F508" s="2">
        <v>3.12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 t="s">
        <v>742</v>
      </c>
      <c r="B509" s="2"/>
      <c r="C509" s="2" t="s">
        <v>647</v>
      </c>
      <c r="D509" s="2" t="s">
        <v>557</v>
      </c>
      <c r="E509" s="2">
        <v>49.0</v>
      </c>
      <c r="F509" s="2">
        <v>3.55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 t="s">
        <v>742</v>
      </c>
      <c r="B510" s="2"/>
      <c r="C510" s="2" t="s">
        <v>647</v>
      </c>
      <c r="D510" s="2" t="s">
        <v>557</v>
      </c>
      <c r="E510" s="2">
        <v>16.0</v>
      </c>
      <c r="F510" s="2">
        <v>2.89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 t="s">
        <v>742</v>
      </c>
      <c r="B511" s="2"/>
      <c r="C511" s="2" t="s">
        <v>647</v>
      </c>
      <c r="D511" s="2" t="s">
        <v>557</v>
      </c>
      <c r="E511" s="2">
        <v>16.0</v>
      </c>
      <c r="F511" s="2">
        <v>2.89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 t="s">
        <v>742</v>
      </c>
      <c r="B512" s="2"/>
      <c r="C512" s="2" t="s">
        <v>647</v>
      </c>
      <c r="D512" s="2" t="s">
        <v>557</v>
      </c>
      <c r="E512" s="2">
        <v>16.0</v>
      </c>
      <c r="F512" s="2">
        <v>2.89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 t="s">
        <v>742</v>
      </c>
      <c r="B513" s="2"/>
      <c r="C513" s="2" t="s">
        <v>647</v>
      </c>
      <c r="D513" s="2" t="s">
        <v>559</v>
      </c>
      <c r="E513" s="2">
        <v>62.0</v>
      </c>
      <c r="F513" s="2">
        <v>3.99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 t="s">
        <v>742</v>
      </c>
      <c r="B514" s="2"/>
      <c r="C514" s="2" t="s">
        <v>647</v>
      </c>
      <c r="D514" s="2" t="s">
        <v>559</v>
      </c>
      <c r="E514" s="2">
        <v>12.0</v>
      </c>
      <c r="F514" s="2">
        <v>4.41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 t="s">
        <v>742</v>
      </c>
      <c r="B515" s="2"/>
      <c r="C515" s="2" t="s">
        <v>647</v>
      </c>
      <c r="D515" s="2" t="s">
        <v>559</v>
      </c>
      <c r="E515" s="2">
        <v>12.0</v>
      </c>
      <c r="F515" s="2">
        <v>4.41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 t="s">
        <v>742</v>
      </c>
      <c r="B516" s="2"/>
      <c r="C516" s="2" t="s">
        <v>647</v>
      </c>
      <c r="D516" s="2" t="s">
        <v>559</v>
      </c>
      <c r="E516" s="2">
        <v>64.0</v>
      </c>
      <c r="F516" s="2">
        <v>4.23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 t="s">
        <v>742</v>
      </c>
      <c r="B517" s="2"/>
      <c r="C517" s="2" t="s">
        <v>647</v>
      </c>
      <c r="D517" s="2" t="s">
        <v>559</v>
      </c>
      <c r="E517" s="2">
        <v>53.0</v>
      </c>
      <c r="F517" s="2">
        <v>3.53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 t="s">
        <v>742</v>
      </c>
      <c r="B518" s="2"/>
      <c r="C518" s="2" t="s">
        <v>647</v>
      </c>
      <c r="D518" s="2" t="s">
        <v>559</v>
      </c>
      <c r="E518" s="2">
        <v>64.0</v>
      </c>
      <c r="F518" s="2">
        <v>4.23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 t="s">
        <v>742</v>
      </c>
      <c r="B519" s="2"/>
      <c r="C519" s="2" t="s">
        <v>647</v>
      </c>
      <c r="D519" s="2" t="s">
        <v>559</v>
      </c>
      <c r="E519" s="2">
        <v>53.0</v>
      </c>
      <c r="F519" s="2">
        <v>3.53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 t="s">
        <v>742</v>
      </c>
      <c r="B520" s="2"/>
      <c r="C520" s="2" t="s">
        <v>647</v>
      </c>
      <c r="D520" s="2" t="s">
        <v>559</v>
      </c>
      <c r="E520" s="2">
        <v>36.0</v>
      </c>
      <c r="F520" s="2">
        <v>5.4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 t="s">
        <v>742</v>
      </c>
      <c r="B521" s="2"/>
      <c r="C521" s="2" t="s">
        <v>647</v>
      </c>
      <c r="D521" s="2" t="s">
        <v>559</v>
      </c>
      <c r="E521" s="2">
        <v>53.0</v>
      </c>
      <c r="F521" s="2">
        <v>3.2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 t="s">
        <v>742</v>
      </c>
      <c r="B522" s="2"/>
      <c r="C522" s="2" t="s">
        <v>647</v>
      </c>
      <c r="D522" s="2" t="s">
        <v>559</v>
      </c>
      <c r="E522" s="2">
        <v>47.0</v>
      </c>
      <c r="F522" s="2">
        <v>3.5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 t="s">
        <v>743</v>
      </c>
      <c r="B523" s="2"/>
      <c r="C523" s="2" t="s">
        <v>647</v>
      </c>
      <c r="D523" s="2" t="s">
        <v>477</v>
      </c>
      <c r="E523" s="2">
        <v>123.0</v>
      </c>
      <c r="F523" s="2">
        <v>5.4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 t="s">
        <v>743</v>
      </c>
      <c r="B524" s="2"/>
      <c r="C524" s="2" t="s">
        <v>647</v>
      </c>
      <c r="D524" s="2" t="s">
        <v>477</v>
      </c>
      <c r="E524" s="2">
        <v>113.0</v>
      </c>
      <c r="F524" s="2">
        <v>6.9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 t="s">
        <v>743</v>
      </c>
      <c r="B525" s="2"/>
      <c r="C525" s="2" t="s">
        <v>647</v>
      </c>
      <c r="D525" s="2" t="s">
        <v>477</v>
      </c>
      <c r="E525" s="2">
        <v>258.0</v>
      </c>
      <c r="F525" s="2">
        <v>6.9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 t="s">
        <v>744</v>
      </c>
      <c r="B526" s="2"/>
      <c r="C526" s="2" t="s">
        <v>647</v>
      </c>
      <c r="D526" s="2" t="s">
        <v>557</v>
      </c>
      <c r="E526" s="2">
        <v>50.0</v>
      </c>
      <c r="F526" s="2">
        <v>2.51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 t="s">
        <v>744</v>
      </c>
      <c r="B527" s="2"/>
      <c r="C527" s="2" t="s">
        <v>647</v>
      </c>
      <c r="D527" s="2" t="s">
        <v>557</v>
      </c>
      <c r="E527" s="2">
        <v>41.0</v>
      </c>
      <c r="F527" s="2">
        <v>2.49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 t="s">
        <v>744</v>
      </c>
      <c r="B528" s="2"/>
      <c r="C528" s="2" t="s">
        <v>647</v>
      </c>
      <c r="D528" s="2" t="s">
        <v>557</v>
      </c>
      <c r="E528" s="2">
        <v>41.0</v>
      </c>
      <c r="F528" s="2">
        <v>2.49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 t="s">
        <v>744</v>
      </c>
      <c r="B529" s="2"/>
      <c r="C529" s="2" t="s">
        <v>647</v>
      </c>
      <c r="D529" s="2" t="s">
        <v>557</v>
      </c>
      <c r="E529" s="2">
        <v>92.0</v>
      </c>
      <c r="F529" s="2">
        <v>2.61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 t="s">
        <v>744</v>
      </c>
      <c r="B530" s="2"/>
      <c r="C530" s="2" t="s">
        <v>647</v>
      </c>
      <c r="D530" s="2" t="s">
        <v>557</v>
      </c>
      <c r="E530" s="2">
        <v>92.0</v>
      </c>
      <c r="F530" s="2">
        <v>2.61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 t="s">
        <v>744</v>
      </c>
      <c r="B531" s="2"/>
      <c r="C531" s="2" t="s">
        <v>647</v>
      </c>
      <c r="D531" s="2" t="s">
        <v>557</v>
      </c>
      <c r="E531" s="2">
        <v>50.0</v>
      </c>
      <c r="F531" s="2">
        <v>2.51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 t="s">
        <v>744</v>
      </c>
      <c r="B532" s="2"/>
      <c r="C532" s="2" t="s">
        <v>647</v>
      </c>
      <c r="D532" s="2" t="s">
        <v>479</v>
      </c>
      <c r="E532" s="2">
        <v>105.0</v>
      </c>
      <c r="F532" s="2">
        <v>10.35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 t="s">
        <v>744</v>
      </c>
      <c r="B533" s="2"/>
      <c r="C533" s="2" t="s">
        <v>647</v>
      </c>
      <c r="D533" s="2" t="s">
        <v>479</v>
      </c>
      <c r="E533" s="2">
        <v>105.0</v>
      </c>
      <c r="F533" s="2">
        <v>10.35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 t="s">
        <v>745</v>
      </c>
      <c r="B534" s="2"/>
      <c r="C534" s="2" t="s">
        <v>647</v>
      </c>
      <c r="D534" s="2" t="s">
        <v>559</v>
      </c>
      <c r="E534" s="2">
        <v>307.0</v>
      </c>
      <c r="F534" s="2">
        <v>3.9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 t="s">
        <v>745</v>
      </c>
      <c r="B535" s="2"/>
      <c r="C535" s="2" t="s">
        <v>647</v>
      </c>
      <c r="D535" s="2" t="s">
        <v>477</v>
      </c>
      <c r="E535" s="2">
        <v>305.0</v>
      </c>
      <c r="F535" s="2">
        <v>9.1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 t="s">
        <v>746</v>
      </c>
      <c r="B536" s="2"/>
      <c r="C536" s="2" t="s">
        <v>647</v>
      </c>
      <c r="D536" s="2" t="s">
        <v>557</v>
      </c>
      <c r="E536" s="2">
        <v>408.0</v>
      </c>
      <c r="F536" s="2">
        <v>7.4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 t="s">
        <v>747</v>
      </c>
      <c r="B537" s="2"/>
      <c r="C537" s="2" t="s">
        <v>647</v>
      </c>
      <c r="D537" s="2" t="s">
        <v>559</v>
      </c>
      <c r="E537" s="2">
        <v>286.0</v>
      </c>
      <c r="F537" s="2">
        <v>9.4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 t="s">
        <v>748</v>
      </c>
      <c r="B538" s="2"/>
      <c r="C538" s="2" t="s">
        <v>647</v>
      </c>
      <c r="D538" s="2" t="s">
        <v>557</v>
      </c>
      <c r="E538" s="2">
        <v>35.0</v>
      </c>
      <c r="F538" s="2">
        <v>2.6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 t="s">
        <v>748</v>
      </c>
      <c r="B539" s="2"/>
      <c r="C539" s="2" t="s">
        <v>647</v>
      </c>
      <c r="D539" s="2" t="s">
        <v>557</v>
      </c>
      <c r="E539" s="2">
        <v>16.0</v>
      </c>
      <c r="F539" s="2">
        <v>2.9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 t="s">
        <v>748</v>
      </c>
      <c r="B540" s="2"/>
      <c r="C540" s="2" t="s">
        <v>647</v>
      </c>
      <c r="D540" s="2" t="s">
        <v>557</v>
      </c>
      <c r="E540" s="2">
        <v>35.0</v>
      </c>
      <c r="F540" s="2">
        <v>2.67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 t="s">
        <v>748</v>
      </c>
      <c r="B541" s="2"/>
      <c r="C541" s="2" t="s">
        <v>647</v>
      </c>
      <c r="D541" s="2" t="s">
        <v>557</v>
      </c>
      <c r="E541" s="2">
        <v>16.0</v>
      </c>
      <c r="F541" s="2">
        <v>2.62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 t="s">
        <v>748</v>
      </c>
      <c r="B542" s="2"/>
      <c r="C542" s="2" t="s">
        <v>647</v>
      </c>
      <c r="D542" s="2" t="s">
        <v>559</v>
      </c>
      <c r="E542" s="2">
        <v>48.0</v>
      </c>
      <c r="F542" s="2">
        <v>3.5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 t="s">
        <v>748</v>
      </c>
      <c r="B543" s="2"/>
      <c r="C543" s="2" t="s">
        <v>647</v>
      </c>
      <c r="D543" s="2" t="s">
        <v>559</v>
      </c>
      <c r="E543" s="2">
        <v>11.0</v>
      </c>
      <c r="F543" s="2">
        <v>4.17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 t="s">
        <v>748</v>
      </c>
      <c r="B544" s="2"/>
      <c r="C544" s="2" t="s">
        <v>647</v>
      </c>
      <c r="D544" s="2" t="s">
        <v>559</v>
      </c>
      <c r="E544" s="2">
        <v>36.0</v>
      </c>
      <c r="F544" s="2">
        <v>5.4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 t="s">
        <v>748</v>
      </c>
      <c r="B545" s="2"/>
      <c r="C545" s="2" t="s">
        <v>647</v>
      </c>
      <c r="D545" s="2" t="s">
        <v>559</v>
      </c>
      <c r="E545" s="2">
        <v>54.0</v>
      </c>
      <c r="F545" s="2">
        <v>3.56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 t="s">
        <v>749</v>
      </c>
      <c r="B546" s="2"/>
      <c r="C546" s="2" t="s">
        <v>647</v>
      </c>
      <c r="D546" s="2" t="s">
        <v>557</v>
      </c>
      <c r="E546" s="2">
        <v>75.0</v>
      </c>
      <c r="F546" s="2">
        <v>3.5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 t="s">
        <v>750</v>
      </c>
      <c r="B547" s="2"/>
      <c r="C547" s="2" t="s">
        <v>647</v>
      </c>
      <c r="D547" s="2" t="s">
        <v>478</v>
      </c>
      <c r="E547" s="2">
        <v>15.0</v>
      </c>
      <c r="F547" s="2">
        <v>9.3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 t="s">
        <v>751</v>
      </c>
      <c r="B548" s="2"/>
      <c r="C548" s="2" t="s">
        <v>647</v>
      </c>
      <c r="D548" s="2" t="s">
        <v>557</v>
      </c>
      <c r="E548" s="2">
        <v>79.0</v>
      </c>
      <c r="F548" s="2">
        <v>3.7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 t="s">
        <v>751</v>
      </c>
      <c r="B549" s="2"/>
      <c r="C549" s="2" t="s">
        <v>647</v>
      </c>
      <c r="D549" s="2" t="s">
        <v>557</v>
      </c>
      <c r="E549" s="2">
        <v>64.0</v>
      </c>
      <c r="F549" s="2">
        <v>2.1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 t="s">
        <v>751</v>
      </c>
      <c r="B550" s="2"/>
      <c r="C550" s="2" t="s">
        <v>647</v>
      </c>
      <c r="D550" s="2" t="s">
        <v>557</v>
      </c>
      <c r="E550" s="2">
        <v>64.0</v>
      </c>
      <c r="F550" s="2">
        <v>2.1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 t="s">
        <v>751</v>
      </c>
      <c r="B551" s="2"/>
      <c r="C551" s="2" t="s">
        <v>647</v>
      </c>
      <c r="D551" s="2" t="s">
        <v>557</v>
      </c>
      <c r="E551" s="2">
        <v>79.0</v>
      </c>
      <c r="F551" s="2">
        <v>3.7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 t="s">
        <v>751</v>
      </c>
      <c r="B552" s="2"/>
      <c r="C552" s="2" t="s">
        <v>647</v>
      </c>
      <c r="D552" s="2" t="s">
        <v>557</v>
      </c>
      <c r="E552" s="2">
        <v>109.0</v>
      </c>
      <c r="F552" s="2">
        <v>3.3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 t="s">
        <v>751</v>
      </c>
      <c r="B553" s="2"/>
      <c r="C553" s="2" t="s">
        <v>647</v>
      </c>
      <c r="D553" s="2" t="s">
        <v>557</v>
      </c>
      <c r="E553" s="2">
        <v>64.0</v>
      </c>
      <c r="F553" s="2">
        <v>2.1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 t="s">
        <v>751</v>
      </c>
      <c r="B554" s="2"/>
      <c r="C554" s="2" t="s">
        <v>647</v>
      </c>
      <c r="D554" s="2" t="s">
        <v>557</v>
      </c>
      <c r="E554" s="2">
        <v>109.0</v>
      </c>
      <c r="F554" s="2">
        <v>3.3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 t="s">
        <v>751</v>
      </c>
      <c r="B555" s="2"/>
      <c r="C555" s="2" t="s">
        <v>647</v>
      </c>
      <c r="D555" s="2" t="s">
        <v>557</v>
      </c>
      <c r="E555" s="2">
        <v>147.0</v>
      </c>
      <c r="F555" s="2">
        <v>3.0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 t="s">
        <v>751</v>
      </c>
      <c r="B556" s="2"/>
      <c r="C556" s="2" t="s">
        <v>647</v>
      </c>
      <c r="D556" s="2" t="s">
        <v>557</v>
      </c>
      <c r="E556" s="2">
        <v>147.0</v>
      </c>
      <c r="F556" s="2">
        <v>3.0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 t="s">
        <v>751</v>
      </c>
      <c r="B557" s="2"/>
      <c r="C557" s="2" t="s">
        <v>647</v>
      </c>
      <c r="D557" s="2" t="s">
        <v>559</v>
      </c>
      <c r="E557" s="2">
        <v>112.0</v>
      </c>
      <c r="F557" s="2">
        <v>4.0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 t="s">
        <v>751</v>
      </c>
      <c r="B558" s="2"/>
      <c r="C558" s="2" t="s">
        <v>647</v>
      </c>
      <c r="D558" s="2" t="s">
        <v>559</v>
      </c>
      <c r="E558" s="2">
        <v>112.0</v>
      </c>
      <c r="F558" s="2">
        <v>4.0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 t="s">
        <v>751</v>
      </c>
      <c r="B559" s="2"/>
      <c r="C559" s="2" t="s">
        <v>647</v>
      </c>
      <c r="D559" s="2" t="s">
        <v>559</v>
      </c>
      <c r="E559" s="2">
        <v>112.0</v>
      </c>
      <c r="F559" s="2">
        <v>4.0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 t="s">
        <v>751</v>
      </c>
      <c r="B560" s="2"/>
      <c r="C560" s="2" t="s">
        <v>647</v>
      </c>
      <c r="D560" s="2" t="s">
        <v>559</v>
      </c>
      <c r="E560" s="2">
        <v>35.0</v>
      </c>
      <c r="F560" s="2">
        <v>4.0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 t="s">
        <v>751</v>
      </c>
      <c r="B561" s="2"/>
      <c r="C561" s="2" t="s">
        <v>647</v>
      </c>
      <c r="D561" s="2" t="s">
        <v>559</v>
      </c>
      <c r="E561" s="2">
        <v>28.0</v>
      </c>
      <c r="F561" s="2">
        <v>2.7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 t="s">
        <v>751</v>
      </c>
      <c r="B562" s="2"/>
      <c r="C562" s="2" t="s">
        <v>647</v>
      </c>
      <c r="D562" s="2" t="s">
        <v>559</v>
      </c>
      <c r="E562" s="2">
        <v>28.0</v>
      </c>
      <c r="F562" s="2">
        <v>2.7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 t="s">
        <v>751</v>
      </c>
      <c r="B563" s="2"/>
      <c r="C563" s="2" t="s">
        <v>647</v>
      </c>
      <c r="D563" s="2" t="s">
        <v>559</v>
      </c>
      <c r="E563" s="2">
        <v>75.0</v>
      </c>
      <c r="F563" s="2">
        <v>4.3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 t="s">
        <v>751</v>
      </c>
      <c r="B564" s="2"/>
      <c r="C564" s="2" t="s">
        <v>647</v>
      </c>
      <c r="D564" s="2" t="s">
        <v>559</v>
      </c>
      <c r="E564" s="2">
        <v>75.0</v>
      </c>
      <c r="F564" s="2">
        <v>4.3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 t="s">
        <v>751</v>
      </c>
      <c r="B565" s="2"/>
      <c r="C565" s="2" t="s">
        <v>647</v>
      </c>
      <c r="D565" s="2" t="s">
        <v>559</v>
      </c>
      <c r="E565" s="2">
        <v>75.0</v>
      </c>
      <c r="F565" s="2">
        <v>4.3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 t="s">
        <v>751</v>
      </c>
      <c r="B566" s="2"/>
      <c r="C566" s="2" t="s">
        <v>647</v>
      </c>
      <c r="D566" s="2" t="s">
        <v>477</v>
      </c>
      <c r="E566" s="2">
        <v>38.0</v>
      </c>
      <c r="F566" s="2">
        <v>6.03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 t="s">
        <v>751</v>
      </c>
      <c r="B567" s="2"/>
      <c r="C567" s="2" t="s">
        <v>647</v>
      </c>
      <c r="D567" s="2" t="s">
        <v>477</v>
      </c>
      <c r="E567" s="2">
        <v>131.0</v>
      </c>
      <c r="F567" s="2">
        <v>6.82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 t="s">
        <v>751</v>
      </c>
      <c r="B568" s="2"/>
      <c r="C568" s="2" t="s">
        <v>647</v>
      </c>
      <c r="D568" s="2" t="s">
        <v>477</v>
      </c>
      <c r="E568" s="2">
        <v>131.0</v>
      </c>
      <c r="F568" s="2">
        <v>6.5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 t="s">
        <v>751</v>
      </c>
      <c r="B569" s="2"/>
      <c r="C569" s="2" t="s">
        <v>647</v>
      </c>
      <c r="D569" s="2" t="s">
        <v>559</v>
      </c>
      <c r="E569" s="2">
        <v>75.0</v>
      </c>
      <c r="F569" s="2">
        <v>4.7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 t="s">
        <v>751</v>
      </c>
      <c r="B570" s="2"/>
      <c r="C570" s="2" t="s">
        <v>647</v>
      </c>
      <c r="D570" s="2" t="s">
        <v>559</v>
      </c>
      <c r="E570" s="2">
        <v>28.0</v>
      </c>
      <c r="F570" s="2">
        <v>2.8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 t="s">
        <v>812</v>
      </c>
      <c r="B571" s="2"/>
      <c r="C571" s="2" t="s">
        <v>647</v>
      </c>
      <c r="D571" s="2" t="s">
        <v>557</v>
      </c>
      <c r="E571" s="2">
        <v>50.0</v>
      </c>
      <c r="F571" s="2">
        <v>2.96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 t="s">
        <v>812</v>
      </c>
      <c r="B572" s="2"/>
      <c r="C572" s="2" t="s">
        <v>647</v>
      </c>
      <c r="D572" s="2" t="s">
        <v>557</v>
      </c>
      <c r="E572" s="2">
        <v>16.0</v>
      </c>
      <c r="F572" s="2">
        <v>2.11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 t="s">
        <v>812</v>
      </c>
      <c r="B573" s="2"/>
      <c r="C573" s="2" t="s">
        <v>647</v>
      </c>
      <c r="D573" s="2" t="s">
        <v>559</v>
      </c>
      <c r="E573" s="2">
        <v>36.0</v>
      </c>
      <c r="F573" s="2">
        <v>4.33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 t="s">
        <v>824</v>
      </c>
      <c r="B574" s="2"/>
      <c r="C574" s="2" t="s">
        <v>647</v>
      </c>
      <c r="D574" s="2" t="s">
        <v>477</v>
      </c>
      <c r="E574" s="2">
        <v>95.0</v>
      </c>
      <c r="F574" s="2">
        <v>5.84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 t="s">
        <v>828</v>
      </c>
      <c r="B575" s="2"/>
      <c r="C575" s="2" t="s">
        <v>647</v>
      </c>
      <c r="D575" s="2" t="s">
        <v>477</v>
      </c>
      <c r="E575" s="2">
        <v>67.0</v>
      </c>
      <c r="F575" s="2">
        <v>6.3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 t="s">
        <v>828</v>
      </c>
      <c r="B576" s="2"/>
      <c r="C576" s="2" t="s">
        <v>647</v>
      </c>
      <c r="D576" s="2" t="s">
        <v>477</v>
      </c>
      <c r="E576" s="2">
        <v>72.0</v>
      </c>
      <c r="F576" s="2">
        <v>5.6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 t="s">
        <v>834</v>
      </c>
      <c r="B577" s="2"/>
      <c r="C577" s="2" t="s">
        <v>647</v>
      </c>
      <c r="D577" s="2" t="s">
        <v>477</v>
      </c>
      <c r="E577" s="2">
        <v>117.0</v>
      </c>
      <c r="F577" s="2">
        <v>6.79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 t="s">
        <v>834</v>
      </c>
      <c r="B578" s="2"/>
      <c r="C578" s="2" t="s">
        <v>647</v>
      </c>
      <c r="D578" s="2" t="s">
        <v>477</v>
      </c>
      <c r="E578" s="2">
        <v>120.0</v>
      </c>
      <c r="F578" s="2">
        <v>6.37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 t="s">
        <v>834</v>
      </c>
      <c r="B579" s="2"/>
      <c r="C579" s="2" t="s">
        <v>647</v>
      </c>
      <c r="D579" s="2" t="s">
        <v>477</v>
      </c>
      <c r="E579" s="2">
        <v>82.0</v>
      </c>
      <c r="F579" s="2">
        <v>6.94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 t="s">
        <v>834</v>
      </c>
      <c r="B580" s="2"/>
      <c r="C580" s="2" t="s">
        <v>647</v>
      </c>
      <c r="D580" s="2" t="s">
        <v>477</v>
      </c>
      <c r="E580" s="2">
        <v>114.0</v>
      </c>
      <c r="F580" s="2">
        <v>5.87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 t="s">
        <v>834</v>
      </c>
      <c r="B581" s="2"/>
      <c r="C581" s="2" t="s">
        <v>647</v>
      </c>
      <c r="D581" s="2" t="s">
        <v>477</v>
      </c>
      <c r="E581" s="2">
        <v>37.0</v>
      </c>
      <c r="F581" s="2">
        <v>7.8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 t="s">
        <v>834</v>
      </c>
      <c r="B582" s="2"/>
      <c r="C582" s="2" t="s">
        <v>647</v>
      </c>
      <c r="D582" s="2" t="s">
        <v>477</v>
      </c>
      <c r="E582" s="2">
        <v>117.0</v>
      </c>
      <c r="F582" s="2">
        <v>6.79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 t="s">
        <v>834</v>
      </c>
      <c r="B583" s="2"/>
      <c r="C583" s="2" t="s">
        <v>647</v>
      </c>
      <c r="D583" s="2" t="s">
        <v>477</v>
      </c>
      <c r="E583" s="2">
        <v>117.0</v>
      </c>
      <c r="F583" s="2">
        <v>6.7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 t="s">
        <v>834</v>
      </c>
      <c r="B584" s="2"/>
      <c r="C584" s="2" t="s">
        <v>647</v>
      </c>
      <c r="D584" s="2" t="s">
        <v>477</v>
      </c>
      <c r="E584" s="2">
        <v>49.0</v>
      </c>
      <c r="F584" s="2">
        <v>5.61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 t="s">
        <v>834</v>
      </c>
      <c r="B585" s="2"/>
      <c r="C585" s="2" t="s">
        <v>647</v>
      </c>
      <c r="D585" s="2" t="s">
        <v>477</v>
      </c>
      <c r="E585" s="2">
        <v>114.0</v>
      </c>
      <c r="F585" s="2">
        <v>5.87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 t="s">
        <v>834</v>
      </c>
      <c r="B586" s="2"/>
      <c r="C586" s="2" t="s">
        <v>647</v>
      </c>
      <c r="D586" s="2" t="s">
        <v>477</v>
      </c>
      <c r="E586" s="2">
        <v>120.0</v>
      </c>
      <c r="F586" s="2">
        <v>6.56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 t="s">
        <v>834</v>
      </c>
      <c r="B587" s="2"/>
      <c r="C587" s="2" t="s">
        <v>647</v>
      </c>
      <c r="D587" s="2" t="s">
        <v>477</v>
      </c>
      <c r="E587" s="2">
        <v>37.0</v>
      </c>
      <c r="F587" s="2">
        <v>7.8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 t="s">
        <v>865</v>
      </c>
      <c r="B588" s="2"/>
      <c r="C588" s="2" t="s">
        <v>647</v>
      </c>
      <c r="D588" s="2" t="s">
        <v>557</v>
      </c>
      <c r="E588" s="2">
        <v>156.0</v>
      </c>
      <c r="F588" s="2">
        <v>2.22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 t="s">
        <v>865</v>
      </c>
      <c r="B589" s="2"/>
      <c r="C589" s="2" t="s">
        <v>647</v>
      </c>
      <c r="D589" s="2" t="s">
        <v>559</v>
      </c>
      <c r="E589" s="2">
        <v>148.0</v>
      </c>
      <c r="F589" s="2">
        <v>3.21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 t="s">
        <v>865</v>
      </c>
      <c r="B590" s="2"/>
      <c r="C590" s="2" t="s">
        <v>647</v>
      </c>
      <c r="D590" s="2" t="s">
        <v>480</v>
      </c>
      <c r="E590" s="2">
        <v>184.0</v>
      </c>
      <c r="F590" s="2">
        <v>11.1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 t="s">
        <v>865</v>
      </c>
      <c r="B591" s="2"/>
      <c r="C591" s="2" t="s">
        <v>647</v>
      </c>
      <c r="D591" s="2" t="s">
        <v>480</v>
      </c>
      <c r="E591" s="2">
        <v>163.0</v>
      </c>
      <c r="F591" s="2">
        <v>10.13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 t="s">
        <v>875</v>
      </c>
      <c r="B592" s="2"/>
      <c r="C592" s="2" t="s">
        <v>647</v>
      </c>
      <c r="D592" s="2" t="s">
        <v>557</v>
      </c>
      <c r="E592" s="2">
        <v>44.0</v>
      </c>
      <c r="F592" s="2">
        <v>5.6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 t="s">
        <v>875</v>
      </c>
      <c r="B593" s="2"/>
      <c r="C593" s="2" t="s">
        <v>647</v>
      </c>
      <c r="D593" s="2" t="s">
        <v>557</v>
      </c>
      <c r="E593" s="2">
        <v>61.0</v>
      </c>
      <c r="F593" s="2">
        <v>7.1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 t="s">
        <v>875</v>
      </c>
      <c r="B594" s="2"/>
      <c r="C594" s="2" t="s">
        <v>647</v>
      </c>
      <c r="D594" s="2" t="s">
        <v>557</v>
      </c>
      <c r="E594" s="2">
        <v>7.0</v>
      </c>
      <c r="F594" s="2">
        <v>5.6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 t="s">
        <v>880</v>
      </c>
      <c r="B595" s="2"/>
      <c r="C595" s="2" t="s">
        <v>647</v>
      </c>
      <c r="D595" s="2" t="s">
        <v>478</v>
      </c>
      <c r="E595" s="2">
        <v>37.0</v>
      </c>
      <c r="F595" s="2">
        <v>6.6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 t="s">
        <v>884</v>
      </c>
      <c r="B596" s="2"/>
      <c r="C596" s="2" t="s">
        <v>647</v>
      </c>
      <c r="D596" s="2" t="s">
        <v>557</v>
      </c>
      <c r="E596" s="2">
        <v>5121.0</v>
      </c>
      <c r="F596" s="2">
        <v>6.1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 t="s">
        <v>887</v>
      </c>
      <c r="B597" s="2"/>
      <c r="C597" s="2" t="s">
        <v>647</v>
      </c>
      <c r="D597" s="2" t="s">
        <v>479</v>
      </c>
      <c r="E597" s="2">
        <v>142.0</v>
      </c>
      <c r="F597" s="2">
        <v>10.5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 t="s">
        <v>890</v>
      </c>
      <c r="B598" s="2"/>
      <c r="C598" s="2" t="s">
        <v>647</v>
      </c>
      <c r="D598" s="2" t="s">
        <v>557</v>
      </c>
      <c r="E598" s="2">
        <v>38.0</v>
      </c>
      <c r="F598" s="2">
        <v>2.92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 t="s">
        <v>890</v>
      </c>
      <c r="B599" s="2"/>
      <c r="C599" s="2" t="s">
        <v>647</v>
      </c>
      <c r="D599" s="2" t="s">
        <v>477</v>
      </c>
      <c r="E599" s="2">
        <v>22.0</v>
      </c>
      <c r="F599" s="2">
        <v>4.79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 t="s">
        <v>890</v>
      </c>
      <c r="B600" s="2"/>
      <c r="C600" s="2" t="s">
        <v>647</v>
      </c>
      <c r="D600" s="2" t="s">
        <v>480</v>
      </c>
      <c r="E600" s="2">
        <v>32.0</v>
      </c>
      <c r="F600" s="2">
        <v>10.43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 t="s">
        <v>901</v>
      </c>
      <c r="B601" s="2"/>
      <c r="C601" s="2" t="s">
        <v>902</v>
      </c>
      <c r="D601" s="2" t="s">
        <v>557</v>
      </c>
      <c r="E601" s="2">
        <v>98.0</v>
      </c>
      <c r="F601" s="2">
        <v>6.96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 t="s">
        <v>901</v>
      </c>
      <c r="B602" s="2"/>
      <c r="C602" s="2" t="s">
        <v>905</v>
      </c>
      <c r="D602" s="2" t="s">
        <v>557</v>
      </c>
      <c r="E602" s="2">
        <v>98.0</v>
      </c>
      <c r="F602" s="2">
        <v>7.94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 t="s">
        <v>901</v>
      </c>
      <c r="B603" s="2"/>
      <c r="C603" s="2" t="s">
        <v>908</v>
      </c>
      <c r="D603" s="2" t="s">
        <v>557</v>
      </c>
      <c r="E603" s="2">
        <v>98.0</v>
      </c>
      <c r="F603" s="2">
        <v>7.94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 t="s">
        <v>901</v>
      </c>
      <c r="B604" s="2"/>
      <c r="C604" s="2" t="s">
        <v>909</v>
      </c>
      <c r="D604" s="2" t="s">
        <v>557</v>
      </c>
      <c r="E604" s="2">
        <v>98.0</v>
      </c>
      <c r="F604" s="2">
        <v>8.02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 t="s">
        <v>901</v>
      </c>
      <c r="B605" s="2"/>
      <c r="C605" s="2" t="s">
        <v>913</v>
      </c>
      <c r="D605" s="2" t="s">
        <v>557</v>
      </c>
      <c r="E605" s="2">
        <v>98.0</v>
      </c>
      <c r="F605" s="2">
        <v>7.24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 t="s">
        <v>901</v>
      </c>
      <c r="B606" s="2"/>
      <c r="C606" s="2" t="s">
        <v>917</v>
      </c>
      <c r="D606" s="2" t="s">
        <v>557</v>
      </c>
      <c r="E606" s="2">
        <v>98.0</v>
      </c>
      <c r="F606" s="2">
        <v>7.72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 t="s">
        <v>901</v>
      </c>
      <c r="B607" s="2"/>
      <c r="C607" s="2" t="s">
        <v>920</v>
      </c>
      <c r="D607" s="2" t="s">
        <v>557</v>
      </c>
      <c r="E607" s="2">
        <v>98.0</v>
      </c>
      <c r="F607" s="2">
        <v>7.53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 t="s">
        <v>901</v>
      </c>
      <c r="B608" s="2"/>
      <c r="C608" s="2" t="s">
        <v>924</v>
      </c>
      <c r="D608" s="2" t="s">
        <v>557</v>
      </c>
      <c r="E608" s="2">
        <v>98.0</v>
      </c>
      <c r="F608" s="2">
        <v>7.64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 t="s">
        <v>901</v>
      </c>
      <c r="B609" s="2"/>
      <c r="C609" s="2" t="s">
        <v>928</v>
      </c>
      <c r="D609" s="2" t="s">
        <v>557</v>
      </c>
      <c r="E609" s="2">
        <v>98.0</v>
      </c>
      <c r="F609" s="2">
        <v>7.94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 t="s">
        <v>901</v>
      </c>
      <c r="B610" s="2"/>
      <c r="C610" s="2" t="s">
        <v>932</v>
      </c>
      <c r="D610" s="2" t="s">
        <v>557</v>
      </c>
      <c r="E610" s="2">
        <v>98.0</v>
      </c>
      <c r="F610" s="2">
        <v>7.89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 t="s">
        <v>901</v>
      </c>
      <c r="B611" s="2"/>
      <c r="C611" s="2" t="s">
        <v>937</v>
      </c>
      <c r="D611" s="2" t="s">
        <v>557</v>
      </c>
      <c r="E611" s="2">
        <v>98.0</v>
      </c>
      <c r="F611" s="2">
        <v>8.04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 t="s">
        <v>901</v>
      </c>
      <c r="B612" s="2"/>
      <c r="C612" s="2" t="s">
        <v>940</v>
      </c>
      <c r="D612" s="2" t="s">
        <v>557</v>
      </c>
      <c r="E612" s="2">
        <v>98.0</v>
      </c>
      <c r="F612" s="2">
        <v>7.75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 t="s">
        <v>901</v>
      </c>
      <c r="B613" s="2"/>
      <c r="C613" s="2" t="s">
        <v>943</v>
      </c>
      <c r="D613" s="2" t="s">
        <v>557</v>
      </c>
      <c r="E613" s="2">
        <v>98.0</v>
      </c>
      <c r="F613" s="2">
        <v>8.0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 t="s">
        <v>901</v>
      </c>
      <c r="B614" s="2"/>
      <c r="C614" s="2" t="s">
        <v>948</v>
      </c>
      <c r="D614" s="2" t="s">
        <v>557</v>
      </c>
      <c r="E614" s="2">
        <v>98.0</v>
      </c>
      <c r="F614" s="2">
        <v>7.7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 t="s">
        <v>901</v>
      </c>
      <c r="B615" s="2"/>
      <c r="C615" s="2" t="s">
        <v>951</v>
      </c>
      <c r="D615" s="2" t="s">
        <v>557</v>
      </c>
      <c r="E615" s="2">
        <v>98.0</v>
      </c>
      <c r="F615" s="2">
        <v>6.87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 t="s">
        <v>901</v>
      </c>
      <c r="B616" s="2"/>
      <c r="C616" s="2" t="s">
        <v>956</v>
      </c>
      <c r="D616" s="2" t="s">
        <v>557</v>
      </c>
      <c r="E616" s="2">
        <v>98.0</v>
      </c>
      <c r="F616" s="2">
        <v>6.75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 t="s">
        <v>901</v>
      </c>
      <c r="B617" s="2"/>
      <c r="C617" s="2" t="s">
        <v>959</v>
      </c>
      <c r="D617" s="2" t="s">
        <v>557</v>
      </c>
      <c r="E617" s="2">
        <v>98.0</v>
      </c>
      <c r="F617" s="2">
        <v>6.97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 t="s">
        <v>901</v>
      </c>
      <c r="B618" s="2"/>
      <c r="C618" s="2" t="s">
        <v>965</v>
      </c>
      <c r="D618" s="2" t="s">
        <v>557</v>
      </c>
      <c r="E618" s="2">
        <v>98.0</v>
      </c>
      <c r="F618" s="2">
        <v>7.54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 t="s">
        <v>901</v>
      </c>
      <c r="B619" s="2"/>
      <c r="C619" s="2" t="s">
        <v>966</v>
      </c>
      <c r="D619" s="2" t="s">
        <v>557</v>
      </c>
      <c r="E619" s="2">
        <v>98.0</v>
      </c>
      <c r="F619" s="2">
        <v>7.56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 t="s">
        <v>971</v>
      </c>
      <c r="B620" s="2"/>
      <c r="C620" s="2" t="s">
        <v>647</v>
      </c>
      <c r="D620" s="2" t="s">
        <v>477</v>
      </c>
      <c r="E620" s="2">
        <v>33.0</v>
      </c>
      <c r="F620" s="2">
        <v>4.6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 t="s">
        <v>971</v>
      </c>
      <c r="B621" s="2"/>
      <c r="C621" s="2" t="s">
        <v>647</v>
      </c>
      <c r="D621" s="2" t="s">
        <v>477</v>
      </c>
      <c r="E621" s="2">
        <v>33.0</v>
      </c>
      <c r="F621" s="2">
        <v>7.2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 t="s">
        <v>974</v>
      </c>
      <c r="B622" s="2"/>
      <c r="C622" s="2" t="s">
        <v>647</v>
      </c>
      <c r="D622" s="2" t="s">
        <v>559</v>
      </c>
      <c r="E622" s="2">
        <v>17.0</v>
      </c>
      <c r="F622" s="2">
        <v>4.31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 t="s">
        <v>974</v>
      </c>
      <c r="B623" s="2"/>
      <c r="C623" s="2" t="s">
        <v>647</v>
      </c>
      <c r="D623" s="2" t="s">
        <v>559</v>
      </c>
      <c r="E623" s="2">
        <v>178.0</v>
      </c>
      <c r="F623" s="2">
        <v>4.1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 t="s">
        <v>974</v>
      </c>
      <c r="B624" s="2"/>
      <c r="C624" s="2" t="s">
        <v>647</v>
      </c>
      <c r="D624" s="2" t="s">
        <v>559</v>
      </c>
      <c r="E624" s="2">
        <v>126.0</v>
      </c>
      <c r="F624" s="2">
        <v>4.51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 t="s">
        <v>974</v>
      </c>
      <c r="B625" s="2"/>
      <c r="C625" s="2" t="s">
        <v>647</v>
      </c>
      <c r="D625" s="2" t="s">
        <v>559</v>
      </c>
      <c r="E625" s="2">
        <v>56.0</v>
      </c>
      <c r="F625" s="2">
        <v>4.55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 t="s">
        <v>974</v>
      </c>
      <c r="B626" s="2"/>
      <c r="C626" s="2" t="s">
        <v>647</v>
      </c>
      <c r="D626" s="2" t="s">
        <v>477</v>
      </c>
      <c r="E626" s="2">
        <v>60.0</v>
      </c>
      <c r="F626" s="2">
        <v>4.01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 t="s">
        <v>974</v>
      </c>
      <c r="B627" s="2"/>
      <c r="C627" s="2" t="s">
        <v>647</v>
      </c>
      <c r="D627" s="2" t="s">
        <v>477</v>
      </c>
      <c r="E627" s="2">
        <v>32.0</v>
      </c>
      <c r="F627" s="2">
        <v>6.68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 t="s">
        <v>974</v>
      </c>
      <c r="B628" s="2"/>
      <c r="C628" s="2" t="s">
        <v>647</v>
      </c>
      <c r="D628" s="2" t="s">
        <v>477</v>
      </c>
      <c r="E628" s="2">
        <v>32.0</v>
      </c>
      <c r="F628" s="2">
        <v>6.68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 t="s">
        <v>988</v>
      </c>
      <c r="B629" s="2"/>
      <c r="C629" s="2" t="s">
        <v>647</v>
      </c>
      <c r="D629" s="2" t="s">
        <v>477</v>
      </c>
      <c r="E629" s="2">
        <v>47.0</v>
      </c>
      <c r="F629" s="2">
        <v>5.8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 t="s">
        <v>991</v>
      </c>
      <c r="B630" s="2"/>
      <c r="C630" s="2" t="s">
        <v>647</v>
      </c>
      <c r="D630" s="2" t="s">
        <v>557</v>
      </c>
      <c r="E630" s="2">
        <v>97.0</v>
      </c>
      <c r="F630" s="2">
        <v>6.43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 t="s">
        <v>994</v>
      </c>
      <c r="B631" s="2"/>
      <c r="C631" s="2" t="s">
        <v>647</v>
      </c>
      <c r="D631" s="2" t="s">
        <v>480</v>
      </c>
      <c r="E631" s="2">
        <v>312.0</v>
      </c>
      <c r="F631" s="2">
        <v>9.58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</sheetData>
  <mergeCells count="1">
    <mergeCell ref="A1:F1"/>
  </mergeCells>
  <hyperlinks>
    <hyperlink r:id="rId1" ref="H60"/>
    <hyperlink r:id="rId2" ref="H62"/>
    <hyperlink r:id="rId3" ref="H63"/>
    <hyperlink r:id="rId4" ref="H64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689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690</v>
      </c>
      <c r="B2" s="2" t="s">
        <v>691</v>
      </c>
      <c r="C2" s="2" t="s">
        <v>692</v>
      </c>
      <c r="D2" s="2" t="s">
        <v>693</v>
      </c>
      <c r="E2" s="2" t="s">
        <v>694</v>
      </c>
      <c r="F2" s="2" t="s">
        <v>695</v>
      </c>
      <c r="G2" s="2" t="s">
        <v>696</v>
      </c>
      <c r="H2" s="2" t="s">
        <v>697</v>
      </c>
      <c r="I2" s="2" t="s">
        <v>698</v>
      </c>
      <c r="J2" s="2" t="s">
        <v>699</v>
      </c>
      <c r="K2" s="2" t="s">
        <v>700</v>
      </c>
      <c r="L2" s="2" t="s">
        <v>701</v>
      </c>
      <c r="M2" s="2" t="s">
        <v>702</v>
      </c>
      <c r="N2" s="2" t="s">
        <v>703</v>
      </c>
      <c r="O2" s="2" t="s">
        <v>704</v>
      </c>
      <c r="P2" s="2" t="s">
        <v>705</v>
      </c>
      <c r="Q2" s="2" t="s">
        <v>706</v>
      </c>
      <c r="R2" s="2" t="s">
        <v>707</v>
      </c>
      <c r="S2" s="2" t="s">
        <v>708</v>
      </c>
      <c r="T2" s="2" t="s">
        <v>709</v>
      </c>
      <c r="U2" s="2" t="s">
        <v>710</v>
      </c>
      <c r="V2" s="2" t="s">
        <v>711</v>
      </c>
      <c r="W2" s="2" t="s">
        <v>712</v>
      </c>
      <c r="X2" s="2" t="s">
        <v>713</v>
      </c>
      <c r="Y2" s="2" t="s">
        <v>714</v>
      </c>
      <c r="Z2" s="2"/>
    </row>
    <row r="3">
      <c r="A3" s="2">
        <v>0.0</v>
      </c>
      <c r="B3" s="2">
        <v>0.35</v>
      </c>
      <c r="C3" s="2">
        <v>0.99</v>
      </c>
      <c r="D3" s="2">
        <v>0.98</v>
      </c>
      <c r="E3" s="2">
        <v>0.96</v>
      </c>
      <c r="F3" s="2">
        <v>0.92</v>
      </c>
      <c r="G3" s="2">
        <v>1.26</v>
      </c>
      <c r="H3" s="2">
        <v>0.38</v>
      </c>
      <c r="I3" s="2">
        <v>0.97</v>
      </c>
      <c r="J3" s="2">
        <v>0.93</v>
      </c>
      <c r="K3" s="2">
        <v>0.3</v>
      </c>
      <c r="L3" s="2">
        <v>0.96</v>
      </c>
      <c r="M3" s="2">
        <v>0.93</v>
      </c>
      <c r="N3" s="2">
        <v>0.32</v>
      </c>
      <c r="O3" s="2">
        <v>0.93</v>
      </c>
      <c r="P3" s="2">
        <v>0.87</v>
      </c>
      <c r="Q3" s="2">
        <v>0.07</v>
      </c>
      <c r="R3" s="2">
        <v>1.0</v>
      </c>
      <c r="S3" s="2">
        <v>1.0</v>
      </c>
      <c r="T3" s="2">
        <v>0.47</v>
      </c>
      <c r="U3" s="2">
        <v>1.0</v>
      </c>
      <c r="V3" s="2">
        <v>0.33</v>
      </c>
      <c r="W3" s="2">
        <v>0.4</v>
      </c>
      <c r="X3" s="2">
        <v>0.96</v>
      </c>
      <c r="Y3" s="2">
        <v>0.87</v>
      </c>
      <c r="Z3" s="2"/>
    </row>
    <row r="4">
      <c r="A4" s="2">
        <v>1.0</v>
      </c>
      <c r="B4" s="2">
        <v>0.56</v>
      </c>
      <c r="C4" s="2">
        <v>0.96</v>
      </c>
      <c r="D4" s="2">
        <v>0.93</v>
      </c>
      <c r="E4" s="2">
        <v>0.91</v>
      </c>
      <c r="F4" s="2">
        <v>0.82</v>
      </c>
      <c r="G4" s="2">
        <v>2.73</v>
      </c>
      <c r="H4" s="2">
        <v>0.66</v>
      </c>
      <c r="I4" s="2">
        <v>0.9</v>
      </c>
      <c r="J4" s="2">
        <v>0.81</v>
      </c>
      <c r="K4" s="2">
        <v>0.29</v>
      </c>
      <c r="L4" s="2">
        <v>0.97</v>
      </c>
      <c r="M4" s="2">
        <v>0.93</v>
      </c>
      <c r="N4" s="2">
        <v>0.37</v>
      </c>
      <c r="O4" s="2">
        <v>0.88</v>
      </c>
      <c r="P4" s="2">
        <v>0.77</v>
      </c>
      <c r="Q4" s="2">
        <v>0.99</v>
      </c>
      <c r="R4" s="2">
        <v>0.97</v>
      </c>
      <c r="S4" s="2">
        <v>0.2</v>
      </c>
      <c r="T4" s="2">
        <v>0.23</v>
      </c>
      <c r="U4" s="2">
        <v>0.0</v>
      </c>
      <c r="V4" s="2" t="s">
        <v>715</v>
      </c>
      <c r="W4" s="2">
        <v>1.07</v>
      </c>
      <c r="X4" s="2">
        <v>0.69</v>
      </c>
      <c r="Y4" s="2">
        <v>0.43</v>
      </c>
      <c r="Z4" s="2"/>
    </row>
    <row r="5">
      <c r="A5" s="2">
        <v>2.0</v>
      </c>
      <c r="B5" s="2">
        <v>0.48</v>
      </c>
      <c r="C5" s="2">
        <v>0.98</v>
      </c>
      <c r="D5" s="2">
        <v>0.96</v>
      </c>
      <c r="E5" s="2">
        <v>0.94</v>
      </c>
      <c r="F5" s="2">
        <v>0.87</v>
      </c>
      <c r="G5" s="2">
        <v>2.7</v>
      </c>
      <c r="H5" s="2">
        <v>0.68</v>
      </c>
      <c r="I5" s="2">
        <v>0.92</v>
      </c>
      <c r="J5" s="2">
        <v>0.82</v>
      </c>
      <c r="K5" s="2">
        <v>0.48</v>
      </c>
      <c r="L5" s="2">
        <v>0.93</v>
      </c>
      <c r="M5" s="2">
        <v>0.85</v>
      </c>
      <c r="N5" s="2">
        <v>0.31</v>
      </c>
      <c r="O5" s="2">
        <v>0.97</v>
      </c>
      <c r="P5" s="2">
        <v>0.92</v>
      </c>
      <c r="Q5" s="2">
        <v>0.34</v>
      </c>
      <c r="R5" s="2">
        <v>0.99</v>
      </c>
      <c r="S5" s="2">
        <v>0.97</v>
      </c>
      <c r="T5" s="2">
        <v>0.33</v>
      </c>
      <c r="U5" s="2">
        <v>1.0</v>
      </c>
      <c r="V5" s="2">
        <v>0.95</v>
      </c>
      <c r="W5" s="2">
        <v>0.22</v>
      </c>
      <c r="X5" s="2">
        <v>0.98</v>
      </c>
      <c r="Y5" s="2">
        <v>0.95</v>
      </c>
      <c r="Z5" s="2"/>
    </row>
    <row r="6">
      <c r="A6" s="2">
        <v>3.0</v>
      </c>
      <c r="B6" s="2">
        <v>0.37</v>
      </c>
      <c r="C6" s="2">
        <v>0.99</v>
      </c>
      <c r="D6" s="2">
        <v>0.98</v>
      </c>
      <c r="E6" s="2">
        <v>0.95</v>
      </c>
      <c r="F6" s="2">
        <v>0.9</v>
      </c>
      <c r="G6" s="2">
        <v>1.64</v>
      </c>
      <c r="H6" s="2">
        <v>0.35</v>
      </c>
      <c r="I6" s="2">
        <v>0.97</v>
      </c>
      <c r="J6" s="2">
        <v>0.93</v>
      </c>
      <c r="K6" s="2">
        <v>0.37</v>
      </c>
      <c r="L6" s="2">
        <v>0.95</v>
      </c>
      <c r="M6" s="2">
        <v>0.88</v>
      </c>
      <c r="N6" s="2">
        <v>0.31</v>
      </c>
      <c r="O6" s="2">
        <v>0.94</v>
      </c>
      <c r="P6" s="2">
        <v>0.87</v>
      </c>
      <c r="Q6" s="2">
        <v>0.3</v>
      </c>
      <c r="R6" s="2">
        <v>1.0</v>
      </c>
      <c r="S6" s="2">
        <v>0.78</v>
      </c>
      <c r="T6" s="2">
        <v>0.05</v>
      </c>
      <c r="U6" s="2">
        <v>0.0</v>
      </c>
      <c r="V6" s="2" t="s">
        <v>715</v>
      </c>
      <c r="W6" s="2">
        <v>0.51</v>
      </c>
      <c r="X6" s="2">
        <v>0.88</v>
      </c>
      <c r="Y6" s="2">
        <v>0.76</v>
      </c>
      <c r="Z6" s="2"/>
    </row>
    <row r="7">
      <c r="A7" s="2">
        <v>4.0</v>
      </c>
      <c r="B7" s="2">
        <v>0.37</v>
      </c>
      <c r="C7" s="2">
        <v>0.99</v>
      </c>
      <c r="D7" s="2">
        <v>0.98</v>
      </c>
      <c r="E7" s="2">
        <v>0.95</v>
      </c>
      <c r="F7" s="2">
        <v>0.89</v>
      </c>
      <c r="G7" s="2">
        <v>1.24</v>
      </c>
      <c r="H7" s="2">
        <v>0.4</v>
      </c>
      <c r="I7" s="2">
        <v>0.96</v>
      </c>
      <c r="J7" s="2">
        <v>0.92</v>
      </c>
      <c r="K7" s="2">
        <v>0.27</v>
      </c>
      <c r="L7" s="2">
        <v>0.96</v>
      </c>
      <c r="M7" s="2">
        <v>0.92</v>
      </c>
      <c r="N7" s="2">
        <v>0.19</v>
      </c>
      <c r="O7" s="2">
        <v>0.97</v>
      </c>
      <c r="P7" s="2">
        <v>0.94</v>
      </c>
      <c r="Q7" s="2">
        <v>0.16</v>
      </c>
      <c r="R7" s="2">
        <v>1.0</v>
      </c>
      <c r="S7" s="2">
        <v>0.99</v>
      </c>
      <c r="T7" s="2">
        <v>0.09</v>
      </c>
      <c r="U7" s="2">
        <v>0.0</v>
      </c>
      <c r="V7" s="2" t="s">
        <v>715</v>
      </c>
      <c r="W7" s="2">
        <v>0.63</v>
      </c>
      <c r="X7" s="2">
        <v>0.81</v>
      </c>
      <c r="Y7" s="2">
        <v>0.58</v>
      </c>
      <c r="Z7" s="2"/>
    </row>
    <row r="8">
      <c r="A8" s="2">
        <v>5.0</v>
      </c>
      <c r="B8" s="2">
        <v>0.5</v>
      </c>
      <c r="C8" s="2">
        <v>0.98</v>
      </c>
      <c r="D8" s="2">
        <v>0.96</v>
      </c>
      <c r="E8" s="2">
        <v>0.92</v>
      </c>
      <c r="F8" s="2">
        <v>0.84</v>
      </c>
      <c r="G8" s="2">
        <v>2.92</v>
      </c>
      <c r="H8" s="2">
        <v>0.56</v>
      </c>
      <c r="I8" s="2">
        <v>0.94</v>
      </c>
      <c r="J8" s="2">
        <v>0.86</v>
      </c>
      <c r="K8" s="2">
        <v>0.38</v>
      </c>
      <c r="L8" s="2">
        <v>0.93</v>
      </c>
      <c r="M8" s="2">
        <v>0.87</v>
      </c>
      <c r="N8" s="2">
        <v>0.41</v>
      </c>
      <c r="O8" s="2">
        <v>0.89</v>
      </c>
      <c r="P8" s="2">
        <v>0.77</v>
      </c>
      <c r="Q8" s="2">
        <v>0.17</v>
      </c>
      <c r="R8" s="2">
        <v>1.0</v>
      </c>
      <c r="S8" s="2">
        <v>0.99</v>
      </c>
      <c r="T8" s="2">
        <v>0.09</v>
      </c>
      <c r="U8" s="2">
        <v>0.0</v>
      </c>
      <c r="V8" s="2">
        <v>0.0</v>
      </c>
      <c r="W8" s="2">
        <v>0.8</v>
      </c>
      <c r="X8" s="2">
        <v>0.81</v>
      </c>
      <c r="Y8" s="2">
        <v>0.63</v>
      </c>
      <c r="Z8" s="2"/>
    </row>
    <row r="9">
      <c r="A9" s="2">
        <v>6.0</v>
      </c>
      <c r="B9" s="2">
        <v>0.57</v>
      </c>
      <c r="C9" s="2">
        <v>0.97</v>
      </c>
      <c r="D9" s="2">
        <v>0.93</v>
      </c>
      <c r="E9" s="2">
        <v>0.91</v>
      </c>
      <c r="F9" s="2">
        <v>0.82</v>
      </c>
      <c r="G9" s="2">
        <v>3.2</v>
      </c>
      <c r="H9" s="2">
        <v>0.75</v>
      </c>
      <c r="I9" s="2">
        <v>0.91</v>
      </c>
      <c r="J9" s="2">
        <v>0.8</v>
      </c>
      <c r="K9" s="2">
        <v>0.33</v>
      </c>
      <c r="L9" s="2">
        <v>0.97</v>
      </c>
      <c r="M9" s="2">
        <v>0.92</v>
      </c>
      <c r="N9" s="2">
        <v>0.41</v>
      </c>
      <c r="O9" s="2">
        <v>0.89</v>
      </c>
      <c r="P9" s="2">
        <v>0.77</v>
      </c>
      <c r="Q9" s="2">
        <v>0.49</v>
      </c>
      <c r="R9" s="2">
        <v>0.97</v>
      </c>
      <c r="S9" s="2">
        <v>0.92</v>
      </c>
      <c r="T9" s="2">
        <v>0.16</v>
      </c>
      <c r="U9" s="2">
        <v>0.0</v>
      </c>
      <c r="V9" s="2" t="s">
        <v>715</v>
      </c>
      <c r="W9" s="2">
        <v>1.07</v>
      </c>
      <c r="X9" s="2">
        <v>0.72</v>
      </c>
      <c r="Y9" s="2">
        <v>0.46</v>
      </c>
      <c r="Z9" s="2"/>
    </row>
    <row r="10">
      <c r="A10" s="2">
        <v>7.0</v>
      </c>
      <c r="B10" s="2">
        <v>0.33</v>
      </c>
      <c r="C10" s="2">
        <v>0.99</v>
      </c>
      <c r="D10" s="2">
        <v>0.98</v>
      </c>
      <c r="E10" s="2">
        <v>0.97</v>
      </c>
      <c r="F10" s="2">
        <v>0.94</v>
      </c>
      <c r="G10" s="2">
        <v>1.32</v>
      </c>
      <c r="H10" s="2">
        <v>0.27</v>
      </c>
      <c r="I10" s="2">
        <v>0.99</v>
      </c>
      <c r="J10" s="2">
        <v>0.97</v>
      </c>
      <c r="K10" s="2">
        <v>0.32</v>
      </c>
      <c r="L10" s="2">
        <v>0.96</v>
      </c>
      <c r="M10" s="2">
        <v>0.91</v>
      </c>
      <c r="N10" s="2">
        <v>0.45</v>
      </c>
      <c r="O10" s="2">
        <v>0.91</v>
      </c>
      <c r="P10" s="2">
        <v>0.83</v>
      </c>
      <c r="Q10" s="2">
        <v>0.36</v>
      </c>
      <c r="R10" s="2">
        <v>0.99</v>
      </c>
      <c r="S10" s="2">
        <v>0.98</v>
      </c>
      <c r="T10" s="2">
        <v>0.34</v>
      </c>
      <c r="U10" s="2">
        <v>-1.0</v>
      </c>
      <c r="V10" s="2">
        <v>-10.6</v>
      </c>
      <c r="W10" s="2">
        <v>0.32</v>
      </c>
      <c r="X10" s="2">
        <v>0.95</v>
      </c>
      <c r="Y10" s="2">
        <v>0.88</v>
      </c>
      <c r="Z10" s="2"/>
    </row>
    <row r="11">
      <c r="A11" s="2">
        <v>8.0</v>
      </c>
      <c r="B11" s="2">
        <v>0.3</v>
      </c>
      <c r="C11" s="2">
        <v>0.99</v>
      </c>
      <c r="D11" s="2">
        <v>0.98</v>
      </c>
      <c r="E11" s="2">
        <v>0.96</v>
      </c>
      <c r="F11" s="2">
        <v>0.92</v>
      </c>
      <c r="G11" s="2">
        <v>1.06</v>
      </c>
      <c r="H11" s="2">
        <v>0.38</v>
      </c>
      <c r="I11" s="2">
        <v>0.95</v>
      </c>
      <c r="J11" s="2">
        <v>0.89</v>
      </c>
      <c r="K11" s="2">
        <v>0.19</v>
      </c>
      <c r="L11" s="2">
        <v>0.98</v>
      </c>
      <c r="M11" s="2">
        <v>0.96</v>
      </c>
      <c r="N11" s="2">
        <v>0.29</v>
      </c>
      <c r="O11" s="2">
        <v>0.94</v>
      </c>
      <c r="P11" s="2">
        <v>0.89</v>
      </c>
      <c r="Q11" s="2">
        <v>0.14</v>
      </c>
      <c r="R11" s="2">
        <v>1.0</v>
      </c>
      <c r="S11" s="2">
        <v>0.95</v>
      </c>
      <c r="T11" s="2">
        <v>0.06</v>
      </c>
      <c r="U11" s="2">
        <v>0.0</v>
      </c>
      <c r="V11" s="2" t="s">
        <v>715</v>
      </c>
      <c r="W11" s="2">
        <v>0.33</v>
      </c>
      <c r="X11" s="2">
        <v>0.94</v>
      </c>
      <c r="Y11" s="2">
        <v>0.88</v>
      </c>
      <c r="Z11" s="2"/>
    </row>
    <row r="12">
      <c r="A12" s="2">
        <v>9.0</v>
      </c>
      <c r="B12" s="2">
        <v>0.45</v>
      </c>
      <c r="C12" s="2">
        <v>0.98</v>
      </c>
      <c r="D12" s="2">
        <v>0.96</v>
      </c>
      <c r="E12" s="2">
        <v>0.92</v>
      </c>
      <c r="F12" s="2">
        <v>0.84</v>
      </c>
      <c r="G12" s="2">
        <v>2.29</v>
      </c>
      <c r="H12" s="2">
        <v>0.54</v>
      </c>
      <c r="I12" s="2">
        <v>0.92</v>
      </c>
      <c r="J12" s="2">
        <v>0.84</v>
      </c>
      <c r="K12" s="2">
        <v>0.41</v>
      </c>
      <c r="L12" s="2">
        <v>0.91</v>
      </c>
      <c r="M12" s="2">
        <v>0.82</v>
      </c>
      <c r="N12" s="2">
        <v>0.37</v>
      </c>
      <c r="O12" s="2">
        <v>0.89</v>
      </c>
      <c r="P12" s="2">
        <v>0.78</v>
      </c>
      <c r="Q12" s="2">
        <v>0.67</v>
      </c>
      <c r="R12" s="2">
        <v>0.96</v>
      </c>
      <c r="S12" s="2">
        <v>0.87</v>
      </c>
      <c r="T12" s="2">
        <v>0.29</v>
      </c>
      <c r="U12" s="2">
        <v>-1.0</v>
      </c>
      <c r="V12" s="2">
        <v>-5.99</v>
      </c>
      <c r="W12" s="2">
        <v>0.34</v>
      </c>
      <c r="X12" s="2">
        <v>0.96</v>
      </c>
      <c r="Y12" s="2">
        <v>0.9</v>
      </c>
      <c r="Z12" s="2"/>
    </row>
    <row r="13">
      <c r="A13" s="2">
        <v>10.0</v>
      </c>
      <c r="B13" s="2">
        <v>0.6</v>
      </c>
      <c r="C13" s="2">
        <v>0.97</v>
      </c>
      <c r="D13" s="2">
        <v>0.93</v>
      </c>
      <c r="E13" s="2">
        <v>0.89</v>
      </c>
      <c r="F13" s="2">
        <v>0.77</v>
      </c>
      <c r="G13" s="2">
        <v>3.52</v>
      </c>
      <c r="H13" s="2">
        <v>0.62</v>
      </c>
      <c r="I13" s="2">
        <v>0.94</v>
      </c>
      <c r="J13" s="2">
        <v>0.85</v>
      </c>
      <c r="K13" s="2">
        <v>0.72</v>
      </c>
      <c r="L13" s="2">
        <v>0.82</v>
      </c>
      <c r="M13" s="2">
        <v>0.55</v>
      </c>
      <c r="N13" s="2">
        <v>0.22</v>
      </c>
      <c r="O13" s="2">
        <v>0.97</v>
      </c>
      <c r="P13" s="2">
        <v>0.93</v>
      </c>
      <c r="Q13" s="2">
        <v>0.73</v>
      </c>
      <c r="R13" s="2">
        <v>0.93</v>
      </c>
      <c r="S13" s="2">
        <v>0.85</v>
      </c>
      <c r="T13" s="2">
        <v>0.2</v>
      </c>
      <c r="U13" s="2">
        <v>0.0</v>
      </c>
      <c r="V13" s="2" t="s">
        <v>715</v>
      </c>
      <c r="W13" s="2">
        <v>0.73</v>
      </c>
      <c r="X13" s="2">
        <v>0.79</v>
      </c>
      <c r="Y13" s="2">
        <v>0.55</v>
      </c>
      <c r="Z13" s="2"/>
    </row>
    <row r="14">
      <c r="A14" s="2">
        <v>11.0</v>
      </c>
      <c r="B14" s="2">
        <v>0.52</v>
      </c>
      <c r="C14" s="2">
        <v>0.97</v>
      </c>
      <c r="D14" s="2">
        <v>0.95</v>
      </c>
      <c r="E14" s="2">
        <v>0.91</v>
      </c>
      <c r="F14" s="2">
        <v>0.83</v>
      </c>
      <c r="G14" s="2">
        <v>2.39</v>
      </c>
      <c r="H14" s="2">
        <v>0.5</v>
      </c>
      <c r="I14" s="2">
        <v>0.94</v>
      </c>
      <c r="J14" s="2">
        <v>0.87</v>
      </c>
      <c r="K14" s="2">
        <v>0.57</v>
      </c>
      <c r="L14" s="2">
        <v>0.86</v>
      </c>
      <c r="M14" s="2">
        <v>0.73</v>
      </c>
      <c r="N14" s="2">
        <v>0.35</v>
      </c>
      <c r="O14" s="2">
        <v>0.93</v>
      </c>
      <c r="P14" s="2">
        <v>0.84</v>
      </c>
      <c r="Q14" s="2">
        <v>0.11</v>
      </c>
      <c r="R14" s="2">
        <v>1.0</v>
      </c>
      <c r="S14" s="2">
        <v>0.91</v>
      </c>
      <c r="T14" s="2">
        <v>0.34</v>
      </c>
      <c r="U14" s="2">
        <v>-1.0</v>
      </c>
      <c r="V14" s="2">
        <v>-8.53</v>
      </c>
      <c r="W14" s="2">
        <v>0.62</v>
      </c>
      <c r="X14" s="2">
        <v>0.87</v>
      </c>
      <c r="Y14" s="2">
        <v>0.68</v>
      </c>
      <c r="Z14" s="2"/>
    </row>
    <row r="15">
      <c r="A15" s="2">
        <v>12.0</v>
      </c>
      <c r="B15" s="2">
        <v>0.51</v>
      </c>
      <c r="C15" s="2">
        <v>0.97</v>
      </c>
      <c r="D15" s="2">
        <v>0.95</v>
      </c>
      <c r="E15" s="2">
        <v>0.9</v>
      </c>
      <c r="F15" s="2">
        <v>0.81</v>
      </c>
      <c r="G15" s="2">
        <v>3.51</v>
      </c>
      <c r="H15" s="2">
        <v>0.45</v>
      </c>
      <c r="I15" s="2">
        <v>0.95</v>
      </c>
      <c r="J15" s="2">
        <v>0.89</v>
      </c>
      <c r="K15" s="2">
        <v>0.55</v>
      </c>
      <c r="L15" s="2">
        <v>0.86</v>
      </c>
      <c r="M15" s="2">
        <v>0.72</v>
      </c>
      <c r="N15" s="2">
        <v>0.39</v>
      </c>
      <c r="O15" s="2">
        <v>0.8</v>
      </c>
      <c r="P15" s="2">
        <v>0.63</v>
      </c>
      <c r="Q15" s="2">
        <v>1.35</v>
      </c>
      <c r="R15" s="2">
        <v>0.5</v>
      </c>
      <c r="S15" s="2">
        <v>0.22</v>
      </c>
      <c r="T15" s="2">
        <v>0.37</v>
      </c>
      <c r="U15" s="2">
        <v>1.0</v>
      </c>
      <c r="V15" s="2">
        <v>0.57</v>
      </c>
      <c r="W15" s="2">
        <v>0.26</v>
      </c>
      <c r="X15" s="2">
        <v>0.99</v>
      </c>
      <c r="Y15" s="2">
        <v>0.96</v>
      </c>
      <c r="Z15" s="2"/>
    </row>
    <row r="16">
      <c r="A16" s="2">
        <v>13.0</v>
      </c>
      <c r="B16" s="2">
        <v>0.37</v>
      </c>
      <c r="C16" s="2">
        <v>0.99</v>
      </c>
      <c r="D16" s="2">
        <v>0.98</v>
      </c>
      <c r="E16" s="2">
        <v>0.95</v>
      </c>
      <c r="F16" s="2">
        <v>0.9</v>
      </c>
      <c r="G16" s="2">
        <v>2.23</v>
      </c>
      <c r="H16" s="2">
        <v>0.35</v>
      </c>
      <c r="I16" s="2">
        <v>0.96</v>
      </c>
      <c r="J16" s="2">
        <v>0.92</v>
      </c>
      <c r="K16" s="2">
        <v>0.28</v>
      </c>
      <c r="L16" s="2">
        <v>0.97</v>
      </c>
      <c r="M16" s="2">
        <v>0.92</v>
      </c>
      <c r="N16" s="2">
        <v>0.39</v>
      </c>
      <c r="O16" s="2">
        <v>0.95</v>
      </c>
      <c r="P16" s="2">
        <v>0.89</v>
      </c>
      <c r="Q16" s="2">
        <v>0.4</v>
      </c>
      <c r="R16" s="2">
        <v>1.0</v>
      </c>
      <c r="S16" s="2">
        <v>0.83</v>
      </c>
      <c r="T16" s="2">
        <v>0.25</v>
      </c>
      <c r="U16" s="2">
        <v>1.0</v>
      </c>
      <c r="V16" s="2">
        <v>0.61</v>
      </c>
      <c r="W16" s="2">
        <v>0.55</v>
      </c>
      <c r="X16" s="2">
        <v>0.86</v>
      </c>
      <c r="Y16" s="2">
        <v>0.69</v>
      </c>
      <c r="Z16" s="2"/>
    </row>
    <row r="17">
      <c r="A17" s="2">
        <v>14.0</v>
      </c>
      <c r="B17" s="2">
        <v>0.5</v>
      </c>
      <c r="C17" s="2">
        <v>0.97</v>
      </c>
      <c r="D17" s="2">
        <v>0.94</v>
      </c>
      <c r="E17" s="2">
        <v>0.93</v>
      </c>
      <c r="F17" s="2">
        <v>0.86</v>
      </c>
      <c r="G17" s="2">
        <v>2.59</v>
      </c>
      <c r="H17" s="2">
        <v>0.64</v>
      </c>
      <c r="I17" s="2">
        <v>0.92</v>
      </c>
      <c r="J17" s="2">
        <v>0.82</v>
      </c>
      <c r="K17" s="2">
        <v>0.37</v>
      </c>
      <c r="L17" s="2">
        <v>0.95</v>
      </c>
      <c r="M17" s="2">
        <v>0.89</v>
      </c>
      <c r="N17" s="2">
        <v>0.38</v>
      </c>
      <c r="O17" s="2">
        <v>0.95</v>
      </c>
      <c r="P17" s="2">
        <v>0.9</v>
      </c>
      <c r="Q17" s="2">
        <v>0.25</v>
      </c>
      <c r="R17" s="2">
        <v>1.0</v>
      </c>
      <c r="S17" s="2">
        <v>0.93</v>
      </c>
      <c r="T17" s="2">
        <v>0.16</v>
      </c>
      <c r="U17" s="2">
        <v>1.0</v>
      </c>
      <c r="V17" s="2">
        <v>0.87</v>
      </c>
      <c r="W17" s="2">
        <v>0.86</v>
      </c>
      <c r="X17" s="2">
        <v>0.77</v>
      </c>
      <c r="Y17" s="2">
        <v>0.56</v>
      </c>
      <c r="Z17" s="2"/>
    </row>
    <row r="18">
      <c r="A18" s="2">
        <v>15.0</v>
      </c>
      <c r="B18" s="2">
        <v>0.56</v>
      </c>
      <c r="C18" s="2">
        <v>0.98</v>
      </c>
      <c r="D18" s="2">
        <v>0.95</v>
      </c>
      <c r="E18" s="2">
        <v>0.91</v>
      </c>
      <c r="F18" s="2">
        <v>0.81</v>
      </c>
      <c r="G18" s="2">
        <v>2.39</v>
      </c>
      <c r="H18" s="2">
        <v>0.66</v>
      </c>
      <c r="I18" s="2">
        <v>0.94</v>
      </c>
      <c r="J18" s="2">
        <v>0.83</v>
      </c>
      <c r="K18" s="2">
        <v>0.33</v>
      </c>
      <c r="L18" s="2">
        <v>0.96</v>
      </c>
      <c r="M18" s="2">
        <v>0.91</v>
      </c>
      <c r="N18" s="2">
        <v>0.63</v>
      </c>
      <c r="O18" s="2">
        <v>0.66</v>
      </c>
      <c r="P18" s="2">
        <v>0.4</v>
      </c>
      <c r="Q18" s="2">
        <v>0.75</v>
      </c>
      <c r="R18" s="2">
        <v>0.91</v>
      </c>
      <c r="S18" s="2">
        <v>0.75</v>
      </c>
      <c r="T18" s="2">
        <v>0.28</v>
      </c>
      <c r="U18" s="2">
        <v>0.0</v>
      </c>
      <c r="V18" s="2" t="s">
        <v>715</v>
      </c>
      <c r="W18" s="2">
        <v>0.47</v>
      </c>
      <c r="X18" s="2">
        <v>0.93</v>
      </c>
      <c r="Y18" s="2">
        <v>0.8</v>
      </c>
      <c r="Z18" s="2"/>
    </row>
    <row r="19">
      <c r="A19" s="2">
        <v>16.0</v>
      </c>
      <c r="B19" s="2">
        <v>0.53</v>
      </c>
      <c r="C19" s="2">
        <v>0.98</v>
      </c>
      <c r="D19" s="2">
        <v>0.96</v>
      </c>
      <c r="E19" s="2">
        <v>0.9</v>
      </c>
      <c r="F19" s="2">
        <v>0.79</v>
      </c>
      <c r="G19" s="2">
        <v>3.69</v>
      </c>
      <c r="H19" s="2">
        <v>0.57</v>
      </c>
      <c r="I19" s="2">
        <v>0.9</v>
      </c>
      <c r="J19" s="2">
        <v>0.79</v>
      </c>
      <c r="K19" s="2">
        <v>0.61</v>
      </c>
      <c r="L19" s="2">
        <v>0.83</v>
      </c>
      <c r="M19" s="2">
        <v>0.64</v>
      </c>
      <c r="N19" s="2">
        <v>0.26</v>
      </c>
      <c r="O19" s="2">
        <v>0.97</v>
      </c>
      <c r="P19" s="2">
        <v>0.93</v>
      </c>
      <c r="Q19" s="2">
        <v>0.68</v>
      </c>
      <c r="R19" s="2">
        <v>0.98</v>
      </c>
      <c r="S19" s="2">
        <v>0.91</v>
      </c>
      <c r="T19" s="2">
        <v>0.44</v>
      </c>
      <c r="U19" s="2">
        <v>-1.0</v>
      </c>
      <c r="V19" s="2">
        <v>-2.17</v>
      </c>
      <c r="W19" s="2">
        <v>0.38</v>
      </c>
      <c r="X19" s="2">
        <v>0.93</v>
      </c>
      <c r="Y19" s="2">
        <v>0.8</v>
      </c>
      <c r="Z19" s="2"/>
    </row>
    <row r="20">
      <c r="A20" s="2">
        <v>17.0</v>
      </c>
      <c r="B20" s="2">
        <v>0.45</v>
      </c>
      <c r="C20" s="2">
        <v>0.99</v>
      </c>
      <c r="D20" s="2">
        <v>0.97</v>
      </c>
      <c r="E20" s="2">
        <v>0.94</v>
      </c>
      <c r="F20" s="2">
        <v>0.87</v>
      </c>
      <c r="G20" s="2">
        <v>2.12</v>
      </c>
      <c r="H20" s="2">
        <v>0.28</v>
      </c>
      <c r="I20" s="2">
        <v>0.98</v>
      </c>
      <c r="J20" s="2">
        <v>0.96</v>
      </c>
      <c r="K20" s="2">
        <v>0.4</v>
      </c>
      <c r="L20" s="2">
        <v>0.94</v>
      </c>
      <c r="M20" s="2">
        <v>0.88</v>
      </c>
      <c r="N20" s="2">
        <v>0.28</v>
      </c>
      <c r="O20" s="2">
        <v>0.95</v>
      </c>
      <c r="P20" s="2">
        <v>0.9</v>
      </c>
      <c r="Q20" s="2">
        <v>1.51</v>
      </c>
      <c r="R20" s="2">
        <v>1.0</v>
      </c>
      <c r="S20" s="2">
        <v>0.05</v>
      </c>
      <c r="T20" s="2">
        <v>0.64</v>
      </c>
      <c r="U20" s="2">
        <v>-1.0</v>
      </c>
      <c r="V20" s="2">
        <v>-3.53</v>
      </c>
      <c r="W20" s="2">
        <v>0.76</v>
      </c>
      <c r="X20" s="2">
        <v>0.65</v>
      </c>
      <c r="Y20" s="2">
        <v>-0.83</v>
      </c>
      <c r="Z20" s="2"/>
    </row>
    <row r="21">
      <c r="A21" s="2">
        <v>18.0</v>
      </c>
      <c r="B21" s="2">
        <v>0.4</v>
      </c>
      <c r="C21" s="2">
        <v>0.99</v>
      </c>
      <c r="D21" s="2">
        <v>0.97</v>
      </c>
      <c r="E21" s="2">
        <v>0.96</v>
      </c>
      <c r="F21" s="2">
        <v>0.91</v>
      </c>
      <c r="G21" s="2">
        <v>1.89</v>
      </c>
      <c r="H21" s="2">
        <v>0.48</v>
      </c>
      <c r="I21" s="2">
        <v>0.96</v>
      </c>
      <c r="J21" s="2">
        <v>0.9</v>
      </c>
      <c r="K21" s="2">
        <v>0.26</v>
      </c>
      <c r="L21" s="2">
        <v>0.97</v>
      </c>
      <c r="M21" s="2">
        <v>0.93</v>
      </c>
      <c r="N21" s="2">
        <v>0.43</v>
      </c>
      <c r="O21" s="2">
        <v>0.93</v>
      </c>
      <c r="P21" s="2">
        <v>0.82</v>
      </c>
      <c r="Q21" s="2">
        <v>0.31</v>
      </c>
      <c r="R21" s="2">
        <v>1.0</v>
      </c>
      <c r="S21" s="2">
        <v>0.62</v>
      </c>
      <c r="T21" s="2">
        <v>0.17</v>
      </c>
      <c r="U21" s="2">
        <v>0.0</v>
      </c>
      <c r="V21" s="2" t="s">
        <v>715</v>
      </c>
      <c r="W21" s="2">
        <v>0.52</v>
      </c>
      <c r="X21" s="2">
        <v>0.97</v>
      </c>
      <c r="Y21" s="2">
        <v>0.85</v>
      </c>
      <c r="Z21" s="2"/>
    </row>
    <row r="22">
      <c r="A22" s="2">
        <v>19.0</v>
      </c>
      <c r="B22" s="2">
        <v>0.49</v>
      </c>
      <c r="C22" s="2">
        <v>0.98</v>
      </c>
      <c r="D22" s="2">
        <v>0.95</v>
      </c>
      <c r="E22" s="2">
        <v>0.94</v>
      </c>
      <c r="F22" s="2">
        <v>0.88</v>
      </c>
      <c r="G22" s="2">
        <v>2.38</v>
      </c>
      <c r="H22" s="2">
        <v>0.65</v>
      </c>
      <c r="I22" s="2">
        <v>0.94</v>
      </c>
      <c r="J22" s="2">
        <v>0.85</v>
      </c>
      <c r="K22" s="2">
        <v>0.43</v>
      </c>
      <c r="L22" s="2">
        <v>0.94</v>
      </c>
      <c r="M22" s="2">
        <v>0.87</v>
      </c>
      <c r="N22" s="2">
        <v>0.33</v>
      </c>
      <c r="O22" s="2">
        <v>0.96</v>
      </c>
      <c r="P22" s="2">
        <v>0.92</v>
      </c>
      <c r="Q22" s="2">
        <v>0.32</v>
      </c>
      <c r="R22" s="2">
        <v>0.99</v>
      </c>
      <c r="S22" s="2">
        <v>0.97</v>
      </c>
      <c r="T22" s="2">
        <v>0.37</v>
      </c>
      <c r="U22" s="2">
        <v>1.0</v>
      </c>
      <c r="V22" s="2">
        <v>-1.24</v>
      </c>
      <c r="W22" s="2">
        <v>0.37</v>
      </c>
      <c r="X22" s="2">
        <v>0.96</v>
      </c>
      <c r="Y22" s="2">
        <v>0.9</v>
      </c>
      <c r="Z22" s="2"/>
    </row>
    <row r="23">
      <c r="A23" s="2">
        <v>20.0</v>
      </c>
      <c r="B23" s="2">
        <v>0.49</v>
      </c>
      <c r="C23" s="2">
        <v>0.98</v>
      </c>
      <c r="D23" s="2">
        <v>0.96</v>
      </c>
      <c r="E23" s="2">
        <v>0.95</v>
      </c>
      <c r="F23" s="2">
        <v>0.88</v>
      </c>
      <c r="G23" s="2">
        <v>2.02</v>
      </c>
      <c r="H23" s="2">
        <v>0.43</v>
      </c>
      <c r="I23" s="2">
        <v>0.99</v>
      </c>
      <c r="J23" s="2">
        <v>0.94</v>
      </c>
      <c r="K23" s="2">
        <v>0.45</v>
      </c>
      <c r="L23" s="2">
        <v>0.93</v>
      </c>
      <c r="M23" s="2">
        <v>0.84</v>
      </c>
      <c r="N23" s="2">
        <v>0.58</v>
      </c>
      <c r="O23" s="2">
        <v>0.8</v>
      </c>
      <c r="P23" s="2">
        <v>0.63</v>
      </c>
      <c r="Q23" s="2">
        <v>0.3</v>
      </c>
      <c r="R23" s="2">
        <v>1.0</v>
      </c>
      <c r="S23" s="2">
        <v>0.97</v>
      </c>
      <c r="T23" s="2">
        <v>0.27</v>
      </c>
      <c r="U23" s="2">
        <v>1.0</v>
      </c>
      <c r="V23" s="2">
        <v>0.83</v>
      </c>
      <c r="W23" s="2">
        <v>0.67</v>
      </c>
      <c r="X23" s="2">
        <v>0.91</v>
      </c>
      <c r="Y23" s="2">
        <v>0.73</v>
      </c>
      <c r="Z23" s="2"/>
    </row>
    <row r="24">
      <c r="A24" s="2">
        <v>21.0</v>
      </c>
      <c r="B24" s="2">
        <v>0.34</v>
      </c>
      <c r="C24" s="2">
        <v>0.99</v>
      </c>
      <c r="D24" s="2">
        <v>0.98</v>
      </c>
      <c r="E24" s="2">
        <v>0.97</v>
      </c>
      <c r="F24" s="2">
        <v>0.92</v>
      </c>
      <c r="G24" s="2">
        <v>1.97</v>
      </c>
      <c r="H24" s="2">
        <v>0.27</v>
      </c>
      <c r="I24" s="2">
        <v>0.99</v>
      </c>
      <c r="J24" s="2">
        <v>0.96</v>
      </c>
      <c r="K24" s="2">
        <v>0.38</v>
      </c>
      <c r="L24" s="2">
        <v>0.95</v>
      </c>
      <c r="M24" s="2">
        <v>0.87</v>
      </c>
      <c r="N24" s="2">
        <v>0.25</v>
      </c>
      <c r="O24" s="2">
        <v>0.98</v>
      </c>
      <c r="P24" s="2">
        <v>0.95</v>
      </c>
      <c r="Q24" s="2">
        <v>0.14</v>
      </c>
      <c r="R24" s="2">
        <v>0.18</v>
      </c>
      <c r="S24" s="2">
        <v>-2.25</v>
      </c>
      <c r="T24" s="2">
        <v>0.23</v>
      </c>
      <c r="U24" s="2">
        <v>0.0</v>
      </c>
      <c r="V24" s="2" t="s">
        <v>715</v>
      </c>
      <c r="W24" s="2">
        <v>0.47</v>
      </c>
      <c r="X24" s="2">
        <v>0.95</v>
      </c>
      <c r="Y24" s="2">
        <v>0.83</v>
      </c>
      <c r="Z24" s="2"/>
    </row>
    <row r="25">
      <c r="A25" s="2">
        <v>22.0</v>
      </c>
      <c r="B25" s="2">
        <v>0.42</v>
      </c>
      <c r="C25" s="2">
        <v>0.99</v>
      </c>
      <c r="D25" s="2">
        <v>0.97</v>
      </c>
      <c r="E25" s="2">
        <v>0.95</v>
      </c>
      <c r="F25" s="2">
        <v>0.88</v>
      </c>
      <c r="G25" s="2">
        <v>1.98</v>
      </c>
      <c r="H25" s="2">
        <v>0.43</v>
      </c>
      <c r="I25" s="2">
        <v>0.96</v>
      </c>
      <c r="J25" s="2">
        <v>0.9</v>
      </c>
      <c r="K25" s="2">
        <v>0.33</v>
      </c>
      <c r="L25" s="2">
        <v>0.96</v>
      </c>
      <c r="M25" s="2">
        <v>0.87</v>
      </c>
      <c r="N25" s="2">
        <v>0.43</v>
      </c>
      <c r="O25" s="2">
        <v>0.91</v>
      </c>
      <c r="P25" s="2">
        <v>0.8</v>
      </c>
      <c r="Q25" s="2">
        <v>0.27</v>
      </c>
      <c r="R25" s="2">
        <v>1.0</v>
      </c>
      <c r="S25" s="2">
        <v>0.98</v>
      </c>
      <c r="T25" s="2">
        <v>0.27</v>
      </c>
      <c r="U25" s="2">
        <v>0.0</v>
      </c>
      <c r="V25" s="2" t="s">
        <v>715</v>
      </c>
      <c r="W25" s="2">
        <v>0.57</v>
      </c>
      <c r="X25" s="2">
        <v>0.89</v>
      </c>
      <c r="Y25" s="2">
        <v>0.73</v>
      </c>
      <c r="Z25" s="2"/>
    </row>
    <row r="26">
      <c r="A26" s="2">
        <v>23.0</v>
      </c>
      <c r="B26" s="2">
        <v>0.39</v>
      </c>
      <c r="C26" s="2">
        <v>0.99</v>
      </c>
      <c r="D26" s="2">
        <v>0.97</v>
      </c>
      <c r="E26" s="2">
        <v>0.96</v>
      </c>
      <c r="F26" s="2">
        <v>0.89</v>
      </c>
      <c r="G26" s="2">
        <v>1.97</v>
      </c>
      <c r="H26" s="2">
        <v>0.36</v>
      </c>
      <c r="I26" s="2">
        <v>0.97</v>
      </c>
      <c r="J26" s="2">
        <v>0.93</v>
      </c>
      <c r="K26" s="2">
        <v>0.28</v>
      </c>
      <c r="L26" s="2">
        <v>0.99</v>
      </c>
      <c r="M26" s="2">
        <v>0.93</v>
      </c>
      <c r="N26" s="2">
        <v>0.47</v>
      </c>
      <c r="O26" s="2">
        <v>0.92</v>
      </c>
      <c r="P26" s="2">
        <v>0.8</v>
      </c>
      <c r="Q26" s="2">
        <v>0.61</v>
      </c>
      <c r="R26" s="2">
        <v>0.93</v>
      </c>
      <c r="S26" s="2">
        <v>0.83</v>
      </c>
      <c r="T26" s="2">
        <v>0.22</v>
      </c>
      <c r="U26" s="2">
        <v>1.0</v>
      </c>
      <c r="V26" s="2">
        <v>0.81</v>
      </c>
      <c r="W26" s="2">
        <v>0.51</v>
      </c>
      <c r="X26" s="2">
        <v>0.88</v>
      </c>
      <c r="Y26" s="2">
        <v>0.65</v>
      </c>
      <c r="Z26" s="2"/>
    </row>
    <row r="27">
      <c r="A27" s="2">
        <v>24.0</v>
      </c>
      <c r="B27" s="2">
        <v>0.38</v>
      </c>
      <c r="C27" s="2">
        <v>0.99</v>
      </c>
      <c r="D27" s="2">
        <v>0.97</v>
      </c>
      <c r="E27" s="2">
        <v>0.97</v>
      </c>
      <c r="F27" s="2">
        <v>0.9</v>
      </c>
      <c r="G27" s="2">
        <v>1.49</v>
      </c>
      <c r="H27" s="2">
        <v>0.43</v>
      </c>
      <c r="I27" s="2">
        <v>0.97</v>
      </c>
      <c r="J27" s="2">
        <v>0.9</v>
      </c>
      <c r="K27" s="2">
        <v>0.31</v>
      </c>
      <c r="L27" s="2">
        <v>0.97</v>
      </c>
      <c r="M27" s="2">
        <v>0.91</v>
      </c>
      <c r="N27" s="2">
        <v>0.48</v>
      </c>
      <c r="O27" s="2">
        <v>0.89</v>
      </c>
      <c r="P27" s="2">
        <v>0.77</v>
      </c>
      <c r="Q27" s="2">
        <v>0.49</v>
      </c>
      <c r="R27" s="2" t="s">
        <v>715</v>
      </c>
      <c r="S27" s="2" t="s">
        <v>715</v>
      </c>
      <c r="T27" s="2">
        <v>0.5</v>
      </c>
      <c r="U27" s="2">
        <v>1.0</v>
      </c>
      <c r="V27" s="2">
        <v>-0.16</v>
      </c>
      <c r="W27" s="2">
        <v>0.26</v>
      </c>
      <c r="X27" s="2">
        <v>0.99</v>
      </c>
      <c r="Y27" s="2">
        <v>0.96</v>
      </c>
      <c r="Z27" s="2"/>
    </row>
    <row r="28">
      <c r="A28" s="2">
        <v>25.0</v>
      </c>
      <c r="B28" s="2">
        <v>0.56</v>
      </c>
      <c r="C28" s="2">
        <v>0.98</v>
      </c>
      <c r="D28" s="2">
        <v>0.95</v>
      </c>
      <c r="E28" s="2">
        <v>0.91</v>
      </c>
      <c r="F28" s="2">
        <v>0.79</v>
      </c>
      <c r="G28" s="2">
        <v>2.49</v>
      </c>
      <c r="H28" s="2">
        <v>0.48</v>
      </c>
      <c r="I28" s="2">
        <v>0.95</v>
      </c>
      <c r="J28" s="2">
        <v>0.86</v>
      </c>
      <c r="K28" s="2">
        <v>0.54</v>
      </c>
      <c r="L28" s="2">
        <v>0.88</v>
      </c>
      <c r="M28" s="2">
        <v>0.74</v>
      </c>
      <c r="N28" s="2">
        <v>0.6</v>
      </c>
      <c r="O28" s="2">
        <v>0.79</v>
      </c>
      <c r="P28" s="2">
        <v>0.54</v>
      </c>
      <c r="Q28" s="2">
        <v>0.98</v>
      </c>
      <c r="R28" s="2">
        <v>0.93</v>
      </c>
      <c r="S28" s="2">
        <v>0.79</v>
      </c>
      <c r="T28" s="2">
        <v>0.49</v>
      </c>
      <c r="U28" s="2">
        <v>1.0</v>
      </c>
      <c r="V28" s="2">
        <v>0.25</v>
      </c>
      <c r="W28" s="2">
        <v>0.57</v>
      </c>
      <c r="X28" s="2">
        <v>0.94</v>
      </c>
      <c r="Y28" s="2">
        <v>0.78</v>
      </c>
      <c r="Z28" s="2"/>
    </row>
    <row r="29">
      <c r="A29" s="2">
        <v>26.0</v>
      </c>
      <c r="B29" s="2">
        <v>0.51</v>
      </c>
      <c r="C29" s="2">
        <v>0.98</v>
      </c>
      <c r="D29" s="2">
        <v>0.97</v>
      </c>
      <c r="E29" s="2">
        <v>0.93</v>
      </c>
      <c r="F29" s="2">
        <v>0.85</v>
      </c>
      <c r="G29" s="2">
        <v>2.17</v>
      </c>
      <c r="H29" s="2">
        <v>0.61</v>
      </c>
      <c r="I29" s="2">
        <v>0.96</v>
      </c>
      <c r="J29" s="2">
        <v>0.88</v>
      </c>
      <c r="K29" s="2">
        <v>0.48</v>
      </c>
      <c r="L29" s="2">
        <v>0.91</v>
      </c>
      <c r="M29" s="2">
        <v>0.81</v>
      </c>
      <c r="N29" s="2">
        <v>0.5</v>
      </c>
      <c r="O29" s="2">
        <v>0.83</v>
      </c>
      <c r="P29" s="2">
        <v>0.67</v>
      </c>
      <c r="Q29" s="2">
        <v>0.11</v>
      </c>
      <c r="R29" s="2" t="s">
        <v>715</v>
      </c>
      <c r="S29" s="2" t="s">
        <v>715</v>
      </c>
      <c r="T29" s="2">
        <v>0.22</v>
      </c>
      <c r="U29" s="2">
        <v>1.0</v>
      </c>
      <c r="V29" s="2">
        <v>0.89</v>
      </c>
      <c r="W29" s="2">
        <v>0.42</v>
      </c>
      <c r="X29" s="2">
        <v>0.94</v>
      </c>
      <c r="Y29" s="2">
        <v>0.8</v>
      </c>
      <c r="Z29" s="2"/>
    </row>
    <row r="30">
      <c r="A30" s="2">
        <v>27.0</v>
      </c>
      <c r="B30" s="2">
        <v>0.46</v>
      </c>
      <c r="C30" s="2">
        <v>0.98</v>
      </c>
      <c r="D30" s="2">
        <v>0.97</v>
      </c>
      <c r="E30" s="2">
        <v>0.93</v>
      </c>
      <c r="F30" s="2">
        <v>0.86</v>
      </c>
      <c r="G30" s="2">
        <v>1.62</v>
      </c>
      <c r="H30" s="2">
        <v>0.57</v>
      </c>
      <c r="I30" s="2">
        <v>0.92</v>
      </c>
      <c r="J30" s="2">
        <v>0.83</v>
      </c>
      <c r="K30" s="2">
        <v>0.42</v>
      </c>
      <c r="L30" s="2">
        <v>0.95</v>
      </c>
      <c r="M30" s="2">
        <v>0.88</v>
      </c>
      <c r="N30" s="2">
        <v>0.35</v>
      </c>
      <c r="O30" s="2">
        <v>0.86</v>
      </c>
      <c r="P30" s="2">
        <v>0.73</v>
      </c>
      <c r="Q30" s="2">
        <v>1.27</v>
      </c>
      <c r="R30" s="2" t="s">
        <v>715</v>
      </c>
      <c r="S30" s="2" t="s">
        <v>715</v>
      </c>
      <c r="T30" s="2">
        <v>0.17</v>
      </c>
      <c r="U30" s="2">
        <v>1.0</v>
      </c>
      <c r="V30" s="2">
        <v>0.92</v>
      </c>
      <c r="W30" s="2">
        <v>0.27</v>
      </c>
      <c r="X30" s="2">
        <v>0.99</v>
      </c>
      <c r="Y30" s="2">
        <v>0.94</v>
      </c>
      <c r="Z30" s="2"/>
    </row>
    <row r="31">
      <c r="A31" s="2">
        <v>28.0</v>
      </c>
      <c r="B31" s="2">
        <v>0.45</v>
      </c>
      <c r="C31" s="2">
        <v>0.98</v>
      </c>
      <c r="D31" s="2">
        <v>0.95</v>
      </c>
      <c r="E31" s="2">
        <v>0.96</v>
      </c>
      <c r="F31" s="2">
        <v>0.89</v>
      </c>
      <c r="G31" s="2">
        <v>2.56</v>
      </c>
      <c r="H31" s="2">
        <v>0.42</v>
      </c>
      <c r="I31" s="2">
        <v>0.97</v>
      </c>
      <c r="J31" s="2">
        <v>0.93</v>
      </c>
      <c r="K31" s="2">
        <v>0.34</v>
      </c>
      <c r="L31" s="2">
        <v>0.96</v>
      </c>
      <c r="M31" s="2">
        <v>0.87</v>
      </c>
      <c r="N31" s="2">
        <v>0.58</v>
      </c>
      <c r="O31" s="2">
        <v>0.92</v>
      </c>
      <c r="P31" s="2">
        <v>0.84</v>
      </c>
      <c r="Q31" s="2">
        <v>0.21</v>
      </c>
      <c r="R31" s="2">
        <v>0.97</v>
      </c>
      <c r="S31" s="2">
        <v>0.86</v>
      </c>
      <c r="T31" s="2">
        <v>0.11</v>
      </c>
      <c r="U31" s="2">
        <v>1.0</v>
      </c>
      <c r="V31" s="2">
        <v>0.95</v>
      </c>
      <c r="W31" s="2">
        <v>0.82</v>
      </c>
      <c r="X31" s="2">
        <v>0.83</v>
      </c>
      <c r="Y31" s="2">
        <v>0.61</v>
      </c>
      <c r="Z31" s="2"/>
    </row>
    <row r="32">
      <c r="A32" s="2">
        <v>29.0</v>
      </c>
      <c r="B32" s="2">
        <v>0.42</v>
      </c>
      <c r="C32" s="2">
        <v>0.99</v>
      </c>
      <c r="D32" s="2">
        <v>0.97</v>
      </c>
      <c r="E32" s="2">
        <v>0.95</v>
      </c>
      <c r="F32" s="2">
        <v>0.87</v>
      </c>
      <c r="G32" s="2">
        <v>1.88</v>
      </c>
      <c r="H32" s="2">
        <v>0.42</v>
      </c>
      <c r="I32" s="2">
        <v>0.97</v>
      </c>
      <c r="J32" s="2">
        <v>0.91</v>
      </c>
      <c r="K32" s="2">
        <v>0.4</v>
      </c>
      <c r="L32" s="2">
        <v>0.95</v>
      </c>
      <c r="M32" s="2">
        <v>0.84</v>
      </c>
      <c r="N32" s="2">
        <v>0.38</v>
      </c>
      <c r="O32" s="2">
        <v>0.95</v>
      </c>
      <c r="P32" s="2">
        <v>0.8</v>
      </c>
      <c r="Q32" s="2">
        <v>0.91</v>
      </c>
      <c r="R32" s="2">
        <v>0.9</v>
      </c>
      <c r="S32" s="2">
        <v>0.76</v>
      </c>
      <c r="T32" s="2">
        <v>0.84</v>
      </c>
      <c r="U32" s="2">
        <v>1.0</v>
      </c>
      <c r="V32" s="2">
        <v>-0.94</v>
      </c>
      <c r="W32" s="2">
        <v>0.2</v>
      </c>
      <c r="X32" s="2">
        <v>0.96</v>
      </c>
      <c r="Y32" s="2">
        <v>0.84</v>
      </c>
      <c r="Z32" s="2"/>
    </row>
    <row r="33">
      <c r="A33" s="2">
        <v>30.0</v>
      </c>
      <c r="B33" s="2">
        <v>0.46</v>
      </c>
      <c r="C33" s="2">
        <v>0.99</v>
      </c>
      <c r="D33" s="2">
        <v>0.96</v>
      </c>
      <c r="E33" s="2">
        <v>0.94</v>
      </c>
      <c r="F33" s="2">
        <v>0.86</v>
      </c>
      <c r="G33" s="2">
        <v>2.19</v>
      </c>
      <c r="H33" s="2">
        <v>0.46</v>
      </c>
      <c r="I33" s="2">
        <v>0.97</v>
      </c>
      <c r="J33" s="2">
        <v>0.9</v>
      </c>
      <c r="K33" s="2">
        <v>0.45</v>
      </c>
      <c r="L33" s="2">
        <v>0.92</v>
      </c>
      <c r="M33" s="2">
        <v>0.82</v>
      </c>
      <c r="N33" s="2">
        <v>0.22</v>
      </c>
      <c r="O33" s="2">
        <v>0.99</v>
      </c>
      <c r="P33" s="2">
        <v>0.94</v>
      </c>
      <c r="Q33" s="2">
        <v>0.26</v>
      </c>
      <c r="R33" s="2">
        <v>1.0</v>
      </c>
      <c r="S33" s="2">
        <v>0.98</v>
      </c>
      <c r="T33" s="2">
        <v>0.8</v>
      </c>
      <c r="U33" s="2">
        <v>1.0</v>
      </c>
      <c r="V33" s="2">
        <v>-0.78</v>
      </c>
      <c r="W33" s="2">
        <v>0.65</v>
      </c>
      <c r="X33" s="2">
        <v>0.82</v>
      </c>
      <c r="Y33" s="2">
        <v>-0.44</v>
      </c>
      <c r="Z33" s="2"/>
    </row>
    <row r="34">
      <c r="A34" s="2">
        <v>31.0</v>
      </c>
      <c r="B34" s="2">
        <v>0.6</v>
      </c>
      <c r="C34" s="2">
        <v>0.97</v>
      </c>
      <c r="D34" s="2">
        <v>0.93</v>
      </c>
      <c r="E34" s="2">
        <v>0.95</v>
      </c>
      <c r="F34" s="2">
        <v>0.85</v>
      </c>
      <c r="G34" s="2">
        <v>2.91</v>
      </c>
      <c r="H34" s="2">
        <v>0.63</v>
      </c>
      <c r="I34" s="2">
        <v>0.95</v>
      </c>
      <c r="J34" s="2">
        <v>0.87</v>
      </c>
      <c r="K34" s="2">
        <v>0.56</v>
      </c>
      <c r="L34" s="2">
        <v>0.95</v>
      </c>
      <c r="M34" s="2">
        <v>0.79</v>
      </c>
      <c r="N34" s="2">
        <v>0.51</v>
      </c>
      <c r="O34" s="2">
        <v>0.85</v>
      </c>
      <c r="P34" s="2">
        <v>0.64</v>
      </c>
      <c r="Q34" s="2">
        <v>1.02</v>
      </c>
      <c r="R34" s="2">
        <v>0.93</v>
      </c>
      <c r="S34" s="2">
        <v>0.82</v>
      </c>
      <c r="T34" s="2">
        <v>0.27</v>
      </c>
      <c r="U34" s="2">
        <v>1.0</v>
      </c>
      <c r="V34" s="2">
        <v>0.97</v>
      </c>
      <c r="W34" s="2">
        <v>0.41</v>
      </c>
      <c r="X34" s="2">
        <v>0.93</v>
      </c>
      <c r="Y34" s="2">
        <v>0.84</v>
      </c>
      <c r="Z34" s="2"/>
    </row>
    <row r="35">
      <c r="A35" s="2">
        <v>32.0</v>
      </c>
      <c r="B35" s="2">
        <v>0.55</v>
      </c>
      <c r="C35" s="2">
        <v>0.98</v>
      </c>
      <c r="D35" s="2">
        <v>0.96</v>
      </c>
      <c r="E35" s="2">
        <v>0.92</v>
      </c>
      <c r="F35" s="2">
        <v>0.8</v>
      </c>
      <c r="G35" s="2">
        <v>2.46</v>
      </c>
      <c r="H35" s="2">
        <v>0.6</v>
      </c>
      <c r="I35" s="2">
        <v>0.92</v>
      </c>
      <c r="J35" s="2">
        <v>0.79</v>
      </c>
      <c r="K35" s="2">
        <v>0.45</v>
      </c>
      <c r="L35" s="2">
        <v>0.95</v>
      </c>
      <c r="M35" s="2">
        <v>0.83</v>
      </c>
      <c r="N35" s="2">
        <v>0.48</v>
      </c>
      <c r="O35" s="2">
        <v>0.94</v>
      </c>
      <c r="P35" s="2">
        <v>0.87</v>
      </c>
      <c r="Q35" s="2">
        <v>0.75</v>
      </c>
      <c r="R35" s="2">
        <v>0.9</v>
      </c>
      <c r="S35" s="2">
        <v>0.77</v>
      </c>
      <c r="T35" s="2">
        <v>0.13</v>
      </c>
      <c r="U35" s="2">
        <v>1.0</v>
      </c>
      <c r="V35" s="2">
        <v>0.96</v>
      </c>
      <c r="W35" s="2">
        <v>0.64</v>
      </c>
      <c r="X35" s="2">
        <v>0.86</v>
      </c>
      <c r="Y35" s="2">
        <v>0.62</v>
      </c>
      <c r="Z35" s="2"/>
    </row>
    <row r="36">
      <c r="A36" s="2">
        <v>33.0</v>
      </c>
      <c r="B36" s="2">
        <v>0.48</v>
      </c>
      <c r="C36" s="2">
        <v>0.98</v>
      </c>
      <c r="D36" s="2">
        <v>0.96</v>
      </c>
      <c r="E36" s="2">
        <v>0.93</v>
      </c>
      <c r="F36" s="2">
        <v>0.87</v>
      </c>
      <c r="G36" s="2">
        <v>3.17</v>
      </c>
      <c r="H36" s="2">
        <v>0.34</v>
      </c>
      <c r="I36" s="2">
        <v>0.98</v>
      </c>
      <c r="J36" s="2">
        <v>0.95</v>
      </c>
      <c r="K36" s="2">
        <v>0.6</v>
      </c>
      <c r="L36" s="2">
        <v>0.85</v>
      </c>
      <c r="M36" s="2">
        <v>0.7</v>
      </c>
      <c r="N36" s="2">
        <v>0.18</v>
      </c>
      <c r="O36" s="2">
        <v>0.99</v>
      </c>
      <c r="P36" s="2">
        <v>0.97</v>
      </c>
      <c r="Q36" s="2">
        <v>0.23</v>
      </c>
      <c r="R36" s="2" t="s">
        <v>715</v>
      </c>
      <c r="S36" s="2" t="s">
        <v>715</v>
      </c>
      <c r="T36" s="2">
        <v>0.11</v>
      </c>
      <c r="U36" s="2">
        <v>0.0</v>
      </c>
      <c r="V36" s="2" t="s">
        <v>715</v>
      </c>
      <c r="W36" s="2">
        <v>0.74</v>
      </c>
      <c r="X36" s="2">
        <v>0.87</v>
      </c>
      <c r="Y36" s="2">
        <v>0.7</v>
      </c>
      <c r="Z36" s="2"/>
    </row>
    <row r="37">
      <c r="A37" s="2">
        <v>34.0</v>
      </c>
      <c r="B37" s="2">
        <v>0.44</v>
      </c>
      <c r="C37" s="2">
        <v>0.98</v>
      </c>
      <c r="D37" s="2">
        <v>0.96</v>
      </c>
      <c r="E37" s="2">
        <v>0.96</v>
      </c>
      <c r="F37" s="2">
        <v>0.87</v>
      </c>
      <c r="G37" s="2">
        <v>2.06</v>
      </c>
      <c r="H37" s="2">
        <v>0.39</v>
      </c>
      <c r="I37" s="2">
        <v>0.97</v>
      </c>
      <c r="J37" s="2">
        <v>0.91</v>
      </c>
      <c r="K37" s="2">
        <v>0.46</v>
      </c>
      <c r="L37" s="2">
        <v>0.95</v>
      </c>
      <c r="M37" s="2">
        <v>0.83</v>
      </c>
      <c r="N37" s="2">
        <v>0.35</v>
      </c>
      <c r="O37" s="2">
        <v>0.92</v>
      </c>
      <c r="P37" s="2">
        <v>0.82</v>
      </c>
      <c r="Q37" s="2">
        <v>0.87</v>
      </c>
      <c r="R37" s="2">
        <v>0.99</v>
      </c>
      <c r="S37" s="2">
        <v>0.87</v>
      </c>
      <c r="T37" s="2">
        <v>0.73</v>
      </c>
      <c r="U37" s="2">
        <v>-1.0</v>
      </c>
      <c r="V37" s="2">
        <v>-4.9</v>
      </c>
      <c r="W37" s="2">
        <v>0.43</v>
      </c>
      <c r="X37" s="2">
        <v>0.63</v>
      </c>
      <c r="Y37" s="2">
        <v>0.36</v>
      </c>
      <c r="Z37" s="2"/>
    </row>
    <row r="38">
      <c r="A38" s="2">
        <v>35.0</v>
      </c>
      <c r="B38" s="2">
        <v>0.42</v>
      </c>
      <c r="C38" s="2">
        <v>0.99</v>
      </c>
      <c r="D38" s="2">
        <v>0.96</v>
      </c>
      <c r="E38" s="2">
        <v>0.96</v>
      </c>
      <c r="F38" s="2">
        <v>0.89</v>
      </c>
      <c r="G38" s="2">
        <v>1.7</v>
      </c>
      <c r="H38" s="2">
        <v>0.46</v>
      </c>
      <c r="I38" s="2">
        <v>0.97</v>
      </c>
      <c r="J38" s="2">
        <v>0.91</v>
      </c>
      <c r="K38" s="2">
        <v>0.38</v>
      </c>
      <c r="L38" s="2">
        <v>0.96</v>
      </c>
      <c r="M38" s="2">
        <v>0.86</v>
      </c>
      <c r="N38" s="2">
        <v>0.29</v>
      </c>
      <c r="O38" s="2">
        <v>0.94</v>
      </c>
      <c r="P38" s="2">
        <v>0.88</v>
      </c>
      <c r="Q38" s="2">
        <v>0.18</v>
      </c>
      <c r="R38" s="2">
        <v>1.0</v>
      </c>
      <c r="S38" s="2">
        <v>0.93</v>
      </c>
      <c r="T38" s="2">
        <v>0.81</v>
      </c>
      <c r="U38" s="2">
        <v>1.0</v>
      </c>
      <c r="V38" s="2">
        <v>-0.84</v>
      </c>
      <c r="W38" s="2">
        <v>0.6</v>
      </c>
      <c r="X38" s="2">
        <v>0.86</v>
      </c>
      <c r="Y38" s="2">
        <v>0.27</v>
      </c>
      <c r="Z38" s="2"/>
    </row>
    <row r="39">
      <c r="A39" s="2">
        <v>36.0</v>
      </c>
      <c r="B39" s="2">
        <v>0.42</v>
      </c>
      <c r="C39" s="2">
        <v>0.99</v>
      </c>
      <c r="D39" s="2">
        <v>0.97</v>
      </c>
      <c r="E39" s="2">
        <v>0.97</v>
      </c>
      <c r="F39" s="2">
        <v>0.91</v>
      </c>
      <c r="G39" s="2">
        <v>2.45</v>
      </c>
      <c r="H39" s="2">
        <v>0.43</v>
      </c>
      <c r="I39" s="2">
        <v>0.98</v>
      </c>
      <c r="J39" s="2">
        <v>0.93</v>
      </c>
      <c r="K39" s="2">
        <v>0.3</v>
      </c>
      <c r="L39" s="2">
        <v>0.97</v>
      </c>
      <c r="M39" s="2">
        <v>0.93</v>
      </c>
      <c r="N39" s="2">
        <v>0.24</v>
      </c>
      <c r="O39" s="2">
        <v>0.99</v>
      </c>
      <c r="P39" s="2">
        <v>0.96</v>
      </c>
      <c r="Q39" s="2">
        <v>0.42</v>
      </c>
      <c r="R39" s="2">
        <v>0.98</v>
      </c>
      <c r="S39" s="2">
        <v>0.96</v>
      </c>
      <c r="T39" s="2">
        <v>0.26</v>
      </c>
      <c r="U39" s="2">
        <v>-1.0</v>
      </c>
      <c r="V39" s="2">
        <v>-5.64</v>
      </c>
      <c r="W39" s="2">
        <v>0.85</v>
      </c>
      <c r="X39" s="2">
        <v>0.68</v>
      </c>
      <c r="Y39" s="2">
        <v>0.22</v>
      </c>
      <c r="Z39" s="2"/>
    </row>
    <row r="40">
      <c r="A40" s="2">
        <v>37.0</v>
      </c>
      <c r="B40" s="2">
        <v>0.51</v>
      </c>
      <c r="C40" s="2">
        <v>0.98</v>
      </c>
      <c r="D40" s="2">
        <v>0.95</v>
      </c>
      <c r="E40" s="2">
        <v>0.94</v>
      </c>
      <c r="F40" s="2">
        <v>0.85</v>
      </c>
      <c r="G40" s="2">
        <v>1.57</v>
      </c>
      <c r="H40" s="2">
        <v>0.75</v>
      </c>
      <c r="I40" s="2">
        <v>0.92</v>
      </c>
      <c r="J40" s="2">
        <v>0.76</v>
      </c>
      <c r="K40" s="2">
        <v>0.34</v>
      </c>
      <c r="L40" s="2">
        <v>0.96</v>
      </c>
      <c r="M40" s="2">
        <v>0.92</v>
      </c>
      <c r="N40" s="2">
        <v>0.33</v>
      </c>
      <c r="O40" s="2">
        <v>0.93</v>
      </c>
      <c r="P40" s="2">
        <v>0.83</v>
      </c>
      <c r="Q40" s="2">
        <v>0.44</v>
      </c>
      <c r="R40" s="2">
        <v>0.99</v>
      </c>
      <c r="S40" s="2">
        <v>0.91</v>
      </c>
      <c r="T40" s="2">
        <v>0.19</v>
      </c>
      <c r="U40" s="2">
        <v>1.0</v>
      </c>
      <c r="V40" s="2">
        <v>0.89</v>
      </c>
      <c r="W40" s="2">
        <v>0.18</v>
      </c>
      <c r="X40" s="2">
        <v>1.0</v>
      </c>
      <c r="Y40" s="2">
        <v>0.98</v>
      </c>
      <c r="Z40" s="2"/>
    </row>
    <row r="41">
      <c r="A41" s="2">
        <v>38.0</v>
      </c>
      <c r="B41" s="2">
        <v>0.52</v>
      </c>
      <c r="C41" s="2">
        <v>0.98</v>
      </c>
      <c r="D41" s="2">
        <v>0.95</v>
      </c>
      <c r="E41" s="2">
        <v>0.93</v>
      </c>
      <c r="F41" s="2">
        <v>0.83</v>
      </c>
      <c r="G41" s="2">
        <v>2.26</v>
      </c>
      <c r="H41" s="2">
        <v>0.68</v>
      </c>
      <c r="I41" s="2">
        <v>0.92</v>
      </c>
      <c r="J41" s="2">
        <v>0.79</v>
      </c>
      <c r="K41" s="2">
        <v>0.4</v>
      </c>
      <c r="L41" s="2">
        <v>0.95</v>
      </c>
      <c r="M41" s="2">
        <v>0.86</v>
      </c>
      <c r="N41" s="2">
        <v>0.46</v>
      </c>
      <c r="O41" s="2">
        <v>0.91</v>
      </c>
      <c r="P41" s="2">
        <v>0.81</v>
      </c>
      <c r="Q41" s="2">
        <v>0.41</v>
      </c>
      <c r="R41" s="2">
        <v>1.0</v>
      </c>
      <c r="S41" s="2">
        <v>0.91</v>
      </c>
      <c r="T41" s="2">
        <v>0.38</v>
      </c>
      <c r="U41" s="2">
        <v>-1.0</v>
      </c>
      <c r="V41" s="2">
        <v>-1.56</v>
      </c>
      <c r="W41" s="2">
        <v>0.44</v>
      </c>
      <c r="X41" s="2">
        <v>0.95</v>
      </c>
      <c r="Y41" s="2">
        <v>0.85</v>
      </c>
      <c r="Z41" s="2"/>
    </row>
    <row r="42">
      <c r="A42" s="2">
        <v>39.0</v>
      </c>
      <c r="B42" s="2">
        <v>0.4</v>
      </c>
      <c r="C42" s="2">
        <v>0.99</v>
      </c>
      <c r="D42" s="2">
        <v>0.98</v>
      </c>
      <c r="E42" s="2">
        <v>0.95</v>
      </c>
      <c r="F42" s="2">
        <v>0.87</v>
      </c>
      <c r="G42" s="2">
        <v>1.79</v>
      </c>
      <c r="H42" s="2">
        <v>0.39</v>
      </c>
      <c r="I42" s="2">
        <v>0.97</v>
      </c>
      <c r="J42" s="2">
        <v>0.91</v>
      </c>
      <c r="K42" s="2">
        <v>0.34</v>
      </c>
      <c r="L42" s="2">
        <v>0.97</v>
      </c>
      <c r="M42" s="2">
        <v>0.89</v>
      </c>
      <c r="N42" s="2">
        <v>0.39</v>
      </c>
      <c r="O42" s="2">
        <v>0.88</v>
      </c>
      <c r="P42" s="2">
        <v>0.77</v>
      </c>
      <c r="Q42" s="2">
        <v>0.54</v>
      </c>
      <c r="R42" s="2">
        <v>0.95</v>
      </c>
      <c r="S42" s="2">
        <v>0.89</v>
      </c>
      <c r="T42" s="2">
        <v>0.21</v>
      </c>
      <c r="U42" s="2">
        <v>0.0</v>
      </c>
      <c r="V42" s="2" t="s">
        <v>715</v>
      </c>
      <c r="W42" s="2">
        <v>0.49</v>
      </c>
      <c r="X42" s="2">
        <v>0.92</v>
      </c>
      <c r="Y42" s="2">
        <v>0.72</v>
      </c>
      <c r="Z42" s="2"/>
    </row>
    <row r="43">
      <c r="A43" s="2">
        <v>40.0</v>
      </c>
      <c r="B43" s="2">
        <v>0.55</v>
      </c>
      <c r="C43" s="2">
        <v>0.98</v>
      </c>
      <c r="D43" s="2">
        <v>0.95</v>
      </c>
      <c r="E43" s="2">
        <v>0.91</v>
      </c>
      <c r="F43" s="2">
        <v>0.81</v>
      </c>
      <c r="G43" s="2">
        <v>2.52</v>
      </c>
      <c r="H43" s="2">
        <v>0.62</v>
      </c>
      <c r="I43" s="2">
        <v>0.94</v>
      </c>
      <c r="J43" s="2">
        <v>0.82</v>
      </c>
      <c r="K43" s="2">
        <v>0.64</v>
      </c>
      <c r="L43" s="2">
        <v>0.87</v>
      </c>
      <c r="M43" s="2">
        <v>0.71</v>
      </c>
      <c r="N43" s="2">
        <v>0.39</v>
      </c>
      <c r="O43" s="2">
        <v>0.86</v>
      </c>
      <c r="P43" s="2">
        <v>0.74</v>
      </c>
      <c r="Q43" s="2">
        <v>0.21</v>
      </c>
      <c r="R43" s="2">
        <v>1.0</v>
      </c>
      <c r="S43" s="2">
        <v>0.99</v>
      </c>
      <c r="T43" s="2">
        <v>0.29</v>
      </c>
      <c r="U43" s="2">
        <v>-1.0</v>
      </c>
      <c r="V43" s="2">
        <v>-5.74</v>
      </c>
      <c r="W43" s="2">
        <v>0.45</v>
      </c>
      <c r="X43" s="2">
        <v>0.91</v>
      </c>
      <c r="Y43" s="2">
        <v>0.81</v>
      </c>
      <c r="Z43" s="2"/>
    </row>
    <row r="44">
      <c r="A44" s="2">
        <v>41.0</v>
      </c>
      <c r="B44" s="2">
        <v>0.36</v>
      </c>
      <c r="C44" s="2">
        <v>0.99</v>
      </c>
      <c r="D44" s="2">
        <v>0.98</v>
      </c>
      <c r="E44" s="2">
        <v>0.96</v>
      </c>
      <c r="F44" s="2">
        <v>0.92</v>
      </c>
      <c r="G44" s="2">
        <v>2.47</v>
      </c>
      <c r="H44" s="2">
        <v>0.32</v>
      </c>
      <c r="I44" s="2">
        <v>0.99</v>
      </c>
      <c r="J44" s="2">
        <v>0.95</v>
      </c>
      <c r="K44" s="2">
        <v>0.45</v>
      </c>
      <c r="L44" s="2">
        <v>0.9</v>
      </c>
      <c r="M44" s="2">
        <v>0.79</v>
      </c>
      <c r="N44" s="2">
        <v>0.27</v>
      </c>
      <c r="O44" s="2">
        <v>0.97</v>
      </c>
      <c r="P44" s="2">
        <v>0.92</v>
      </c>
      <c r="Q44" s="2">
        <v>0.23</v>
      </c>
      <c r="R44" s="2">
        <v>1.0</v>
      </c>
      <c r="S44" s="2">
        <v>0.95</v>
      </c>
      <c r="T44" s="2">
        <v>0.45</v>
      </c>
      <c r="U44" s="2">
        <v>1.0</v>
      </c>
      <c r="V44" s="2">
        <v>0.39</v>
      </c>
      <c r="W44" s="2">
        <v>0.15</v>
      </c>
      <c r="X44" s="2">
        <v>0.99</v>
      </c>
      <c r="Y44" s="2">
        <v>0.98</v>
      </c>
      <c r="Z44" s="2"/>
    </row>
    <row r="45">
      <c r="A45" s="2">
        <v>42.0</v>
      </c>
      <c r="B45" s="2">
        <v>0.43</v>
      </c>
      <c r="C45" s="2">
        <v>0.99</v>
      </c>
      <c r="D45" s="2">
        <v>0.97</v>
      </c>
      <c r="E45" s="2">
        <v>0.95</v>
      </c>
      <c r="F45" s="2">
        <v>0.89</v>
      </c>
      <c r="G45" s="2">
        <v>1.52</v>
      </c>
      <c r="H45" s="2">
        <v>0.53</v>
      </c>
      <c r="I45" s="2">
        <v>0.94</v>
      </c>
      <c r="J45" s="2">
        <v>0.88</v>
      </c>
      <c r="K45" s="2">
        <v>0.41</v>
      </c>
      <c r="L45" s="2">
        <v>0.96</v>
      </c>
      <c r="M45" s="2">
        <v>0.86</v>
      </c>
      <c r="N45" s="2">
        <v>0.41</v>
      </c>
      <c r="O45" s="2">
        <v>0.95</v>
      </c>
      <c r="P45" s="2">
        <v>0.9</v>
      </c>
      <c r="Q45" s="2">
        <v>0.19</v>
      </c>
      <c r="R45" s="2">
        <v>1.0</v>
      </c>
      <c r="S45" s="2">
        <v>0.98</v>
      </c>
      <c r="T45" s="2">
        <v>0.1</v>
      </c>
      <c r="U45" s="2">
        <v>1.0</v>
      </c>
      <c r="V45" s="2">
        <v>0.93</v>
      </c>
      <c r="W45" s="2">
        <v>0.13</v>
      </c>
      <c r="X45" s="2">
        <v>1.0</v>
      </c>
      <c r="Y45" s="2">
        <v>0.99</v>
      </c>
      <c r="Z45" s="2"/>
    </row>
    <row r="46">
      <c r="A46" s="2">
        <v>43.0</v>
      </c>
      <c r="B46" s="2">
        <v>0.5</v>
      </c>
      <c r="C46" s="2">
        <v>0.98</v>
      </c>
      <c r="D46" s="2">
        <v>0.96</v>
      </c>
      <c r="E46" s="2">
        <v>0.93</v>
      </c>
      <c r="F46" s="2">
        <v>0.84</v>
      </c>
      <c r="G46" s="2">
        <v>2.75</v>
      </c>
      <c r="H46" s="2">
        <v>0.7</v>
      </c>
      <c r="I46" s="2">
        <v>0.92</v>
      </c>
      <c r="J46" s="2">
        <v>0.77</v>
      </c>
      <c r="K46" s="2">
        <v>0.46</v>
      </c>
      <c r="L46" s="2">
        <v>0.93</v>
      </c>
      <c r="M46" s="2">
        <v>0.84</v>
      </c>
      <c r="N46" s="2">
        <v>0.36</v>
      </c>
      <c r="O46" s="2">
        <v>0.94</v>
      </c>
      <c r="P46" s="2">
        <v>0.89</v>
      </c>
      <c r="Q46" s="2">
        <v>0.2</v>
      </c>
      <c r="R46" s="2">
        <v>1.0</v>
      </c>
      <c r="S46" s="2">
        <v>0.99</v>
      </c>
      <c r="T46" s="2">
        <v>0.23</v>
      </c>
      <c r="U46" s="2">
        <v>1.0</v>
      </c>
      <c r="V46" s="2">
        <v>0.98</v>
      </c>
      <c r="W46" s="2">
        <v>0.31</v>
      </c>
      <c r="X46" s="2">
        <v>0.96</v>
      </c>
      <c r="Y46" s="2">
        <v>0.89</v>
      </c>
      <c r="Z46" s="2"/>
    </row>
    <row r="47">
      <c r="A47" s="2">
        <v>44.0</v>
      </c>
      <c r="B47" s="2">
        <v>0.49</v>
      </c>
      <c r="C47" s="2">
        <v>0.98</v>
      </c>
      <c r="D47" s="2">
        <v>0.95</v>
      </c>
      <c r="E47" s="2">
        <v>0.93</v>
      </c>
      <c r="F47" s="2">
        <v>0.84</v>
      </c>
      <c r="G47" s="2">
        <v>3.38</v>
      </c>
      <c r="H47" s="2">
        <v>0.62</v>
      </c>
      <c r="I47" s="2">
        <v>0.89</v>
      </c>
      <c r="J47" s="2">
        <v>0.78</v>
      </c>
      <c r="K47" s="2">
        <v>0.38</v>
      </c>
      <c r="L47" s="2">
        <v>0.96</v>
      </c>
      <c r="M47" s="2">
        <v>0.86</v>
      </c>
      <c r="N47" s="2">
        <v>0.55</v>
      </c>
      <c r="O47" s="2">
        <v>0.89</v>
      </c>
      <c r="P47" s="2">
        <v>0.77</v>
      </c>
      <c r="Q47" s="2">
        <v>0.15</v>
      </c>
      <c r="R47" s="2">
        <v>1.0</v>
      </c>
      <c r="S47" s="2">
        <v>0.99</v>
      </c>
      <c r="T47" s="2">
        <v>0.2</v>
      </c>
      <c r="U47" s="2">
        <v>1.0</v>
      </c>
      <c r="V47" s="2">
        <v>0.77</v>
      </c>
      <c r="W47" s="2">
        <v>0.29</v>
      </c>
      <c r="X47" s="2">
        <v>0.99</v>
      </c>
      <c r="Y47" s="2">
        <v>0.94</v>
      </c>
      <c r="Z47" s="2"/>
    </row>
    <row r="48">
      <c r="A48" s="2">
        <v>45.0</v>
      </c>
      <c r="B48" s="2">
        <v>0.58</v>
      </c>
      <c r="C48" s="2">
        <v>0.98</v>
      </c>
      <c r="D48" s="2">
        <v>0.95</v>
      </c>
      <c r="E48" s="2">
        <v>0.88</v>
      </c>
      <c r="F48" s="2">
        <v>0.76</v>
      </c>
      <c r="G48" s="2">
        <v>3.33</v>
      </c>
      <c r="H48" s="2">
        <v>0.71</v>
      </c>
      <c r="I48" s="2">
        <v>0.87</v>
      </c>
      <c r="J48" s="2">
        <v>0.74</v>
      </c>
      <c r="K48" s="2">
        <v>0.68</v>
      </c>
      <c r="L48" s="2">
        <v>0.8</v>
      </c>
      <c r="M48" s="2">
        <v>0.57</v>
      </c>
      <c r="N48" s="2">
        <v>0.36</v>
      </c>
      <c r="O48" s="2">
        <v>0.94</v>
      </c>
      <c r="P48" s="2">
        <v>0.86</v>
      </c>
      <c r="Q48" s="2">
        <v>0.24</v>
      </c>
      <c r="R48" s="2">
        <v>1.0</v>
      </c>
      <c r="S48" s="2">
        <v>0.98</v>
      </c>
      <c r="T48" s="2">
        <v>0.22</v>
      </c>
      <c r="U48" s="2">
        <v>0.99</v>
      </c>
      <c r="V48" s="2">
        <v>0.7</v>
      </c>
      <c r="W48" s="2">
        <v>0.33</v>
      </c>
      <c r="X48" s="2">
        <v>0.97</v>
      </c>
      <c r="Y48" s="2">
        <v>0.89</v>
      </c>
      <c r="Z48" s="2"/>
    </row>
    <row r="49">
      <c r="A49" s="2">
        <v>46.0</v>
      </c>
      <c r="B49" s="2">
        <v>0.51</v>
      </c>
      <c r="C49" s="2">
        <v>0.98</v>
      </c>
      <c r="D49" s="2">
        <v>0.96</v>
      </c>
      <c r="E49" s="2">
        <v>0.94</v>
      </c>
      <c r="F49" s="2">
        <v>0.85</v>
      </c>
      <c r="G49" s="2">
        <v>2.82</v>
      </c>
      <c r="H49" s="2">
        <v>0.54</v>
      </c>
      <c r="I49" s="2">
        <v>0.96</v>
      </c>
      <c r="J49" s="2">
        <v>0.87</v>
      </c>
      <c r="K49" s="2">
        <v>0.39</v>
      </c>
      <c r="L49" s="2">
        <v>0.96</v>
      </c>
      <c r="M49" s="2">
        <v>0.88</v>
      </c>
      <c r="N49" s="2">
        <v>0.47</v>
      </c>
      <c r="O49" s="2">
        <v>0.95</v>
      </c>
      <c r="P49" s="2">
        <v>0.85</v>
      </c>
      <c r="Q49" s="2">
        <v>0.87</v>
      </c>
      <c r="R49" s="2">
        <v>0.91</v>
      </c>
      <c r="S49" s="2">
        <v>0.79</v>
      </c>
      <c r="T49" s="2">
        <v>0.21</v>
      </c>
      <c r="U49" s="2">
        <v>1.0</v>
      </c>
      <c r="V49" s="2">
        <v>0.89</v>
      </c>
      <c r="W49" s="2">
        <v>0.63</v>
      </c>
      <c r="X49" s="2">
        <v>0.86</v>
      </c>
      <c r="Y49" s="2">
        <v>0.63</v>
      </c>
      <c r="Z49" s="2"/>
    </row>
    <row r="50">
      <c r="A50" s="2">
        <v>47.0</v>
      </c>
      <c r="B50" s="2">
        <v>0.45</v>
      </c>
      <c r="C50" s="2">
        <v>0.98</v>
      </c>
      <c r="D50" s="2">
        <v>0.96</v>
      </c>
      <c r="E50" s="2">
        <v>0.95</v>
      </c>
      <c r="F50" s="2">
        <v>0.87</v>
      </c>
      <c r="G50" s="2">
        <v>2.02</v>
      </c>
      <c r="H50" s="2">
        <v>0.52</v>
      </c>
      <c r="I50" s="2">
        <v>0.95</v>
      </c>
      <c r="J50" s="2">
        <v>0.86</v>
      </c>
      <c r="K50" s="2">
        <v>0.29</v>
      </c>
      <c r="L50" s="2">
        <v>0.97</v>
      </c>
      <c r="M50" s="2">
        <v>0.92</v>
      </c>
      <c r="N50" s="2">
        <v>0.42</v>
      </c>
      <c r="O50" s="2">
        <v>0.96</v>
      </c>
      <c r="P50" s="2">
        <v>0.85</v>
      </c>
      <c r="Q50" s="2">
        <v>1.04</v>
      </c>
      <c r="R50" s="2">
        <v>0.92</v>
      </c>
      <c r="S50" s="2">
        <v>0.8</v>
      </c>
      <c r="T50" s="2">
        <v>0.67</v>
      </c>
      <c r="U50" s="2">
        <v>-1.0</v>
      </c>
      <c r="V50" s="2">
        <v>-6.1</v>
      </c>
      <c r="W50" s="2">
        <v>0.47</v>
      </c>
      <c r="X50" s="2">
        <v>0.91</v>
      </c>
      <c r="Y50" s="2">
        <v>0.72</v>
      </c>
      <c r="Z50" s="2"/>
    </row>
    <row r="51">
      <c r="A51" s="2">
        <v>48.0</v>
      </c>
      <c r="B51" s="2">
        <v>0.42</v>
      </c>
      <c r="C51" s="2">
        <v>0.98</v>
      </c>
      <c r="D51" s="2">
        <v>0.96</v>
      </c>
      <c r="E51" s="2">
        <v>0.95</v>
      </c>
      <c r="F51" s="2">
        <v>0.88</v>
      </c>
      <c r="G51" s="2">
        <v>1.71</v>
      </c>
      <c r="H51" s="2">
        <v>0.46</v>
      </c>
      <c r="I51" s="2">
        <v>0.95</v>
      </c>
      <c r="J51" s="2">
        <v>0.89</v>
      </c>
      <c r="K51" s="2">
        <v>0.34</v>
      </c>
      <c r="L51" s="2">
        <v>0.98</v>
      </c>
      <c r="M51" s="2">
        <v>0.89</v>
      </c>
      <c r="N51" s="2">
        <v>0.48</v>
      </c>
      <c r="O51" s="2">
        <v>0.89</v>
      </c>
      <c r="P51" s="2">
        <v>0.75</v>
      </c>
      <c r="Q51" s="2">
        <v>0.34</v>
      </c>
      <c r="R51" s="2">
        <v>1.0</v>
      </c>
      <c r="S51" s="2">
        <v>0.75</v>
      </c>
      <c r="T51" s="2">
        <v>0.8</v>
      </c>
      <c r="U51" s="2">
        <v>1.0</v>
      </c>
      <c r="V51" s="2">
        <v>-0.77</v>
      </c>
      <c r="W51" s="2">
        <v>0.23</v>
      </c>
      <c r="X51" s="2">
        <v>0.99</v>
      </c>
      <c r="Y51" s="2">
        <v>0.91</v>
      </c>
      <c r="Z51" s="2"/>
    </row>
    <row r="52">
      <c r="A52" s="2">
        <v>49.0</v>
      </c>
      <c r="B52" s="2">
        <v>0.5</v>
      </c>
      <c r="C52" s="2">
        <v>0.98</v>
      </c>
      <c r="D52" s="2">
        <v>0.95</v>
      </c>
      <c r="E52" s="2">
        <v>0.93</v>
      </c>
      <c r="F52" s="2">
        <v>0.85</v>
      </c>
      <c r="G52" s="2">
        <v>3.22</v>
      </c>
      <c r="H52" s="2">
        <v>0.59</v>
      </c>
      <c r="I52" s="2">
        <v>0.92</v>
      </c>
      <c r="J52" s="2">
        <v>0.84</v>
      </c>
      <c r="K52" s="2">
        <v>0.3</v>
      </c>
      <c r="L52" s="2">
        <v>0.98</v>
      </c>
      <c r="M52" s="2">
        <v>0.92</v>
      </c>
      <c r="N52" s="2">
        <v>0.48</v>
      </c>
      <c r="O52" s="2">
        <v>0.94</v>
      </c>
      <c r="P52" s="2">
        <v>0.85</v>
      </c>
      <c r="Q52" s="2">
        <v>0.93</v>
      </c>
      <c r="R52" s="2">
        <v>0.91</v>
      </c>
      <c r="S52" s="2">
        <v>0.74</v>
      </c>
      <c r="T52" s="2">
        <v>0.31</v>
      </c>
      <c r="U52" s="2">
        <v>1.0</v>
      </c>
      <c r="V52" s="2">
        <v>0.77</v>
      </c>
      <c r="W52" s="2">
        <v>0.69</v>
      </c>
      <c r="X52" s="2">
        <v>0.86</v>
      </c>
      <c r="Y52" s="2">
        <v>0.6</v>
      </c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716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690</v>
      </c>
      <c r="B55" s="2" t="s">
        <v>691</v>
      </c>
      <c r="C55" s="2" t="s">
        <v>692</v>
      </c>
      <c r="D55" s="2" t="s">
        <v>693</v>
      </c>
      <c r="E55" s="2" t="s">
        <v>694</v>
      </c>
      <c r="F55" s="2" t="s">
        <v>695</v>
      </c>
      <c r="G55" s="2" t="s">
        <v>696</v>
      </c>
      <c r="H55" s="2" t="s">
        <v>697</v>
      </c>
      <c r="I55" s="2" t="s">
        <v>698</v>
      </c>
      <c r="J55" s="2" t="s">
        <v>699</v>
      </c>
      <c r="K55" s="2" t="s">
        <v>700</v>
      </c>
      <c r="L55" s="2" t="s">
        <v>701</v>
      </c>
      <c r="M55" s="2" t="s">
        <v>702</v>
      </c>
      <c r="N55" s="2" t="s">
        <v>703</v>
      </c>
      <c r="O55" s="2" t="s">
        <v>704</v>
      </c>
      <c r="P55" s="2" t="s">
        <v>705</v>
      </c>
      <c r="Q55" s="2" t="s">
        <v>706</v>
      </c>
      <c r="R55" s="2" t="s">
        <v>707</v>
      </c>
      <c r="S55" s="2" t="s">
        <v>708</v>
      </c>
      <c r="T55" s="2" t="s">
        <v>709</v>
      </c>
      <c r="U55" s="2" t="s">
        <v>710</v>
      </c>
      <c r="V55" s="2" t="s">
        <v>711</v>
      </c>
      <c r="W55" s="2" t="s">
        <v>712</v>
      </c>
      <c r="X55" s="2" t="s">
        <v>713</v>
      </c>
      <c r="Y55" s="2" t="s">
        <v>714</v>
      </c>
      <c r="Z55" s="2"/>
    </row>
    <row r="56">
      <c r="A56" s="2">
        <v>0.0</v>
      </c>
      <c r="B56" s="2">
        <v>0.45</v>
      </c>
      <c r="C56" s="2">
        <v>0.99</v>
      </c>
      <c r="D56" s="2">
        <v>0.97</v>
      </c>
      <c r="E56" s="2">
        <v>0.94</v>
      </c>
      <c r="F56" s="2">
        <v>0.87</v>
      </c>
      <c r="G56" s="2">
        <v>2.26</v>
      </c>
      <c r="H56" s="2">
        <v>0.24</v>
      </c>
      <c r="I56" s="2">
        <v>0.99</v>
      </c>
      <c r="J56" s="2">
        <v>0.97</v>
      </c>
      <c r="K56" s="2">
        <v>0.62</v>
      </c>
      <c r="L56" s="2">
        <v>0.85</v>
      </c>
      <c r="M56" s="2">
        <v>0.69</v>
      </c>
      <c r="N56" s="2">
        <v>0.42</v>
      </c>
      <c r="O56" s="2">
        <v>0.89</v>
      </c>
      <c r="P56" s="2">
        <v>0.78</v>
      </c>
      <c r="Q56" s="2">
        <v>0.24</v>
      </c>
      <c r="R56" s="2">
        <v>1.0</v>
      </c>
      <c r="S56" s="2">
        <v>0.99</v>
      </c>
      <c r="T56" s="2">
        <v>0.61</v>
      </c>
      <c r="U56" s="2">
        <v>-1.0</v>
      </c>
      <c r="V56" s="2">
        <v>-0.13</v>
      </c>
      <c r="W56" s="2">
        <v>0.38</v>
      </c>
      <c r="X56" s="2">
        <v>0.94</v>
      </c>
      <c r="Y56" s="2">
        <v>0.88</v>
      </c>
      <c r="Z56" s="2"/>
    </row>
    <row r="57">
      <c r="A57" s="2">
        <v>1.0</v>
      </c>
      <c r="B57" s="2">
        <v>0.71</v>
      </c>
      <c r="C57" s="2">
        <v>0.94</v>
      </c>
      <c r="D57" s="2">
        <v>0.89</v>
      </c>
      <c r="E57" s="2">
        <v>0.85</v>
      </c>
      <c r="F57" s="2">
        <v>0.72</v>
      </c>
      <c r="G57" s="2">
        <v>3.24</v>
      </c>
      <c r="H57" s="2">
        <v>0.81</v>
      </c>
      <c r="I57" s="2">
        <v>0.85</v>
      </c>
      <c r="J57" s="2">
        <v>0.71</v>
      </c>
      <c r="K57" s="2">
        <v>0.67</v>
      </c>
      <c r="L57" s="2">
        <v>0.79</v>
      </c>
      <c r="M57" s="2">
        <v>0.61</v>
      </c>
      <c r="N57" s="2">
        <v>0.31</v>
      </c>
      <c r="O57" s="2">
        <v>0.93</v>
      </c>
      <c r="P57" s="2">
        <v>0.83</v>
      </c>
      <c r="Q57" s="2">
        <v>0.66</v>
      </c>
      <c r="R57" s="2">
        <v>0.88</v>
      </c>
      <c r="S57" s="2">
        <v>0.64</v>
      </c>
      <c r="T57" s="2">
        <v>1.94</v>
      </c>
      <c r="U57" s="2">
        <v>-1.0</v>
      </c>
      <c r="V57" s="2">
        <v>-1.07</v>
      </c>
      <c r="W57" s="2">
        <v>0.56</v>
      </c>
      <c r="X57" s="2">
        <v>0.93</v>
      </c>
      <c r="Y57" s="2">
        <v>0.84</v>
      </c>
      <c r="Z57" s="2"/>
    </row>
    <row r="58">
      <c r="A58" s="2">
        <v>2.0</v>
      </c>
      <c r="B58" s="2">
        <v>0.46</v>
      </c>
      <c r="C58" s="2">
        <v>0.98</v>
      </c>
      <c r="D58" s="2">
        <v>0.96</v>
      </c>
      <c r="E58" s="2">
        <v>0.94</v>
      </c>
      <c r="F58" s="2">
        <v>0.89</v>
      </c>
      <c r="G58" s="2">
        <v>2.52</v>
      </c>
      <c r="H58" s="2">
        <v>0.63</v>
      </c>
      <c r="I58" s="2">
        <v>0.94</v>
      </c>
      <c r="J58" s="2">
        <v>0.85</v>
      </c>
      <c r="K58" s="2">
        <v>0.45</v>
      </c>
      <c r="L58" s="2">
        <v>0.94</v>
      </c>
      <c r="M58" s="2">
        <v>0.86</v>
      </c>
      <c r="N58" s="2">
        <v>0.32</v>
      </c>
      <c r="O58" s="2">
        <v>0.96</v>
      </c>
      <c r="P58" s="2">
        <v>0.91</v>
      </c>
      <c r="Q58" s="2">
        <v>0.27</v>
      </c>
      <c r="R58" s="2">
        <v>0.99</v>
      </c>
      <c r="S58" s="2">
        <v>0.98</v>
      </c>
      <c r="T58" s="2">
        <v>0.2</v>
      </c>
      <c r="U58" s="2">
        <v>1.0</v>
      </c>
      <c r="V58" s="2">
        <v>0.98</v>
      </c>
      <c r="W58" s="2">
        <v>0.3</v>
      </c>
      <c r="X58" s="2">
        <v>0.95</v>
      </c>
      <c r="Y58" s="2">
        <v>0.9</v>
      </c>
      <c r="Z58" s="2"/>
    </row>
    <row r="59">
      <c r="A59" s="2">
        <v>3.0</v>
      </c>
      <c r="B59" s="2">
        <v>0.53</v>
      </c>
      <c r="C59" s="2">
        <v>0.98</v>
      </c>
      <c r="D59" s="2">
        <v>0.95</v>
      </c>
      <c r="E59" s="2">
        <v>0.91</v>
      </c>
      <c r="F59" s="2">
        <v>0.82</v>
      </c>
      <c r="G59" s="2">
        <v>3.06</v>
      </c>
      <c r="H59" s="2">
        <v>0.53</v>
      </c>
      <c r="I59" s="2">
        <v>0.92</v>
      </c>
      <c r="J59" s="2">
        <v>0.84</v>
      </c>
      <c r="K59" s="2">
        <v>0.41</v>
      </c>
      <c r="L59" s="2">
        <v>0.93</v>
      </c>
      <c r="M59" s="2">
        <v>0.85</v>
      </c>
      <c r="N59" s="2">
        <v>0.42</v>
      </c>
      <c r="O59" s="2">
        <v>0.89</v>
      </c>
      <c r="P59" s="2">
        <v>0.77</v>
      </c>
      <c r="Q59" s="2">
        <v>0.73</v>
      </c>
      <c r="R59" s="2">
        <v>1.0</v>
      </c>
      <c r="S59" s="2">
        <v>-0.25</v>
      </c>
      <c r="T59" s="2">
        <v>1.91</v>
      </c>
      <c r="U59" s="2">
        <v>1.0</v>
      </c>
      <c r="V59" s="2">
        <v>-0.26</v>
      </c>
      <c r="W59" s="2">
        <v>0.55</v>
      </c>
      <c r="X59" s="2">
        <v>0.9</v>
      </c>
      <c r="Y59" s="2">
        <v>0.73</v>
      </c>
      <c r="Z59" s="2"/>
    </row>
    <row r="60">
      <c r="A60" s="2">
        <v>4.0</v>
      </c>
      <c r="B60" s="2">
        <v>0.41</v>
      </c>
      <c r="C60" s="2">
        <v>0.99</v>
      </c>
      <c r="D60" s="2">
        <v>0.97</v>
      </c>
      <c r="E60" s="2">
        <v>0.94</v>
      </c>
      <c r="F60" s="2">
        <v>0.88</v>
      </c>
      <c r="G60" s="2">
        <v>2.8</v>
      </c>
      <c r="H60" s="2">
        <v>0.36</v>
      </c>
      <c r="I60" s="2">
        <v>0.97</v>
      </c>
      <c r="J60" s="2">
        <v>0.93</v>
      </c>
      <c r="K60" s="2">
        <v>0.33</v>
      </c>
      <c r="L60" s="2">
        <v>0.94</v>
      </c>
      <c r="M60" s="2">
        <v>0.89</v>
      </c>
      <c r="N60" s="2">
        <v>0.25</v>
      </c>
      <c r="O60" s="2">
        <v>0.95</v>
      </c>
      <c r="P60" s="2">
        <v>0.9</v>
      </c>
      <c r="Q60" s="2">
        <v>0.67</v>
      </c>
      <c r="R60" s="2">
        <v>0.94</v>
      </c>
      <c r="S60" s="2">
        <v>0.79</v>
      </c>
      <c r="T60" s="2">
        <v>2.0</v>
      </c>
      <c r="U60" s="2">
        <v>1.0</v>
      </c>
      <c r="V60" s="2">
        <v>-0.38</v>
      </c>
      <c r="W60" s="2">
        <v>0.45</v>
      </c>
      <c r="X60" s="2">
        <v>0.9</v>
      </c>
      <c r="Y60" s="2">
        <v>0.79</v>
      </c>
      <c r="Z60" s="2"/>
    </row>
    <row r="61">
      <c r="A61" s="2">
        <v>5.0</v>
      </c>
      <c r="B61" s="2">
        <v>0.52</v>
      </c>
      <c r="C61" s="2">
        <v>0.98</v>
      </c>
      <c r="D61" s="2">
        <v>0.96</v>
      </c>
      <c r="E61" s="2">
        <v>0.92</v>
      </c>
      <c r="F61" s="2">
        <v>0.85</v>
      </c>
      <c r="G61" s="2">
        <v>2.92</v>
      </c>
      <c r="H61" s="2">
        <v>0.34</v>
      </c>
      <c r="I61" s="2">
        <v>0.98</v>
      </c>
      <c r="J61" s="2">
        <v>0.95</v>
      </c>
      <c r="K61" s="2">
        <v>0.49</v>
      </c>
      <c r="L61" s="2">
        <v>0.9</v>
      </c>
      <c r="M61" s="2">
        <v>0.78</v>
      </c>
      <c r="N61" s="2">
        <v>0.46</v>
      </c>
      <c r="O61" s="2">
        <v>0.86</v>
      </c>
      <c r="P61" s="2">
        <v>0.71</v>
      </c>
      <c r="Q61" s="2">
        <v>0.11</v>
      </c>
      <c r="R61" s="2">
        <v>1.0</v>
      </c>
      <c r="S61" s="2">
        <v>1.0</v>
      </c>
      <c r="T61" s="2">
        <v>1.69</v>
      </c>
      <c r="U61" s="2">
        <v>1.0</v>
      </c>
      <c r="V61" s="2">
        <v>0.28</v>
      </c>
      <c r="W61" s="2">
        <v>0.64</v>
      </c>
      <c r="X61" s="2">
        <v>0.94</v>
      </c>
      <c r="Y61" s="2">
        <v>0.76</v>
      </c>
      <c r="Z61" s="2"/>
    </row>
    <row r="62">
      <c r="A62" s="2">
        <v>6.0</v>
      </c>
      <c r="B62" s="2">
        <v>0.73</v>
      </c>
      <c r="C62" s="2">
        <v>0.94</v>
      </c>
      <c r="D62" s="2">
        <v>0.89</v>
      </c>
      <c r="E62" s="2">
        <v>0.86</v>
      </c>
      <c r="F62" s="2">
        <v>0.73</v>
      </c>
      <c r="G62" s="2">
        <v>3.48</v>
      </c>
      <c r="H62" s="2">
        <v>0.84</v>
      </c>
      <c r="I62" s="2">
        <v>0.89</v>
      </c>
      <c r="J62" s="2">
        <v>0.76</v>
      </c>
      <c r="K62" s="2">
        <v>0.79</v>
      </c>
      <c r="L62" s="2">
        <v>0.78</v>
      </c>
      <c r="M62" s="2">
        <v>0.56</v>
      </c>
      <c r="N62" s="2">
        <v>0.3</v>
      </c>
      <c r="O62" s="2">
        <v>0.94</v>
      </c>
      <c r="P62" s="2">
        <v>0.87</v>
      </c>
      <c r="Q62" s="2">
        <v>0.98</v>
      </c>
      <c r="R62" s="2">
        <v>0.92</v>
      </c>
      <c r="S62" s="2">
        <v>0.67</v>
      </c>
      <c r="T62" s="2">
        <v>1.94</v>
      </c>
      <c r="U62" s="2">
        <v>1.0</v>
      </c>
      <c r="V62" s="2">
        <v>0.07</v>
      </c>
      <c r="W62" s="2">
        <v>0.2</v>
      </c>
      <c r="X62" s="2">
        <v>0.99</v>
      </c>
      <c r="Y62" s="2">
        <v>0.98</v>
      </c>
      <c r="Z62" s="2"/>
    </row>
    <row r="63">
      <c r="A63" s="2">
        <v>7.0</v>
      </c>
      <c r="B63" s="2">
        <v>0.42</v>
      </c>
      <c r="C63" s="2">
        <v>0.99</v>
      </c>
      <c r="D63" s="2">
        <v>0.97</v>
      </c>
      <c r="E63" s="2">
        <v>0.95</v>
      </c>
      <c r="F63" s="2">
        <v>0.9</v>
      </c>
      <c r="G63" s="2">
        <v>2.53</v>
      </c>
      <c r="H63" s="2">
        <v>0.45</v>
      </c>
      <c r="I63" s="2">
        <v>0.96</v>
      </c>
      <c r="J63" s="2">
        <v>0.91</v>
      </c>
      <c r="K63" s="2">
        <v>0.37</v>
      </c>
      <c r="L63" s="2">
        <v>0.94</v>
      </c>
      <c r="M63" s="2">
        <v>0.88</v>
      </c>
      <c r="N63" s="2">
        <v>0.45</v>
      </c>
      <c r="O63" s="2">
        <v>0.91</v>
      </c>
      <c r="P63" s="2">
        <v>0.83</v>
      </c>
      <c r="Q63" s="2">
        <v>0.15</v>
      </c>
      <c r="R63" s="2">
        <v>1.0</v>
      </c>
      <c r="S63" s="2">
        <v>1.0</v>
      </c>
      <c r="T63" s="2">
        <v>0.88</v>
      </c>
      <c r="U63" s="2">
        <v>-1.0</v>
      </c>
      <c r="V63" s="2">
        <v>-76.74</v>
      </c>
      <c r="W63" s="2">
        <v>0.43</v>
      </c>
      <c r="X63" s="2">
        <v>0.9</v>
      </c>
      <c r="Y63" s="2">
        <v>0.79</v>
      </c>
      <c r="Z63" s="2"/>
    </row>
    <row r="64">
      <c r="A64" s="2">
        <v>8.0</v>
      </c>
      <c r="B64" s="2">
        <v>0.38</v>
      </c>
      <c r="C64" s="2">
        <v>0.99</v>
      </c>
      <c r="D64" s="2">
        <v>0.98</v>
      </c>
      <c r="E64" s="2">
        <v>0.94</v>
      </c>
      <c r="F64" s="2">
        <v>0.88</v>
      </c>
      <c r="G64" s="2">
        <v>2.6</v>
      </c>
      <c r="H64" s="2">
        <v>0.31</v>
      </c>
      <c r="I64" s="2">
        <v>0.96</v>
      </c>
      <c r="J64" s="2">
        <v>0.93</v>
      </c>
      <c r="K64" s="2">
        <v>0.27</v>
      </c>
      <c r="L64" s="2">
        <v>0.96</v>
      </c>
      <c r="M64" s="2">
        <v>0.92</v>
      </c>
      <c r="N64" s="2">
        <v>0.44</v>
      </c>
      <c r="O64" s="2">
        <v>0.87</v>
      </c>
      <c r="P64" s="2">
        <v>0.74</v>
      </c>
      <c r="Q64" s="2">
        <v>0.93</v>
      </c>
      <c r="R64" s="2">
        <v>1.0</v>
      </c>
      <c r="S64" s="2">
        <v>-1.06</v>
      </c>
      <c r="T64" s="2">
        <v>1.86</v>
      </c>
      <c r="U64" s="2">
        <v>1.0</v>
      </c>
      <c r="V64" s="2">
        <v>-0.2</v>
      </c>
      <c r="W64" s="2">
        <v>0.17</v>
      </c>
      <c r="X64" s="2">
        <v>0.99</v>
      </c>
      <c r="Y64" s="2">
        <v>0.97</v>
      </c>
      <c r="Z64" s="2"/>
    </row>
    <row r="65">
      <c r="A65" s="2">
        <v>9.0</v>
      </c>
      <c r="B65" s="2">
        <v>0.48</v>
      </c>
      <c r="C65" s="2">
        <v>0.98</v>
      </c>
      <c r="D65" s="2">
        <v>0.96</v>
      </c>
      <c r="E65" s="2">
        <v>0.91</v>
      </c>
      <c r="F65" s="2">
        <v>0.83</v>
      </c>
      <c r="G65" s="2">
        <v>2.69</v>
      </c>
      <c r="H65" s="2">
        <v>0.45</v>
      </c>
      <c r="I65" s="2">
        <v>0.95</v>
      </c>
      <c r="J65" s="2">
        <v>0.89</v>
      </c>
      <c r="K65" s="2">
        <v>0.53</v>
      </c>
      <c r="L65" s="2">
        <v>0.86</v>
      </c>
      <c r="M65" s="2">
        <v>0.7</v>
      </c>
      <c r="N65" s="2">
        <v>0.45</v>
      </c>
      <c r="O65" s="2">
        <v>0.87</v>
      </c>
      <c r="P65" s="2">
        <v>0.68</v>
      </c>
      <c r="Q65" s="2">
        <v>0.83</v>
      </c>
      <c r="R65" s="2">
        <v>1.0</v>
      </c>
      <c r="S65" s="2">
        <v>0.8</v>
      </c>
      <c r="T65" s="2">
        <v>0.65</v>
      </c>
      <c r="U65" s="2">
        <v>-1.0</v>
      </c>
      <c r="V65" s="2">
        <v>-33.95</v>
      </c>
      <c r="W65" s="2">
        <v>0.18</v>
      </c>
      <c r="X65" s="2">
        <v>0.99</v>
      </c>
      <c r="Y65" s="2">
        <v>0.97</v>
      </c>
      <c r="Z65" s="2"/>
    </row>
    <row r="66">
      <c r="A66" s="2">
        <v>10.0</v>
      </c>
      <c r="B66" s="2">
        <v>0.69</v>
      </c>
      <c r="C66" s="2">
        <v>0.96</v>
      </c>
      <c r="D66" s="2">
        <v>0.91</v>
      </c>
      <c r="E66" s="2">
        <v>0.85</v>
      </c>
      <c r="F66" s="2">
        <v>0.71</v>
      </c>
      <c r="G66" s="2">
        <v>3.88</v>
      </c>
      <c r="H66" s="2">
        <v>0.69</v>
      </c>
      <c r="I66" s="2">
        <v>0.91</v>
      </c>
      <c r="J66" s="2">
        <v>0.82</v>
      </c>
      <c r="K66" s="2">
        <v>0.86</v>
      </c>
      <c r="L66" s="2">
        <v>0.68</v>
      </c>
      <c r="M66" s="2">
        <v>0.36</v>
      </c>
      <c r="N66" s="2">
        <v>0.23</v>
      </c>
      <c r="O66" s="2">
        <v>0.96</v>
      </c>
      <c r="P66" s="2">
        <v>0.93</v>
      </c>
      <c r="Q66" s="2">
        <v>1.03</v>
      </c>
      <c r="R66" s="2">
        <v>0.86</v>
      </c>
      <c r="S66" s="2">
        <v>0.7</v>
      </c>
      <c r="T66" s="2">
        <v>2.09</v>
      </c>
      <c r="U66" s="2">
        <v>1.0</v>
      </c>
      <c r="V66" s="2">
        <v>-0.08</v>
      </c>
      <c r="W66" s="2">
        <v>0.16</v>
      </c>
      <c r="X66" s="2">
        <v>0.99</v>
      </c>
      <c r="Y66" s="2">
        <v>0.98</v>
      </c>
      <c r="Z66" s="2"/>
    </row>
    <row r="67">
      <c r="A67" s="2">
        <v>11.0</v>
      </c>
      <c r="B67" s="2">
        <v>0.59</v>
      </c>
      <c r="C67" s="2">
        <v>0.97</v>
      </c>
      <c r="D67" s="2">
        <v>0.94</v>
      </c>
      <c r="E67" s="2">
        <v>0.89</v>
      </c>
      <c r="F67" s="2">
        <v>0.78</v>
      </c>
      <c r="G67" s="2">
        <v>2.99</v>
      </c>
      <c r="H67" s="2">
        <v>0.54</v>
      </c>
      <c r="I67" s="2">
        <v>0.93</v>
      </c>
      <c r="J67" s="2">
        <v>0.85</v>
      </c>
      <c r="K67" s="2">
        <v>0.74</v>
      </c>
      <c r="L67" s="2">
        <v>0.77</v>
      </c>
      <c r="M67" s="2">
        <v>0.54</v>
      </c>
      <c r="N67" s="2">
        <v>0.34</v>
      </c>
      <c r="O67" s="2">
        <v>0.93</v>
      </c>
      <c r="P67" s="2">
        <v>0.85</v>
      </c>
      <c r="Q67" s="2">
        <v>0.39</v>
      </c>
      <c r="R67" s="2">
        <v>1.0</v>
      </c>
      <c r="S67" s="2">
        <v>-0.27</v>
      </c>
      <c r="T67" s="2">
        <v>0.62</v>
      </c>
      <c r="U67" s="2">
        <v>-1.0</v>
      </c>
      <c r="V67" s="2">
        <v>-30.63</v>
      </c>
      <c r="W67" s="2">
        <v>0.35</v>
      </c>
      <c r="X67" s="2">
        <v>0.95</v>
      </c>
      <c r="Y67" s="2">
        <v>0.9</v>
      </c>
      <c r="Z67" s="2"/>
    </row>
    <row r="68">
      <c r="A68" s="2">
        <v>12.0</v>
      </c>
      <c r="B68" s="2">
        <v>0.75</v>
      </c>
      <c r="C68" s="2">
        <v>0.94</v>
      </c>
      <c r="D68" s="2">
        <v>0.89</v>
      </c>
      <c r="E68" s="2">
        <v>0.78</v>
      </c>
      <c r="F68" s="2">
        <v>0.6</v>
      </c>
      <c r="G68" s="2">
        <v>4.27</v>
      </c>
      <c r="H68" s="2">
        <v>0.59</v>
      </c>
      <c r="I68" s="2">
        <v>0.91</v>
      </c>
      <c r="J68" s="2">
        <v>0.82</v>
      </c>
      <c r="K68" s="2">
        <v>0.92</v>
      </c>
      <c r="L68" s="2">
        <v>0.57</v>
      </c>
      <c r="M68" s="2">
        <v>0.21</v>
      </c>
      <c r="N68" s="2">
        <v>0.39</v>
      </c>
      <c r="O68" s="2">
        <v>0.81</v>
      </c>
      <c r="P68" s="2">
        <v>0.64</v>
      </c>
      <c r="Q68" s="2">
        <v>1.62</v>
      </c>
      <c r="R68" s="2">
        <v>0.31</v>
      </c>
      <c r="S68" s="2">
        <v>-0.12</v>
      </c>
      <c r="T68" s="2">
        <v>0.61</v>
      </c>
      <c r="U68" s="2">
        <v>1.0</v>
      </c>
      <c r="V68" s="2">
        <v>-0.15</v>
      </c>
      <c r="W68" s="2">
        <v>0.48</v>
      </c>
      <c r="X68" s="2">
        <v>0.97</v>
      </c>
      <c r="Y68" s="2">
        <v>0.86</v>
      </c>
      <c r="Z68" s="2"/>
    </row>
    <row r="69">
      <c r="A69" s="2">
        <v>13.0</v>
      </c>
      <c r="B69" s="2">
        <v>0.38</v>
      </c>
      <c r="C69" s="2">
        <v>0.99</v>
      </c>
      <c r="D69" s="2">
        <v>0.98</v>
      </c>
      <c r="E69" s="2">
        <v>0.95</v>
      </c>
      <c r="F69" s="2">
        <v>0.9</v>
      </c>
      <c r="G69" s="2">
        <v>2.35</v>
      </c>
      <c r="H69" s="2">
        <v>0.24</v>
      </c>
      <c r="I69" s="2">
        <v>0.98</v>
      </c>
      <c r="J69" s="2">
        <v>0.96</v>
      </c>
      <c r="K69" s="2">
        <v>0.4</v>
      </c>
      <c r="L69" s="2">
        <v>0.92</v>
      </c>
      <c r="M69" s="2">
        <v>0.85</v>
      </c>
      <c r="N69" s="2">
        <v>0.35</v>
      </c>
      <c r="O69" s="2">
        <v>0.96</v>
      </c>
      <c r="P69" s="2">
        <v>0.91</v>
      </c>
      <c r="Q69" s="2">
        <v>0.46</v>
      </c>
      <c r="R69" s="2">
        <v>1.0</v>
      </c>
      <c r="S69" s="2">
        <v>0.77</v>
      </c>
      <c r="T69" s="2">
        <v>0.56</v>
      </c>
      <c r="U69" s="2">
        <v>-1.0</v>
      </c>
      <c r="V69" s="2">
        <v>-0.99</v>
      </c>
      <c r="W69" s="2">
        <v>0.49</v>
      </c>
      <c r="X69" s="2">
        <v>0.91</v>
      </c>
      <c r="Y69" s="2">
        <v>0.76</v>
      </c>
      <c r="Z69" s="2"/>
    </row>
    <row r="70">
      <c r="A70" s="2">
        <v>14.0</v>
      </c>
      <c r="B70" s="2">
        <v>0.48</v>
      </c>
      <c r="C70" s="2">
        <v>0.97</v>
      </c>
      <c r="D70" s="2">
        <v>0.95</v>
      </c>
      <c r="E70" s="2">
        <v>0.94</v>
      </c>
      <c r="F70" s="2">
        <v>0.87</v>
      </c>
      <c r="G70" s="2">
        <v>2.59</v>
      </c>
      <c r="H70" s="2">
        <v>0.58</v>
      </c>
      <c r="I70" s="2">
        <v>0.93</v>
      </c>
      <c r="J70" s="2">
        <v>0.85</v>
      </c>
      <c r="K70" s="2">
        <v>0.41</v>
      </c>
      <c r="L70" s="2">
        <v>0.94</v>
      </c>
      <c r="M70" s="2">
        <v>0.87</v>
      </c>
      <c r="N70" s="2">
        <v>0.32</v>
      </c>
      <c r="O70" s="2">
        <v>0.97</v>
      </c>
      <c r="P70" s="2">
        <v>0.92</v>
      </c>
      <c r="Q70" s="2">
        <v>0.47</v>
      </c>
      <c r="R70" s="2">
        <v>1.0</v>
      </c>
      <c r="S70" s="2">
        <v>0.74</v>
      </c>
      <c r="T70" s="2">
        <v>0.59</v>
      </c>
      <c r="U70" s="2">
        <v>1.0</v>
      </c>
      <c r="V70" s="2">
        <v>-0.72</v>
      </c>
      <c r="W70" s="2">
        <v>0.72</v>
      </c>
      <c r="X70" s="2">
        <v>0.84</v>
      </c>
      <c r="Y70" s="2">
        <v>0.69</v>
      </c>
      <c r="Z70" s="2"/>
    </row>
    <row r="71">
      <c r="A71" s="2">
        <v>15.0</v>
      </c>
      <c r="B71" s="2">
        <v>0.55</v>
      </c>
      <c r="C71" s="2">
        <v>0.98</v>
      </c>
      <c r="D71" s="2">
        <v>0.96</v>
      </c>
      <c r="E71" s="2">
        <v>0.91</v>
      </c>
      <c r="F71" s="2">
        <v>0.82</v>
      </c>
      <c r="G71" s="2">
        <v>2.69</v>
      </c>
      <c r="H71" s="2">
        <v>0.47</v>
      </c>
      <c r="I71" s="2">
        <v>0.97</v>
      </c>
      <c r="J71" s="2">
        <v>0.91</v>
      </c>
      <c r="K71" s="2">
        <v>0.59</v>
      </c>
      <c r="L71" s="2">
        <v>0.87</v>
      </c>
      <c r="M71" s="2">
        <v>0.71</v>
      </c>
      <c r="N71" s="2">
        <v>0.28</v>
      </c>
      <c r="O71" s="2">
        <v>0.94</v>
      </c>
      <c r="P71" s="2">
        <v>0.88</v>
      </c>
      <c r="Q71" s="2">
        <v>0.94</v>
      </c>
      <c r="R71" s="2">
        <v>0.85</v>
      </c>
      <c r="S71" s="2">
        <v>0.6</v>
      </c>
      <c r="T71" s="2">
        <v>1.97</v>
      </c>
      <c r="U71" s="2">
        <v>1.0</v>
      </c>
      <c r="V71" s="2">
        <v>-0.08</v>
      </c>
      <c r="W71" s="2">
        <v>0.48</v>
      </c>
      <c r="X71" s="2">
        <v>0.89</v>
      </c>
      <c r="Y71" s="2">
        <v>0.8</v>
      </c>
      <c r="Z71" s="2"/>
    </row>
    <row r="72">
      <c r="A72" s="2">
        <v>16.0</v>
      </c>
      <c r="B72" s="2">
        <v>0.64</v>
      </c>
      <c r="C72" s="2">
        <v>0.97</v>
      </c>
      <c r="D72" s="2">
        <v>0.94</v>
      </c>
      <c r="E72" s="2">
        <v>0.85</v>
      </c>
      <c r="F72" s="2">
        <v>0.7</v>
      </c>
      <c r="G72" s="2">
        <v>4.19</v>
      </c>
      <c r="H72" s="2">
        <v>0.66</v>
      </c>
      <c r="I72" s="2">
        <v>0.86</v>
      </c>
      <c r="J72" s="2">
        <v>0.72</v>
      </c>
      <c r="K72" s="2">
        <v>0.74</v>
      </c>
      <c r="L72" s="2">
        <v>0.7</v>
      </c>
      <c r="M72" s="2">
        <v>0.47</v>
      </c>
      <c r="N72" s="2">
        <v>0.35</v>
      </c>
      <c r="O72" s="2">
        <v>0.94</v>
      </c>
      <c r="P72" s="2">
        <v>0.88</v>
      </c>
      <c r="Q72" s="2">
        <v>0.79</v>
      </c>
      <c r="R72" s="2">
        <v>1.0</v>
      </c>
      <c r="S72" s="2">
        <v>0.89</v>
      </c>
      <c r="T72" s="2">
        <v>1.08</v>
      </c>
      <c r="U72" s="2">
        <v>-1.0</v>
      </c>
      <c r="V72" s="2">
        <v>-17.8</v>
      </c>
      <c r="W72" s="2">
        <v>0.36</v>
      </c>
      <c r="X72" s="2">
        <v>0.97</v>
      </c>
      <c r="Y72" s="2">
        <v>0.81</v>
      </c>
      <c r="Z72" s="2"/>
    </row>
    <row r="73">
      <c r="A73" s="2">
        <v>17.0</v>
      </c>
      <c r="B73" s="2">
        <v>0.4</v>
      </c>
      <c r="C73" s="2">
        <v>0.99</v>
      </c>
      <c r="D73" s="2">
        <v>0.97</v>
      </c>
      <c r="E73" s="2">
        <v>0.95</v>
      </c>
      <c r="F73" s="2">
        <v>0.9</v>
      </c>
      <c r="G73" s="2">
        <v>2.55</v>
      </c>
      <c r="H73" s="2">
        <v>0.26</v>
      </c>
      <c r="I73" s="2">
        <v>0.98</v>
      </c>
      <c r="J73" s="2">
        <v>0.96</v>
      </c>
      <c r="K73" s="2">
        <v>0.49</v>
      </c>
      <c r="L73" s="2">
        <v>0.92</v>
      </c>
      <c r="M73" s="2">
        <v>0.83</v>
      </c>
      <c r="N73" s="2">
        <v>0.27</v>
      </c>
      <c r="O73" s="2">
        <v>0.96</v>
      </c>
      <c r="P73" s="2">
        <v>0.91</v>
      </c>
      <c r="Q73" s="2">
        <v>1.11</v>
      </c>
      <c r="R73" s="2">
        <v>1.0</v>
      </c>
      <c r="S73" s="2">
        <v>0.48</v>
      </c>
      <c r="T73" s="2">
        <v>0.44</v>
      </c>
      <c r="U73" s="2">
        <v>-1.0</v>
      </c>
      <c r="V73" s="2">
        <v>-1.12</v>
      </c>
      <c r="W73" s="2">
        <v>0.43</v>
      </c>
      <c r="X73" s="2">
        <v>0.64</v>
      </c>
      <c r="Y73" s="2">
        <v>0.41</v>
      </c>
      <c r="Z73" s="2"/>
    </row>
    <row r="74">
      <c r="A74" s="2">
        <v>18.0</v>
      </c>
      <c r="B74" s="2">
        <v>0.46</v>
      </c>
      <c r="C74" s="2">
        <v>0.98</v>
      </c>
      <c r="D74" s="2">
        <v>0.96</v>
      </c>
      <c r="E74" s="2">
        <v>0.94</v>
      </c>
      <c r="F74" s="2">
        <v>0.89</v>
      </c>
      <c r="G74" s="2">
        <v>2.96</v>
      </c>
      <c r="H74" s="2">
        <v>0.35</v>
      </c>
      <c r="I74" s="2">
        <v>0.98</v>
      </c>
      <c r="J74" s="2">
        <v>0.95</v>
      </c>
      <c r="K74" s="2">
        <v>0.47</v>
      </c>
      <c r="L74" s="2">
        <v>0.88</v>
      </c>
      <c r="M74" s="2">
        <v>0.76</v>
      </c>
      <c r="N74" s="2">
        <v>0.34</v>
      </c>
      <c r="O74" s="2">
        <v>0.95</v>
      </c>
      <c r="P74" s="2">
        <v>0.89</v>
      </c>
      <c r="Q74" s="2">
        <v>0.13</v>
      </c>
      <c r="R74" s="2">
        <v>1.0</v>
      </c>
      <c r="S74" s="2">
        <v>0.93</v>
      </c>
      <c r="T74" s="2">
        <v>1.93</v>
      </c>
      <c r="U74" s="2">
        <v>1.0</v>
      </c>
      <c r="V74" s="2">
        <v>-1.05</v>
      </c>
      <c r="W74" s="2">
        <v>0.35</v>
      </c>
      <c r="X74" s="2">
        <v>0.97</v>
      </c>
      <c r="Y74" s="2">
        <v>0.93</v>
      </c>
      <c r="Z74" s="2"/>
    </row>
    <row r="75">
      <c r="A75" s="2">
        <v>19.0</v>
      </c>
      <c r="B75" s="2">
        <v>0.55</v>
      </c>
      <c r="C75" s="2">
        <v>0.97</v>
      </c>
      <c r="D75" s="2">
        <v>0.94</v>
      </c>
      <c r="E75" s="2">
        <v>0.93</v>
      </c>
      <c r="F75" s="2">
        <v>0.85</v>
      </c>
      <c r="G75" s="2">
        <v>2.79</v>
      </c>
      <c r="H75" s="2">
        <v>0.49</v>
      </c>
      <c r="I75" s="2">
        <v>0.96</v>
      </c>
      <c r="J75" s="2">
        <v>0.91</v>
      </c>
      <c r="K75" s="2">
        <v>0.74</v>
      </c>
      <c r="L75" s="2">
        <v>0.87</v>
      </c>
      <c r="M75" s="2">
        <v>0.61</v>
      </c>
      <c r="N75" s="2">
        <v>0.28</v>
      </c>
      <c r="O75" s="2">
        <v>0.97</v>
      </c>
      <c r="P75" s="2">
        <v>0.94</v>
      </c>
      <c r="Q75" s="2">
        <v>0.33</v>
      </c>
      <c r="R75" s="2">
        <v>1.0</v>
      </c>
      <c r="S75" s="2">
        <v>0.97</v>
      </c>
      <c r="T75" s="2">
        <v>0.07</v>
      </c>
      <c r="U75" s="2">
        <v>1.0</v>
      </c>
      <c r="V75" s="2">
        <v>0.93</v>
      </c>
      <c r="W75" s="2">
        <v>0.3</v>
      </c>
      <c r="X75" s="2">
        <v>0.97</v>
      </c>
      <c r="Y75" s="2">
        <v>0.94</v>
      </c>
      <c r="Z75" s="2"/>
    </row>
    <row r="76">
      <c r="A76" s="2">
        <v>20.0</v>
      </c>
      <c r="B76" s="2">
        <v>0.51</v>
      </c>
      <c r="C76" s="2">
        <v>0.98</v>
      </c>
      <c r="D76" s="2">
        <v>0.96</v>
      </c>
      <c r="E76" s="2">
        <v>0.94</v>
      </c>
      <c r="F76" s="2">
        <v>0.87</v>
      </c>
      <c r="G76" s="2">
        <v>2.66</v>
      </c>
      <c r="H76" s="2">
        <v>0.6</v>
      </c>
      <c r="I76" s="2">
        <v>0.95</v>
      </c>
      <c r="J76" s="2">
        <v>0.88</v>
      </c>
      <c r="K76" s="2">
        <v>0.48</v>
      </c>
      <c r="L76" s="2">
        <v>0.91</v>
      </c>
      <c r="M76" s="2">
        <v>0.82</v>
      </c>
      <c r="N76" s="2">
        <v>0.53</v>
      </c>
      <c r="O76" s="2">
        <v>0.85</v>
      </c>
      <c r="P76" s="2">
        <v>0.69</v>
      </c>
      <c r="Q76" s="2">
        <v>0.34</v>
      </c>
      <c r="R76" s="2">
        <v>1.0</v>
      </c>
      <c r="S76" s="2">
        <v>0.96</v>
      </c>
      <c r="T76" s="2">
        <v>0.18</v>
      </c>
      <c r="U76" s="2">
        <v>1.0</v>
      </c>
      <c r="V76" s="2">
        <v>0.93</v>
      </c>
      <c r="W76" s="2">
        <v>0.36</v>
      </c>
      <c r="X76" s="2">
        <v>0.97</v>
      </c>
      <c r="Y76" s="2">
        <v>0.92</v>
      </c>
      <c r="Z76" s="2"/>
    </row>
    <row r="77">
      <c r="A77" s="2">
        <v>21.0</v>
      </c>
      <c r="B77" s="2">
        <v>0.37</v>
      </c>
      <c r="C77" s="2">
        <v>0.99</v>
      </c>
      <c r="D77" s="2">
        <v>0.98</v>
      </c>
      <c r="E77" s="2">
        <v>0.96</v>
      </c>
      <c r="F77" s="2">
        <v>0.92</v>
      </c>
      <c r="G77" s="2">
        <v>2.54</v>
      </c>
      <c r="H77" s="2">
        <v>0.22</v>
      </c>
      <c r="I77" s="2">
        <v>0.99</v>
      </c>
      <c r="J77" s="2">
        <v>0.97</v>
      </c>
      <c r="K77" s="2">
        <v>0.37</v>
      </c>
      <c r="L77" s="2">
        <v>0.94</v>
      </c>
      <c r="M77" s="2">
        <v>0.88</v>
      </c>
      <c r="N77" s="2">
        <v>0.22</v>
      </c>
      <c r="O77" s="2">
        <v>0.98</v>
      </c>
      <c r="P77" s="2">
        <v>0.96</v>
      </c>
      <c r="Q77" s="2">
        <v>0.13</v>
      </c>
      <c r="R77" s="2">
        <v>1.0</v>
      </c>
      <c r="S77" s="2">
        <v>-1.55</v>
      </c>
      <c r="T77" s="2">
        <v>1.8</v>
      </c>
      <c r="U77" s="2">
        <v>-1.0</v>
      </c>
      <c r="V77" s="2">
        <v>-0.78</v>
      </c>
      <c r="W77" s="2">
        <v>0.37</v>
      </c>
      <c r="X77" s="2">
        <v>0.95</v>
      </c>
      <c r="Y77" s="2">
        <v>0.89</v>
      </c>
      <c r="Z77" s="2"/>
    </row>
    <row r="78">
      <c r="A78" s="2">
        <v>22.0</v>
      </c>
      <c r="B78" s="2">
        <v>0.44</v>
      </c>
      <c r="C78" s="2">
        <v>0.98</v>
      </c>
      <c r="D78" s="2">
        <v>0.97</v>
      </c>
      <c r="E78" s="2">
        <v>0.94</v>
      </c>
      <c r="F78" s="2">
        <v>0.87</v>
      </c>
      <c r="G78" s="2">
        <v>2.65</v>
      </c>
      <c r="H78" s="2">
        <v>0.36</v>
      </c>
      <c r="I78" s="2">
        <v>0.97</v>
      </c>
      <c r="J78" s="2">
        <v>0.93</v>
      </c>
      <c r="K78" s="2">
        <v>0.39</v>
      </c>
      <c r="L78" s="2">
        <v>0.91</v>
      </c>
      <c r="M78" s="2">
        <v>0.82</v>
      </c>
      <c r="N78" s="2">
        <v>0.36</v>
      </c>
      <c r="O78" s="2">
        <v>0.95</v>
      </c>
      <c r="P78" s="2">
        <v>0.86</v>
      </c>
      <c r="Q78" s="2">
        <v>0.35</v>
      </c>
      <c r="R78" s="2">
        <v>0.99</v>
      </c>
      <c r="S78" s="2">
        <v>0.97</v>
      </c>
      <c r="T78" s="2">
        <v>1.88</v>
      </c>
      <c r="U78" s="2">
        <v>-1.0</v>
      </c>
      <c r="V78" s="2">
        <v>-0.95</v>
      </c>
      <c r="W78" s="2">
        <v>0.47</v>
      </c>
      <c r="X78" s="2">
        <v>0.91</v>
      </c>
      <c r="Y78" s="2">
        <v>0.81</v>
      </c>
      <c r="Z78" s="2"/>
    </row>
    <row r="79">
      <c r="A79" s="2">
        <v>23.0</v>
      </c>
      <c r="B79" s="2">
        <v>0.42</v>
      </c>
      <c r="C79" s="2">
        <v>0.99</v>
      </c>
      <c r="D79" s="2">
        <v>0.97</v>
      </c>
      <c r="E79" s="2">
        <v>0.95</v>
      </c>
      <c r="F79" s="2">
        <v>0.87</v>
      </c>
      <c r="G79" s="2">
        <v>2.03</v>
      </c>
      <c r="H79" s="2">
        <v>0.44</v>
      </c>
      <c r="I79" s="2">
        <v>0.96</v>
      </c>
      <c r="J79" s="2">
        <v>0.89</v>
      </c>
      <c r="K79" s="2">
        <v>0.26</v>
      </c>
      <c r="L79" s="2">
        <v>0.98</v>
      </c>
      <c r="M79" s="2">
        <v>0.94</v>
      </c>
      <c r="N79" s="2">
        <v>0.41</v>
      </c>
      <c r="O79" s="2">
        <v>0.95</v>
      </c>
      <c r="P79" s="2">
        <v>0.84</v>
      </c>
      <c r="Q79" s="2">
        <v>0.79</v>
      </c>
      <c r="R79" s="2">
        <v>0.86</v>
      </c>
      <c r="S79" s="2">
        <v>0.71</v>
      </c>
      <c r="T79" s="2">
        <v>0.66</v>
      </c>
      <c r="U79" s="2">
        <v>-0.99</v>
      </c>
      <c r="V79" s="2">
        <v>-0.79</v>
      </c>
      <c r="W79" s="2">
        <v>0.47</v>
      </c>
      <c r="X79" s="2">
        <v>0.84</v>
      </c>
      <c r="Y79" s="2">
        <v>0.7</v>
      </c>
      <c r="Z79" s="2"/>
    </row>
    <row r="80">
      <c r="A80" s="2">
        <v>24.0</v>
      </c>
      <c r="B80" s="2">
        <v>0.58</v>
      </c>
      <c r="C80" s="2">
        <v>0.96</v>
      </c>
      <c r="D80" s="2">
        <v>0.93</v>
      </c>
      <c r="E80" s="2">
        <v>0.89</v>
      </c>
      <c r="F80" s="2">
        <v>0.78</v>
      </c>
      <c r="G80" s="2">
        <v>4.54</v>
      </c>
      <c r="H80" s="2">
        <v>0.48</v>
      </c>
      <c r="I80" s="2">
        <v>0.94</v>
      </c>
      <c r="J80" s="2">
        <v>0.88</v>
      </c>
      <c r="K80" s="2">
        <v>0.69</v>
      </c>
      <c r="L80" s="2">
        <v>0.77</v>
      </c>
      <c r="M80" s="2">
        <v>0.56</v>
      </c>
      <c r="N80" s="2">
        <v>0.51</v>
      </c>
      <c r="O80" s="2">
        <v>0.89</v>
      </c>
      <c r="P80" s="2">
        <v>0.74</v>
      </c>
      <c r="Q80" s="2">
        <v>0.01</v>
      </c>
      <c r="R80" s="2" t="s">
        <v>715</v>
      </c>
      <c r="S80" s="2" t="s">
        <v>715</v>
      </c>
      <c r="T80" s="2">
        <v>0.28</v>
      </c>
      <c r="U80" s="2">
        <v>1.0</v>
      </c>
      <c r="V80" s="2">
        <v>0.64</v>
      </c>
      <c r="W80" s="2">
        <v>0.4</v>
      </c>
      <c r="X80" s="2">
        <v>0.96</v>
      </c>
      <c r="Y80" s="2">
        <v>0.91</v>
      </c>
      <c r="Z80" s="2"/>
    </row>
    <row r="81">
      <c r="A81" s="2">
        <v>25.0</v>
      </c>
      <c r="B81" s="2">
        <v>0.59</v>
      </c>
      <c r="C81" s="2">
        <v>0.97</v>
      </c>
      <c r="D81" s="2">
        <v>0.94</v>
      </c>
      <c r="E81" s="2">
        <v>0.89</v>
      </c>
      <c r="F81" s="2">
        <v>0.76</v>
      </c>
      <c r="G81" s="2">
        <v>3.39</v>
      </c>
      <c r="H81" s="2">
        <v>0.38</v>
      </c>
      <c r="I81" s="2">
        <v>0.97</v>
      </c>
      <c r="J81" s="2">
        <v>0.91</v>
      </c>
      <c r="K81" s="2">
        <v>0.78</v>
      </c>
      <c r="L81" s="2">
        <v>0.7</v>
      </c>
      <c r="M81" s="2">
        <v>0.45</v>
      </c>
      <c r="N81" s="2">
        <v>0.31</v>
      </c>
      <c r="O81" s="2">
        <v>0.95</v>
      </c>
      <c r="P81" s="2">
        <v>0.88</v>
      </c>
      <c r="Q81" s="2">
        <v>1.3</v>
      </c>
      <c r="R81" s="2">
        <v>0.85</v>
      </c>
      <c r="S81" s="2">
        <v>0.63</v>
      </c>
      <c r="T81" s="2">
        <v>0.6</v>
      </c>
      <c r="U81" s="2">
        <v>1.0</v>
      </c>
      <c r="V81" s="2">
        <v>-0.1</v>
      </c>
      <c r="W81" s="2">
        <v>0.54</v>
      </c>
      <c r="X81" s="2">
        <v>0.93</v>
      </c>
      <c r="Y81" s="2">
        <v>0.8</v>
      </c>
      <c r="Z81" s="2"/>
    </row>
    <row r="82">
      <c r="A82" s="2">
        <v>26.0</v>
      </c>
      <c r="B82" s="2">
        <v>0.43</v>
      </c>
      <c r="C82" s="2">
        <v>0.99</v>
      </c>
      <c r="D82" s="2">
        <v>0.98</v>
      </c>
      <c r="E82" s="2">
        <v>0.95</v>
      </c>
      <c r="F82" s="2">
        <v>0.9</v>
      </c>
      <c r="G82" s="2">
        <v>1.81</v>
      </c>
      <c r="H82" s="2">
        <v>0.45</v>
      </c>
      <c r="I82" s="2">
        <v>0.97</v>
      </c>
      <c r="J82" s="2">
        <v>0.94</v>
      </c>
      <c r="K82" s="2">
        <v>0.34</v>
      </c>
      <c r="L82" s="2">
        <v>0.95</v>
      </c>
      <c r="M82" s="2">
        <v>0.9</v>
      </c>
      <c r="N82" s="2">
        <v>0.51</v>
      </c>
      <c r="O82" s="2">
        <v>0.84</v>
      </c>
      <c r="P82" s="2">
        <v>0.65</v>
      </c>
      <c r="Q82" s="2">
        <v>0.03</v>
      </c>
      <c r="R82" s="2" t="s">
        <v>715</v>
      </c>
      <c r="S82" s="2" t="s">
        <v>715</v>
      </c>
      <c r="T82" s="2">
        <v>0.49</v>
      </c>
      <c r="U82" s="2">
        <v>1.0</v>
      </c>
      <c r="V82" s="2">
        <v>0.45</v>
      </c>
      <c r="W82" s="2">
        <v>0.44</v>
      </c>
      <c r="X82" s="2">
        <v>0.89</v>
      </c>
      <c r="Y82" s="2">
        <v>0.79</v>
      </c>
      <c r="Z82" s="2"/>
    </row>
    <row r="83">
      <c r="A83" s="2">
        <v>27.0</v>
      </c>
      <c r="B83" s="2">
        <v>0.6</v>
      </c>
      <c r="C83" s="2">
        <v>0.97</v>
      </c>
      <c r="D83" s="2">
        <v>0.95</v>
      </c>
      <c r="E83" s="2">
        <v>0.88</v>
      </c>
      <c r="F83" s="2">
        <v>0.76</v>
      </c>
      <c r="G83" s="2">
        <v>3.62</v>
      </c>
      <c r="H83" s="2">
        <v>0.67</v>
      </c>
      <c r="I83" s="2">
        <v>0.88</v>
      </c>
      <c r="J83" s="2">
        <v>0.77</v>
      </c>
      <c r="K83" s="2">
        <v>0.62</v>
      </c>
      <c r="L83" s="2">
        <v>0.86</v>
      </c>
      <c r="M83" s="2">
        <v>0.72</v>
      </c>
      <c r="N83" s="2">
        <v>0.4</v>
      </c>
      <c r="O83" s="2">
        <v>0.84</v>
      </c>
      <c r="P83" s="2">
        <v>0.64</v>
      </c>
      <c r="Q83" s="2">
        <v>1.05</v>
      </c>
      <c r="R83" s="2" t="s">
        <v>715</v>
      </c>
      <c r="S83" s="2" t="s">
        <v>715</v>
      </c>
      <c r="T83" s="2">
        <v>0.11</v>
      </c>
      <c r="U83" s="2">
        <v>1.0</v>
      </c>
      <c r="V83" s="2">
        <v>0.97</v>
      </c>
      <c r="W83" s="2">
        <v>0.51</v>
      </c>
      <c r="X83" s="2">
        <v>0.96</v>
      </c>
      <c r="Y83" s="2">
        <v>0.79</v>
      </c>
      <c r="Z83" s="2"/>
    </row>
    <row r="84">
      <c r="A84" s="2">
        <v>28.0</v>
      </c>
      <c r="B84" s="2">
        <v>0.48</v>
      </c>
      <c r="C84" s="2">
        <v>0.98</v>
      </c>
      <c r="D84" s="2">
        <v>0.95</v>
      </c>
      <c r="E84" s="2">
        <v>0.94</v>
      </c>
      <c r="F84" s="2">
        <v>0.88</v>
      </c>
      <c r="G84" s="2">
        <v>2.39</v>
      </c>
      <c r="H84" s="2">
        <v>0.47</v>
      </c>
      <c r="I84" s="2">
        <v>0.96</v>
      </c>
      <c r="J84" s="2">
        <v>0.91</v>
      </c>
      <c r="K84" s="2">
        <v>0.47</v>
      </c>
      <c r="L84" s="2">
        <v>0.91</v>
      </c>
      <c r="M84" s="2">
        <v>0.77</v>
      </c>
      <c r="N84" s="2">
        <v>0.58</v>
      </c>
      <c r="O84" s="2">
        <v>0.93</v>
      </c>
      <c r="P84" s="2">
        <v>0.84</v>
      </c>
      <c r="Q84" s="2">
        <v>0.19</v>
      </c>
      <c r="R84" s="2">
        <v>0.97</v>
      </c>
      <c r="S84" s="2">
        <v>0.88</v>
      </c>
      <c r="T84" s="2">
        <v>0.53</v>
      </c>
      <c r="U84" s="2">
        <v>1.0</v>
      </c>
      <c r="V84" s="2">
        <v>-0.41</v>
      </c>
      <c r="W84" s="2">
        <v>0.5</v>
      </c>
      <c r="X84" s="2">
        <v>0.96</v>
      </c>
      <c r="Y84" s="2">
        <v>0.86</v>
      </c>
      <c r="Z84" s="2"/>
    </row>
    <row r="85">
      <c r="A85" s="2">
        <v>29.0</v>
      </c>
      <c r="B85" s="2">
        <v>0.43</v>
      </c>
      <c r="C85" s="2">
        <v>0.98</v>
      </c>
      <c r="D85" s="2">
        <v>0.97</v>
      </c>
      <c r="E85" s="2">
        <v>0.94</v>
      </c>
      <c r="F85" s="2">
        <v>0.87</v>
      </c>
      <c r="G85" s="2">
        <v>2.57</v>
      </c>
      <c r="H85" s="2">
        <v>0.46</v>
      </c>
      <c r="I85" s="2">
        <v>0.95</v>
      </c>
      <c r="J85" s="2">
        <v>0.89</v>
      </c>
      <c r="K85" s="2">
        <v>0.41</v>
      </c>
      <c r="L85" s="2">
        <v>0.93</v>
      </c>
      <c r="M85" s="2">
        <v>0.83</v>
      </c>
      <c r="N85" s="2">
        <v>0.42</v>
      </c>
      <c r="O85" s="2">
        <v>0.94</v>
      </c>
      <c r="P85" s="2">
        <v>0.75</v>
      </c>
      <c r="Q85" s="2">
        <v>0.66</v>
      </c>
      <c r="R85" s="2">
        <v>0.95</v>
      </c>
      <c r="S85" s="2">
        <v>0.87</v>
      </c>
      <c r="T85" s="2">
        <v>0.58</v>
      </c>
      <c r="U85" s="2">
        <v>1.0</v>
      </c>
      <c r="V85" s="2">
        <v>0.08</v>
      </c>
      <c r="W85" s="2">
        <v>0.11</v>
      </c>
      <c r="X85" s="2">
        <v>0.99</v>
      </c>
      <c r="Y85" s="2">
        <v>0.95</v>
      </c>
      <c r="Z85" s="2"/>
    </row>
    <row r="86">
      <c r="A86" s="2">
        <v>30.0</v>
      </c>
      <c r="B86" s="2">
        <v>0.39</v>
      </c>
      <c r="C86" s="2">
        <v>0.99</v>
      </c>
      <c r="D86" s="2">
        <v>0.97</v>
      </c>
      <c r="E86" s="2">
        <v>0.95</v>
      </c>
      <c r="F86" s="2">
        <v>0.89</v>
      </c>
      <c r="G86" s="2">
        <v>1.57</v>
      </c>
      <c r="H86" s="2">
        <v>0.41</v>
      </c>
      <c r="I86" s="2">
        <v>0.97</v>
      </c>
      <c r="J86" s="2">
        <v>0.92</v>
      </c>
      <c r="K86" s="2">
        <v>0.39</v>
      </c>
      <c r="L86" s="2">
        <v>0.93</v>
      </c>
      <c r="M86" s="2">
        <v>0.87</v>
      </c>
      <c r="N86" s="2">
        <v>0.24</v>
      </c>
      <c r="O86" s="2">
        <v>0.99</v>
      </c>
      <c r="P86" s="2">
        <v>0.93</v>
      </c>
      <c r="Q86" s="2">
        <v>0.47</v>
      </c>
      <c r="R86" s="2">
        <v>0.98</v>
      </c>
      <c r="S86" s="2">
        <v>0.93</v>
      </c>
      <c r="T86" s="2">
        <v>0.55</v>
      </c>
      <c r="U86" s="2">
        <v>1.0</v>
      </c>
      <c r="V86" s="2">
        <v>0.17</v>
      </c>
      <c r="W86" s="2">
        <v>0.4</v>
      </c>
      <c r="X86" s="2">
        <v>0.73</v>
      </c>
      <c r="Y86" s="2">
        <v>0.46</v>
      </c>
      <c r="Z86" s="2"/>
    </row>
    <row r="87">
      <c r="A87" s="2">
        <v>31.0</v>
      </c>
      <c r="B87" s="2">
        <v>0.68</v>
      </c>
      <c r="C87" s="2">
        <v>0.96</v>
      </c>
      <c r="D87" s="2">
        <v>0.91</v>
      </c>
      <c r="E87" s="2">
        <v>0.92</v>
      </c>
      <c r="F87" s="2">
        <v>0.81</v>
      </c>
      <c r="G87" s="2">
        <v>3.52</v>
      </c>
      <c r="H87" s="2">
        <v>0.58</v>
      </c>
      <c r="I87" s="2">
        <v>0.96</v>
      </c>
      <c r="J87" s="2">
        <v>0.89</v>
      </c>
      <c r="K87" s="2">
        <v>0.88</v>
      </c>
      <c r="L87" s="2">
        <v>0.78</v>
      </c>
      <c r="M87" s="2">
        <v>0.47</v>
      </c>
      <c r="N87" s="2">
        <v>0.28</v>
      </c>
      <c r="O87" s="2">
        <v>0.95</v>
      </c>
      <c r="P87" s="2">
        <v>0.89</v>
      </c>
      <c r="Q87" s="2">
        <v>1.16</v>
      </c>
      <c r="R87" s="2">
        <v>0.89</v>
      </c>
      <c r="S87" s="2">
        <v>0.77</v>
      </c>
      <c r="T87" s="2">
        <v>0.09</v>
      </c>
      <c r="U87" s="2">
        <v>1.0</v>
      </c>
      <c r="V87" s="2">
        <v>1.0</v>
      </c>
      <c r="W87" s="2">
        <v>0.55</v>
      </c>
      <c r="X87" s="2">
        <v>0.9</v>
      </c>
      <c r="Y87" s="2">
        <v>0.72</v>
      </c>
      <c r="Z87" s="2"/>
    </row>
    <row r="88">
      <c r="A88" s="2">
        <v>32.0</v>
      </c>
      <c r="B88" s="2">
        <v>0.53</v>
      </c>
      <c r="C88" s="2">
        <v>0.98</v>
      </c>
      <c r="D88" s="2">
        <v>0.96</v>
      </c>
      <c r="E88" s="2">
        <v>0.92</v>
      </c>
      <c r="F88" s="2">
        <v>0.82</v>
      </c>
      <c r="G88" s="2">
        <v>2.71</v>
      </c>
      <c r="H88" s="2">
        <v>0.59</v>
      </c>
      <c r="I88" s="2">
        <v>0.91</v>
      </c>
      <c r="J88" s="2">
        <v>0.79</v>
      </c>
      <c r="K88" s="2">
        <v>0.49</v>
      </c>
      <c r="L88" s="2">
        <v>0.91</v>
      </c>
      <c r="M88" s="2">
        <v>0.79</v>
      </c>
      <c r="N88" s="2">
        <v>0.43</v>
      </c>
      <c r="O88" s="2">
        <v>0.96</v>
      </c>
      <c r="P88" s="2">
        <v>0.89</v>
      </c>
      <c r="Q88" s="2">
        <v>0.64</v>
      </c>
      <c r="R88" s="2">
        <v>0.94</v>
      </c>
      <c r="S88" s="2">
        <v>0.83</v>
      </c>
      <c r="T88" s="2">
        <v>0.69</v>
      </c>
      <c r="U88" s="2">
        <v>1.0</v>
      </c>
      <c r="V88" s="2">
        <v>-0.13</v>
      </c>
      <c r="W88" s="2">
        <v>0.5</v>
      </c>
      <c r="X88" s="2">
        <v>0.92</v>
      </c>
      <c r="Y88" s="2">
        <v>0.76</v>
      </c>
      <c r="Z88" s="2"/>
    </row>
    <row r="89">
      <c r="A89" s="2">
        <v>33.0</v>
      </c>
      <c r="B89" s="2">
        <v>0.67</v>
      </c>
      <c r="C89" s="2">
        <v>0.96</v>
      </c>
      <c r="D89" s="2">
        <v>0.92</v>
      </c>
      <c r="E89" s="2">
        <v>0.87</v>
      </c>
      <c r="F89" s="2">
        <v>0.76</v>
      </c>
      <c r="G89" s="2">
        <v>4.03</v>
      </c>
      <c r="H89" s="2">
        <v>0.64</v>
      </c>
      <c r="I89" s="2">
        <v>0.91</v>
      </c>
      <c r="J89" s="2">
        <v>0.82</v>
      </c>
      <c r="K89" s="2">
        <v>0.89</v>
      </c>
      <c r="L89" s="2">
        <v>0.67</v>
      </c>
      <c r="M89" s="2">
        <v>0.34</v>
      </c>
      <c r="N89" s="2">
        <v>0.18</v>
      </c>
      <c r="O89" s="2">
        <v>0.98</v>
      </c>
      <c r="P89" s="2">
        <v>0.97</v>
      </c>
      <c r="Q89" s="2">
        <v>0.47</v>
      </c>
      <c r="R89" s="2" t="s">
        <v>715</v>
      </c>
      <c r="S89" s="2" t="s">
        <v>715</v>
      </c>
      <c r="T89" s="2">
        <v>1.78</v>
      </c>
      <c r="U89" s="2">
        <v>1.0</v>
      </c>
      <c r="V89" s="2">
        <v>0.22</v>
      </c>
      <c r="W89" s="2">
        <v>0.31</v>
      </c>
      <c r="X89" s="2">
        <v>0.99</v>
      </c>
      <c r="Y89" s="2">
        <v>0.95</v>
      </c>
      <c r="Z89" s="2"/>
    </row>
    <row r="90">
      <c r="A90" s="2">
        <v>34.0</v>
      </c>
      <c r="B90" s="2">
        <v>0.44</v>
      </c>
      <c r="C90" s="2">
        <v>0.98</v>
      </c>
      <c r="D90" s="2">
        <v>0.96</v>
      </c>
      <c r="E90" s="2">
        <v>0.94</v>
      </c>
      <c r="F90" s="2">
        <v>0.87</v>
      </c>
      <c r="G90" s="2">
        <v>2.63</v>
      </c>
      <c r="H90" s="2">
        <v>0.34</v>
      </c>
      <c r="I90" s="2">
        <v>0.97</v>
      </c>
      <c r="J90" s="2">
        <v>0.93</v>
      </c>
      <c r="K90" s="2">
        <v>0.5</v>
      </c>
      <c r="L90" s="2">
        <v>0.9</v>
      </c>
      <c r="M90" s="2">
        <v>0.79</v>
      </c>
      <c r="N90" s="2">
        <v>0.14</v>
      </c>
      <c r="O90" s="2">
        <v>0.99</v>
      </c>
      <c r="P90" s="2">
        <v>0.97</v>
      </c>
      <c r="Q90" s="2">
        <v>0.92</v>
      </c>
      <c r="R90" s="2">
        <v>0.97</v>
      </c>
      <c r="S90" s="2">
        <v>0.86</v>
      </c>
      <c r="T90" s="2">
        <v>0.45</v>
      </c>
      <c r="U90" s="2">
        <v>1.0</v>
      </c>
      <c r="V90" s="2">
        <v>-1.22</v>
      </c>
      <c r="W90" s="2">
        <v>0.59</v>
      </c>
      <c r="X90" s="2">
        <v>0.96</v>
      </c>
      <c r="Y90" s="2">
        <v>-0.2</v>
      </c>
      <c r="Z90" s="2"/>
    </row>
    <row r="91">
      <c r="A91" s="2">
        <v>35.0</v>
      </c>
      <c r="B91" s="2">
        <v>0.47</v>
      </c>
      <c r="C91" s="2">
        <v>0.98</v>
      </c>
      <c r="D91" s="2">
        <v>0.95</v>
      </c>
      <c r="E91" s="2">
        <v>0.93</v>
      </c>
      <c r="F91" s="2">
        <v>0.86</v>
      </c>
      <c r="G91" s="2">
        <v>1.96</v>
      </c>
      <c r="H91" s="2">
        <v>0.46</v>
      </c>
      <c r="I91" s="2">
        <v>0.96</v>
      </c>
      <c r="J91" s="2">
        <v>0.91</v>
      </c>
      <c r="K91" s="2">
        <v>0.43</v>
      </c>
      <c r="L91" s="2">
        <v>0.91</v>
      </c>
      <c r="M91" s="2">
        <v>0.82</v>
      </c>
      <c r="N91" s="2">
        <v>0.38</v>
      </c>
      <c r="O91" s="2">
        <v>0.93</v>
      </c>
      <c r="P91" s="2">
        <v>0.8</v>
      </c>
      <c r="Q91" s="2">
        <v>0.58</v>
      </c>
      <c r="R91" s="2">
        <v>1.0</v>
      </c>
      <c r="S91" s="2">
        <v>0.26</v>
      </c>
      <c r="T91" s="2">
        <v>0.54</v>
      </c>
      <c r="U91" s="2">
        <v>1.0</v>
      </c>
      <c r="V91" s="2">
        <v>0.17</v>
      </c>
      <c r="W91" s="2">
        <v>0.81</v>
      </c>
      <c r="X91" s="2">
        <v>0.15</v>
      </c>
      <c r="Y91" s="2">
        <v>-0.34</v>
      </c>
      <c r="Z91" s="2"/>
    </row>
    <row r="92">
      <c r="A92" s="2">
        <v>36.0</v>
      </c>
      <c r="B92" s="2">
        <v>0.4</v>
      </c>
      <c r="C92" s="2">
        <v>0.99</v>
      </c>
      <c r="D92" s="2">
        <v>0.97</v>
      </c>
      <c r="E92" s="2">
        <v>0.97</v>
      </c>
      <c r="F92" s="2">
        <v>0.92</v>
      </c>
      <c r="G92" s="2">
        <v>1.68</v>
      </c>
      <c r="H92" s="2">
        <v>0.42</v>
      </c>
      <c r="I92" s="2">
        <v>0.99</v>
      </c>
      <c r="J92" s="2">
        <v>0.93</v>
      </c>
      <c r="K92" s="2">
        <v>0.36</v>
      </c>
      <c r="L92" s="2">
        <v>0.95</v>
      </c>
      <c r="M92" s="2">
        <v>0.9</v>
      </c>
      <c r="N92" s="2">
        <v>0.19</v>
      </c>
      <c r="O92" s="2">
        <v>1.0</v>
      </c>
      <c r="P92" s="2">
        <v>0.98</v>
      </c>
      <c r="Q92" s="2">
        <v>0.58</v>
      </c>
      <c r="R92" s="2">
        <v>0.96</v>
      </c>
      <c r="S92" s="2">
        <v>0.92</v>
      </c>
      <c r="T92" s="2">
        <v>0.95</v>
      </c>
      <c r="U92" s="2">
        <v>-1.0</v>
      </c>
      <c r="V92" s="2">
        <v>-89.23</v>
      </c>
      <c r="W92" s="2">
        <v>0.5</v>
      </c>
      <c r="X92" s="2">
        <v>0.87</v>
      </c>
      <c r="Y92" s="2">
        <v>0.73</v>
      </c>
      <c r="Z92" s="2"/>
    </row>
    <row r="93">
      <c r="A93" s="2">
        <v>37.0</v>
      </c>
      <c r="B93" s="2">
        <v>0.45</v>
      </c>
      <c r="C93" s="2">
        <v>0.98</v>
      </c>
      <c r="D93" s="2">
        <v>0.96</v>
      </c>
      <c r="E93" s="2">
        <v>0.95</v>
      </c>
      <c r="F93" s="2">
        <v>0.88</v>
      </c>
      <c r="G93" s="2">
        <v>1.99</v>
      </c>
      <c r="H93" s="2">
        <v>0.49</v>
      </c>
      <c r="I93" s="2">
        <v>0.95</v>
      </c>
      <c r="J93" s="2">
        <v>0.9</v>
      </c>
      <c r="K93" s="2">
        <v>0.39</v>
      </c>
      <c r="L93" s="2">
        <v>0.95</v>
      </c>
      <c r="M93" s="2">
        <v>0.89</v>
      </c>
      <c r="N93" s="2">
        <v>0.44</v>
      </c>
      <c r="O93" s="2">
        <v>0.89</v>
      </c>
      <c r="P93" s="2">
        <v>0.69</v>
      </c>
      <c r="Q93" s="2">
        <v>0.66</v>
      </c>
      <c r="R93" s="2">
        <v>0.95</v>
      </c>
      <c r="S93" s="2">
        <v>0.79</v>
      </c>
      <c r="T93" s="2">
        <v>0.54</v>
      </c>
      <c r="U93" s="2">
        <v>1.0</v>
      </c>
      <c r="V93" s="2">
        <v>0.16</v>
      </c>
      <c r="W93" s="2">
        <v>0.25</v>
      </c>
      <c r="X93" s="2">
        <v>0.98</v>
      </c>
      <c r="Y93" s="2">
        <v>0.96</v>
      </c>
      <c r="Z93" s="2"/>
    </row>
    <row r="94">
      <c r="A94" s="2">
        <v>38.0</v>
      </c>
      <c r="B94" s="2">
        <v>0.51</v>
      </c>
      <c r="C94" s="2">
        <v>0.98</v>
      </c>
      <c r="D94" s="2">
        <v>0.95</v>
      </c>
      <c r="E94" s="2">
        <v>0.92</v>
      </c>
      <c r="F94" s="2">
        <v>0.83</v>
      </c>
      <c r="G94" s="2">
        <v>3.32</v>
      </c>
      <c r="H94" s="2">
        <v>0.47</v>
      </c>
      <c r="I94" s="2">
        <v>0.95</v>
      </c>
      <c r="J94" s="2">
        <v>0.9</v>
      </c>
      <c r="K94" s="2">
        <v>0.57</v>
      </c>
      <c r="L94" s="2">
        <v>0.86</v>
      </c>
      <c r="M94" s="2">
        <v>0.7</v>
      </c>
      <c r="N94" s="2">
        <v>0.43</v>
      </c>
      <c r="O94" s="2">
        <v>0.92</v>
      </c>
      <c r="P94" s="2">
        <v>0.83</v>
      </c>
      <c r="Q94" s="2">
        <v>0.37</v>
      </c>
      <c r="R94" s="2">
        <v>1.0</v>
      </c>
      <c r="S94" s="2">
        <v>0.93</v>
      </c>
      <c r="T94" s="2">
        <v>0.17</v>
      </c>
      <c r="U94" s="2">
        <v>1.0</v>
      </c>
      <c r="V94" s="2">
        <v>0.52</v>
      </c>
      <c r="W94" s="2">
        <v>0.53</v>
      </c>
      <c r="X94" s="2">
        <v>0.9</v>
      </c>
      <c r="Y94" s="2">
        <v>0.78</v>
      </c>
      <c r="Z94" s="2"/>
    </row>
    <row r="95">
      <c r="A95" s="2">
        <v>39.0</v>
      </c>
      <c r="B95" s="2">
        <v>0.37</v>
      </c>
      <c r="C95" s="2">
        <v>0.99</v>
      </c>
      <c r="D95" s="2">
        <v>0.98</v>
      </c>
      <c r="E95" s="2">
        <v>0.95</v>
      </c>
      <c r="F95" s="2">
        <v>0.9</v>
      </c>
      <c r="G95" s="2">
        <v>2.45</v>
      </c>
      <c r="H95" s="2">
        <v>0.23</v>
      </c>
      <c r="I95" s="2">
        <v>0.99</v>
      </c>
      <c r="J95" s="2">
        <v>0.97</v>
      </c>
      <c r="K95" s="2">
        <v>0.26</v>
      </c>
      <c r="L95" s="2">
        <v>0.97</v>
      </c>
      <c r="M95" s="2">
        <v>0.94</v>
      </c>
      <c r="N95" s="2">
        <v>0.39</v>
      </c>
      <c r="O95" s="2">
        <v>0.91</v>
      </c>
      <c r="P95" s="2">
        <v>0.78</v>
      </c>
      <c r="Q95" s="2">
        <v>0.55</v>
      </c>
      <c r="R95" s="2">
        <v>0.95</v>
      </c>
      <c r="S95" s="2">
        <v>0.88</v>
      </c>
      <c r="T95" s="2">
        <v>1.81</v>
      </c>
      <c r="U95" s="2">
        <v>1.0</v>
      </c>
      <c r="V95" s="2">
        <v>0.1</v>
      </c>
      <c r="W95" s="2">
        <v>0.44</v>
      </c>
      <c r="X95" s="2">
        <v>0.89</v>
      </c>
      <c r="Y95" s="2">
        <v>0.78</v>
      </c>
      <c r="Z95" s="2"/>
    </row>
    <row r="96">
      <c r="A96" s="2">
        <v>40.0</v>
      </c>
      <c r="B96" s="2">
        <v>0.56</v>
      </c>
      <c r="C96" s="2">
        <v>0.98</v>
      </c>
      <c r="D96" s="2">
        <v>0.95</v>
      </c>
      <c r="E96" s="2">
        <v>0.91</v>
      </c>
      <c r="F96" s="2">
        <v>0.81</v>
      </c>
      <c r="G96" s="2">
        <v>3.07</v>
      </c>
      <c r="H96" s="2">
        <v>0.53</v>
      </c>
      <c r="I96" s="2">
        <v>0.95</v>
      </c>
      <c r="J96" s="2">
        <v>0.87</v>
      </c>
      <c r="K96" s="2">
        <v>0.68</v>
      </c>
      <c r="L96" s="2">
        <v>0.85</v>
      </c>
      <c r="M96" s="2">
        <v>0.67</v>
      </c>
      <c r="N96" s="2">
        <v>0.42</v>
      </c>
      <c r="O96" s="2">
        <v>0.87</v>
      </c>
      <c r="P96" s="2">
        <v>0.71</v>
      </c>
      <c r="Q96" s="2">
        <v>0.61</v>
      </c>
      <c r="R96" s="2">
        <v>0.95</v>
      </c>
      <c r="S96" s="2">
        <v>0.9</v>
      </c>
      <c r="T96" s="2">
        <v>0.57</v>
      </c>
      <c r="U96" s="2">
        <v>-1.0</v>
      </c>
      <c r="V96" s="2">
        <v>-25.49</v>
      </c>
      <c r="W96" s="2">
        <v>0.47</v>
      </c>
      <c r="X96" s="2">
        <v>0.91</v>
      </c>
      <c r="Y96" s="2">
        <v>0.79</v>
      </c>
      <c r="Z96" s="2"/>
    </row>
    <row r="97">
      <c r="A97" s="2">
        <v>41.0</v>
      </c>
      <c r="B97" s="2">
        <v>0.43</v>
      </c>
      <c r="C97" s="2">
        <v>0.98</v>
      </c>
      <c r="D97" s="2">
        <v>0.97</v>
      </c>
      <c r="E97" s="2">
        <v>0.94</v>
      </c>
      <c r="F97" s="2">
        <v>0.88</v>
      </c>
      <c r="G97" s="2">
        <v>3.7</v>
      </c>
      <c r="H97" s="2">
        <v>0.28</v>
      </c>
      <c r="I97" s="2">
        <v>0.99</v>
      </c>
      <c r="J97" s="2">
        <v>0.96</v>
      </c>
      <c r="K97" s="2">
        <v>0.59</v>
      </c>
      <c r="L97" s="2">
        <v>0.81</v>
      </c>
      <c r="M97" s="2">
        <v>0.63</v>
      </c>
      <c r="N97" s="2">
        <v>0.36</v>
      </c>
      <c r="O97" s="2">
        <v>0.94</v>
      </c>
      <c r="P97" s="2">
        <v>0.86</v>
      </c>
      <c r="Q97" s="2">
        <v>0.07</v>
      </c>
      <c r="R97" s="2">
        <v>1.0</v>
      </c>
      <c r="S97" s="2">
        <v>1.0</v>
      </c>
      <c r="T97" s="2">
        <v>0.59</v>
      </c>
      <c r="U97" s="2">
        <v>-1.0</v>
      </c>
      <c r="V97" s="2">
        <v>-0.08</v>
      </c>
      <c r="W97" s="2">
        <v>0.25</v>
      </c>
      <c r="X97" s="2">
        <v>0.98</v>
      </c>
      <c r="Y97" s="2">
        <v>0.95</v>
      </c>
      <c r="Z97" s="2"/>
    </row>
    <row r="98">
      <c r="A98" s="2">
        <v>42.0</v>
      </c>
      <c r="B98" s="2">
        <v>0.49</v>
      </c>
      <c r="C98" s="2">
        <v>0.98</v>
      </c>
      <c r="D98" s="2">
        <v>0.96</v>
      </c>
      <c r="E98" s="2">
        <v>0.93</v>
      </c>
      <c r="F98" s="2">
        <v>0.87</v>
      </c>
      <c r="G98" s="2">
        <v>2.72</v>
      </c>
      <c r="H98" s="2">
        <v>0.58</v>
      </c>
      <c r="I98" s="2">
        <v>0.92</v>
      </c>
      <c r="J98" s="2">
        <v>0.85</v>
      </c>
      <c r="K98" s="2">
        <v>0.5</v>
      </c>
      <c r="L98" s="2">
        <v>0.89</v>
      </c>
      <c r="M98" s="2">
        <v>0.78</v>
      </c>
      <c r="N98" s="2">
        <v>0.26</v>
      </c>
      <c r="O98" s="2">
        <v>0.99</v>
      </c>
      <c r="P98" s="2">
        <v>0.96</v>
      </c>
      <c r="Q98" s="2">
        <v>0.33</v>
      </c>
      <c r="R98" s="2">
        <v>0.99</v>
      </c>
      <c r="S98" s="2">
        <v>0.95</v>
      </c>
      <c r="T98" s="2">
        <v>0.42</v>
      </c>
      <c r="U98" s="2">
        <v>1.0</v>
      </c>
      <c r="V98" s="2">
        <v>-0.19</v>
      </c>
      <c r="W98" s="2">
        <v>0.29</v>
      </c>
      <c r="X98" s="2">
        <v>0.99</v>
      </c>
      <c r="Y98" s="2">
        <v>0.93</v>
      </c>
      <c r="Z98" s="2"/>
    </row>
    <row r="99">
      <c r="A99" s="2">
        <v>43.0</v>
      </c>
      <c r="B99" s="2">
        <v>0.57</v>
      </c>
      <c r="C99" s="2">
        <v>0.98</v>
      </c>
      <c r="D99" s="2">
        <v>0.95</v>
      </c>
      <c r="E99" s="2">
        <v>0.91</v>
      </c>
      <c r="F99" s="2">
        <v>0.8</v>
      </c>
      <c r="G99" s="2">
        <v>2.74</v>
      </c>
      <c r="H99" s="2">
        <v>0.56</v>
      </c>
      <c r="I99" s="2">
        <v>0.93</v>
      </c>
      <c r="J99" s="2">
        <v>0.85</v>
      </c>
      <c r="K99" s="2">
        <v>0.71</v>
      </c>
      <c r="L99" s="2">
        <v>0.84</v>
      </c>
      <c r="M99" s="2">
        <v>0.61</v>
      </c>
      <c r="N99" s="2">
        <v>0.32</v>
      </c>
      <c r="O99" s="2">
        <v>0.96</v>
      </c>
      <c r="P99" s="2">
        <v>0.91</v>
      </c>
      <c r="Q99" s="2">
        <v>0.63</v>
      </c>
      <c r="R99" s="2">
        <v>0.94</v>
      </c>
      <c r="S99" s="2">
        <v>0.87</v>
      </c>
      <c r="T99" s="2">
        <v>0.22</v>
      </c>
      <c r="U99" s="2">
        <v>1.0</v>
      </c>
      <c r="V99" s="2">
        <v>0.98</v>
      </c>
      <c r="W99" s="2">
        <v>0.45</v>
      </c>
      <c r="X99" s="2">
        <v>0.89</v>
      </c>
      <c r="Y99" s="2">
        <v>0.76</v>
      </c>
      <c r="Z99" s="2"/>
    </row>
    <row r="100">
      <c r="A100" s="2">
        <v>44.0</v>
      </c>
      <c r="B100" s="2">
        <v>0.57</v>
      </c>
      <c r="C100" s="2">
        <v>0.96</v>
      </c>
      <c r="D100" s="2">
        <v>0.93</v>
      </c>
      <c r="E100" s="2">
        <v>0.89</v>
      </c>
      <c r="F100" s="2">
        <v>0.79</v>
      </c>
      <c r="G100" s="2">
        <v>3.33</v>
      </c>
      <c r="H100" s="2">
        <v>0.56</v>
      </c>
      <c r="I100" s="2">
        <v>0.91</v>
      </c>
      <c r="J100" s="2">
        <v>0.83</v>
      </c>
      <c r="K100" s="2">
        <v>0.65</v>
      </c>
      <c r="L100" s="2">
        <v>0.8</v>
      </c>
      <c r="M100" s="2">
        <v>0.61</v>
      </c>
      <c r="N100" s="2">
        <v>0.41</v>
      </c>
      <c r="O100" s="2">
        <v>0.94</v>
      </c>
      <c r="P100" s="2">
        <v>0.88</v>
      </c>
      <c r="Q100" s="2">
        <v>0.13</v>
      </c>
      <c r="R100" s="2">
        <v>1.0</v>
      </c>
      <c r="S100" s="2">
        <v>0.99</v>
      </c>
      <c r="T100" s="2">
        <v>0.54</v>
      </c>
      <c r="U100" s="2">
        <v>-1.0</v>
      </c>
      <c r="V100" s="2">
        <v>-0.67</v>
      </c>
      <c r="W100" s="2">
        <v>0.54</v>
      </c>
      <c r="X100" s="2">
        <v>0.9</v>
      </c>
      <c r="Y100" s="2">
        <v>0.79</v>
      </c>
      <c r="Z100" s="2"/>
    </row>
    <row r="101">
      <c r="A101" s="2">
        <v>45.0</v>
      </c>
      <c r="B101" s="2">
        <v>0.6</v>
      </c>
      <c r="C101" s="2">
        <v>0.97</v>
      </c>
      <c r="D101" s="2">
        <v>0.95</v>
      </c>
      <c r="E101" s="2">
        <v>0.88</v>
      </c>
      <c r="F101" s="2">
        <v>0.75</v>
      </c>
      <c r="G101" s="2">
        <v>3.9</v>
      </c>
      <c r="H101" s="2">
        <v>0.71</v>
      </c>
      <c r="I101" s="2">
        <v>0.87</v>
      </c>
      <c r="J101" s="2">
        <v>0.74</v>
      </c>
      <c r="K101" s="2">
        <v>0.63</v>
      </c>
      <c r="L101" s="2">
        <v>0.82</v>
      </c>
      <c r="M101" s="2">
        <v>0.63</v>
      </c>
      <c r="N101" s="2">
        <v>0.33</v>
      </c>
      <c r="O101" s="2">
        <v>0.95</v>
      </c>
      <c r="P101" s="2">
        <v>0.88</v>
      </c>
      <c r="Q101" s="2">
        <v>0.42</v>
      </c>
      <c r="R101" s="2">
        <v>0.98</v>
      </c>
      <c r="S101" s="2">
        <v>0.95</v>
      </c>
      <c r="T101" s="2">
        <v>0.61</v>
      </c>
      <c r="U101" s="2">
        <v>-1.0</v>
      </c>
      <c r="V101" s="2">
        <v>-1.34</v>
      </c>
      <c r="W101" s="2">
        <v>0.57</v>
      </c>
      <c r="X101" s="2">
        <v>0.92</v>
      </c>
      <c r="Y101" s="2">
        <v>0.66</v>
      </c>
      <c r="Z101" s="2"/>
    </row>
    <row r="102">
      <c r="A102" s="2">
        <v>46.0</v>
      </c>
      <c r="B102" s="2">
        <v>0.52</v>
      </c>
      <c r="C102" s="2">
        <v>0.98</v>
      </c>
      <c r="D102" s="2">
        <v>0.96</v>
      </c>
      <c r="E102" s="2">
        <v>0.93</v>
      </c>
      <c r="F102" s="2">
        <v>0.85</v>
      </c>
      <c r="G102" s="2">
        <v>2.31</v>
      </c>
      <c r="H102" s="2">
        <v>0.5</v>
      </c>
      <c r="I102" s="2">
        <v>0.96</v>
      </c>
      <c r="J102" s="2">
        <v>0.89</v>
      </c>
      <c r="K102" s="2">
        <v>0.62</v>
      </c>
      <c r="L102" s="2">
        <v>0.84</v>
      </c>
      <c r="M102" s="2">
        <v>0.71</v>
      </c>
      <c r="N102" s="2">
        <v>0.44</v>
      </c>
      <c r="O102" s="2">
        <v>0.96</v>
      </c>
      <c r="P102" s="2">
        <v>0.87</v>
      </c>
      <c r="Q102" s="2">
        <v>0.65</v>
      </c>
      <c r="R102" s="2">
        <v>0.98</v>
      </c>
      <c r="S102" s="2">
        <v>0.88</v>
      </c>
      <c r="T102" s="2">
        <v>0.54</v>
      </c>
      <c r="U102" s="2">
        <v>1.0</v>
      </c>
      <c r="V102" s="2">
        <v>0.31</v>
      </c>
      <c r="W102" s="2">
        <v>0.39</v>
      </c>
      <c r="X102" s="2">
        <v>0.96</v>
      </c>
      <c r="Y102" s="2">
        <v>0.86</v>
      </c>
      <c r="Z102" s="2"/>
    </row>
    <row r="103">
      <c r="A103" s="2">
        <v>47.0</v>
      </c>
      <c r="B103" s="2">
        <v>0.47</v>
      </c>
      <c r="C103" s="2">
        <v>0.98</v>
      </c>
      <c r="D103" s="2">
        <v>0.95</v>
      </c>
      <c r="E103" s="2">
        <v>0.93</v>
      </c>
      <c r="F103" s="2">
        <v>0.86</v>
      </c>
      <c r="G103" s="2">
        <v>1.8</v>
      </c>
      <c r="H103" s="2">
        <v>0.46</v>
      </c>
      <c r="I103" s="2">
        <v>0.95</v>
      </c>
      <c r="J103" s="2">
        <v>0.89</v>
      </c>
      <c r="K103" s="2">
        <v>0.41</v>
      </c>
      <c r="L103" s="2">
        <v>0.92</v>
      </c>
      <c r="M103" s="2">
        <v>0.84</v>
      </c>
      <c r="N103" s="2">
        <v>0.42</v>
      </c>
      <c r="O103" s="2">
        <v>0.95</v>
      </c>
      <c r="P103" s="2">
        <v>0.85</v>
      </c>
      <c r="Q103" s="2">
        <v>0.64</v>
      </c>
      <c r="R103" s="2">
        <v>0.98</v>
      </c>
      <c r="S103" s="2">
        <v>0.92</v>
      </c>
      <c r="T103" s="2">
        <v>1.49</v>
      </c>
      <c r="U103" s="2">
        <v>-1.0</v>
      </c>
      <c r="V103" s="2">
        <v>-34.73</v>
      </c>
      <c r="W103" s="2">
        <v>0.55</v>
      </c>
      <c r="X103" s="2">
        <v>0.96</v>
      </c>
      <c r="Y103" s="2">
        <v>0.62</v>
      </c>
      <c r="Z103" s="2"/>
    </row>
    <row r="104">
      <c r="A104" s="2">
        <v>48.0</v>
      </c>
      <c r="B104" s="2">
        <v>0.44</v>
      </c>
      <c r="C104" s="2">
        <v>0.98</v>
      </c>
      <c r="D104" s="2">
        <v>0.96</v>
      </c>
      <c r="E104" s="2">
        <v>0.93</v>
      </c>
      <c r="F104" s="2">
        <v>0.87</v>
      </c>
      <c r="G104" s="2">
        <v>2.56</v>
      </c>
      <c r="H104" s="2">
        <v>0.48</v>
      </c>
      <c r="I104" s="2">
        <v>0.94</v>
      </c>
      <c r="J104" s="2">
        <v>0.88</v>
      </c>
      <c r="K104" s="2">
        <v>0.28</v>
      </c>
      <c r="L104" s="2">
        <v>0.97</v>
      </c>
      <c r="M104" s="2">
        <v>0.93</v>
      </c>
      <c r="N104" s="2">
        <v>0.52</v>
      </c>
      <c r="O104" s="2">
        <v>0.89</v>
      </c>
      <c r="P104" s="2">
        <v>0.7</v>
      </c>
      <c r="Q104" s="2">
        <v>0.6</v>
      </c>
      <c r="R104" s="2">
        <v>1.0</v>
      </c>
      <c r="S104" s="2">
        <v>0.19</v>
      </c>
      <c r="T104" s="2">
        <v>0.53</v>
      </c>
      <c r="U104" s="2">
        <v>1.0</v>
      </c>
      <c r="V104" s="2">
        <v>0.22</v>
      </c>
      <c r="W104" s="2">
        <v>0.63</v>
      </c>
      <c r="X104" s="2">
        <v>0.65</v>
      </c>
      <c r="Y104" s="2">
        <v>0.33</v>
      </c>
      <c r="Z104" s="2"/>
    </row>
    <row r="105">
      <c r="A105" s="2">
        <v>49.0</v>
      </c>
      <c r="B105" s="2">
        <v>0.5</v>
      </c>
      <c r="C105" s="2">
        <v>0.98</v>
      </c>
      <c r="D105" s="2">
        <v>0.95</v>
      </c>
      <c r="E105" s="2">
        <v>0.93</v>
      </c>
      <c r="F105" s="2">
        <v>0.86</v>
      </c>
      <c r="G105" s="2">
        <v>3.51</v>
      </c>
      <c r="H105" s="2">
        <v>0.68</v>
      </c>
      <c r="I105" s="2">
        <v>0.9</v>
      </c>
      <c r="J105" s="2">
        <v>0.8</v>
      </c>
      <c r="K105" s="2">
        <v>0.28</v>
      </c>
      <c r="L105" s="2">
        <v>0.97</v>
      </c>
      <c r="M105" s="2">
        <v>0.93</v>
      </c>
      <c r="N105" s="2">
        <v>0.46</v>
      </c>
      <c r="O105" s="2">
        <v>0.95</v>
      </c>
      <c r="P105" s="2">
        <v>0.86</v>
      </c>
      <c r="Q105" s="2">
        <v>0.56</v>
      </c>
      <c r="R105" s="2">
        <v>0.98</v>
      </c>
      <c r="S105" s="2">
        <v>0.91</v>
      </c>
      <c r="T105" s="2">
        <v>0.63</v>
      </c>
      <c r="U105" s="2">
        <v>1.0</v>
      </c>
      <c r="V105" s="2">
        <v>0.06</v>
      </c>
      <c r="W105" s="2">
        <v>0.47</v>
      </c>
      <c r="X105" s="2">
        <v>0.95</v>
      </c>
      <c r="Y105" s="2">
        <v>0.81</v>
      </c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752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548</v>
      </c>
      <c r="B2" s="2" t="s">
        <v>753</v>
      </c>
      <c r="C2" s="2" t="s">
        <v>754</v>
      </c>
      <c r="D2" s="2" t="s">
        <v>755</v>
      </c>
      <c r="E2" s="2" t="s">
        <v>756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757</v>
      </c>
      <c r="B3" s="12">
        <v>132.0</v>
      </c>
      <c r="C3" s="12">
        <v>3.55</v>
      </c>
      <c r="D3" s="2" t="s">
        <v>758</v>
      </c>
      <c r="E3" s="2" t="s">
        <v>759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760</v>
      </c>
      <c r="B4" s="12">
        <v>91.0</v>
      </c>
      <c r="C4" s="12">
        <v>4.49</v>
      </c>
      <c r="D4" s="2" t="s">
        <v>761</v>
      </c>
      <c r="E4" s="2" t="s">
        <v>762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763</v>
      </c>
      <c r="B5" s="12">
        <v>57.0</v>
      </c>
      <c r="C5" s="12">
        <v>4.88</v>
      </c>
      <c r="D5" s="2" t="s">
        <v>764</v>
      </c>
      <c r="E5" s="2" t="s">
        <v>765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763</v>
      </c>
      <c r="B6" s="12">
        <v>406.0</v>
      </c>
      <c r="C6" s="12">
        <v>4.61</v>
      </c>
      <c r="D6" s="2" t="s">
        <v>764</v>
      </c>
      <c r="E6" s="2" t="s">
        <v>765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766</v>
      </c>
      <c r="B7" s="12">
        <v>53.0</v>
      </c>
      <c r="C7" s="12">
        <v>4.67</v>
      </c>
      <c r="D7" s="2" t="s">
        <v>764</v>
      </c>
      <c r="E7" s="2" t="s">
        <v>767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768</v>
      </c>
      <c r="B8" s="12">
        <v>89.0</v>
      </c>
      <c r="C8" s="12">
        <v>4.8</v>
      </c>
      <c r="D8" s="2" t="s">
        <v>769</v>
      </c>
      <c r="E8" s="2" t="s">
        <v>770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771</v>
      </c>
      <c r="B9" s="12">
        <v>89.0</v>
      </c>
      <c r="C9" s="12">
        <v>4.78</v>
      </c>
      <c r="D9" s="2" t="s">
        <v>769</v>
      </c>
      <c r="E9" s="2" t="s">
        <v>772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773</v>
      </c>
      <c r="B10" s="12">
        <v>89.0</v>
      </c>
      <c r="C10" s="12">
        <v>4.85</v>
      </c>
      <c r="D10" s="2" t="s">
        <v>769</v>
      </c>
      <c r="E10" s="2" t="s">
        <v>774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775</v>
      </c>
      <c r="B11" s="12">
        <v>64.0</v>
      </c>
      <c r="C11" s="12">
        <v>4.99</v>
      </c>
      <c r="D11" s="2" t="s">
        <v>769</v>
      </c>
      <c r="E11" s="2" t="s">
        <v>776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777</v>
      </c>
      <c r="B12" s="12">
        <v>141.0</v>
      </c>
      <c r="C12" s="12">
        <v>3.41</v>
      </c>
      <c r="D12" s="2" t="s">
        <v>758</v>
      </c>
      <c r="E12" s="2" t="s">
        <v>778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779</v>
      </c>
      <c r="B13" s="12">
        <v>101.0</v>
      </c>
      <c r="C13" s="12">
        <v>4.98</v>
      </c>
      <c r="D13" s="2" t="s">
        <v>780</v>
      </c>
      <c r="E13" s="2" t="s">
        <v>781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782</v>
      </c>
      <c r="B14" s="12">
        <v>53.0</v>
      </c>
      <c r="C14" s="12">
        <v>4.55</v>
      </c>
      <c r="D14" s="2" t="s">
        <v>764</v>
      </c>
      <c r="E14" s="2" t="s">
        <v>783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782</v>
      </c>
      <c r="B15" s="12">
        <v>397.0</v>
      </c>
      <c r="C15" s="12">
        <v>4.66</v>
      </c>
      <c r="D15" s="2" t="s">
        <v>764</v>
      </c>
      <c r="E15" s="2" t="s">
        <v>783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784</v>
      </c>
      <c r="B16" s="12">
        <v>115.0</v>
      </c>
      <c r="C16" s="12">
        <v>3.6</v>
      </c>
      <c r="D16" s="2" t="s">
        <v>785</v>
      </c>
      <c r="E16" s="2" t="s">
        <v>786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787</v>
      </c>
      <c r="B17" s="12">
        <v>132.0</v>
      </c>
      <c r="C17" s="12">
        <v>4.6</v>
      </c>
      <c r="D17" s="2" t="s">
        <v>788</v>
      </c>
      <c r="E17" s="2" t="s">
        <v>789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790</v>
      </c>
      <c r="B18" s="12">
        <v>89.0</v>
      </c>
      <c r="C18" s="12">
        <v>4.8</v>
      </c>
      <c r="D18" s="2" t="s">
        <v>769</v>
      </c>
      <c r="E18" s="2" t="s">
        <v>791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792</v>
      </c>
      <c r="B19" s="12">
        <v>298.0</v>
      </c>
      <c r="C19" s="12">
        <v>4.99</v>
      </c>
      <c r="D19" s="2" t="s">
        <v>769</v>
      </c>
      <c r="E19" s="2" t="s">
        <v>793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794</v>
      </c>
      <c r="B20" s="12">
        <v>89.0</v>
      </c>
      <c r="C20" s="12">
        <v>4.85</v>
      </c>
      <c r="D20" s="2" t="s">
        <v>769</v>
      </c>
      <c r="E20" s="2" t="s">
        <v>795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796</v>
      </c>
      <c r="B21" s="12">
        <v>171.0</v>
      </c>
      <c r="C21" s="12">
        <v>4.99</v>
      </c>
      <c r="D21" s="2" t="s">
        <v>764</v>
      </c>
      <c r="E21" s="2" t="s">
        <v>797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798</v>
      </c>
      <c r="B22" s="12">
        <v>152.0</v>
      </c>
      <c r="C22" s="12">
        <v>4.77</v>
      </c>
      <c r="D22" s="2" t="s">
        <v>799</v>
      </c>
      <c r="E22" s="2" t="s">
        <v>800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801</v>
      </c>
      <c r="B23" s="12">
        <v>101.0</v>
      </c>
      <c r="C23" s="12">
        <v>3.6</v>
      </c>
      <c r="D23" s="2" t="s">
        <v>785</v>
      </c>
      <c r="E23" s="2" t="s">
        <v>802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803</v>
      </c>
      <c r="B24" s="12">
        <v>258.0</v>
      </c>
      <c r="C24" s="12">
        <v>3.56</v>
      </c>
      <c r="D24" s="2" t="s">
        <v>758</v>
      </c>
      <c r="E24" s="2" t="s">
        <v>804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805</v>
      </c>
      <c r="B25" s="12">
        <v>103.0</v>
      </c>
      <c r="C25" s="12">
        <v>4.88</v>
      </c>
      <c r="D25" s="2" t="s">
        <v>799</v>
      </c>
      <c r="E25" s="2" t="s">
        <v>806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807</v>
      </c>
      <c r="B26" s="12">
        <v>89.0</v>
      </c>
      <c r="C26" s="12">
        <v>4.8</v>
      </c>
      <c r="D26" s="2" t="s">
        <v>769</v>
      </c>
      <c r="E26" s="2" t="s">
        <v>808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809</v>
      </c>
      <c r="B27" s="12">
        <v>76.0</v>
      </c>
      <c r="C27" s="12">
        <v>4.35</v>
      </c>
      <c r="D27" s="2" t="s">
        <v>810</v>
      </c>
      <c r="E27" s="2" t="s">
        <v>811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813</v>
      </c>
      <c r="B28" s="12">
        <v>104.0</v>
      </c>
      <c r="C28" s="12">
        <v>4.97</v>
      </c>
      <c r="D28" s="2" t="s">
        <v>814</v>
      </c>
      <c r="E28" s="2" t="s">
        <v>815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816</v>
      </c>
      <c r="B29" s="12">
        <v>22.0</v>
      </c>
      <c r="C29" s="12">
        <v>4.86</v>
      </c>
      <c r="D29" s="2" t="s">
        <v>817</v>
      </c>
      <c r="E29" s="2" t="s">
        <v>818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819</v>
      </c>
      <c r="B30" s="12">
        <v>71.0</v>
      </c>
      <c r="C30" s="12">
        <v>4.87</v>
      </c>
      <c r="D30" s="2" t="s">
        <v>820</v>
      </c>
      <c r="E30" s="2" t="s">
        <v>821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822</v>
      </c>
      <c r="B31" s="12">
        <v>89.0</v>
      </c>
      <c r="C31" s="12">
        <v>4.81</v>
      </c>
      <c r="D31" s="2" t="s">
        <v>769</v>
      </c>
      <c r="E31" s="2" t="s">
        <v>823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825</v>
      </c>
      <c r="B32" s="12">
        <v>53.0</v>
      </c>
      <c r="C32" s="12">
        <v>4.94</v>
      </c>
      <c r="D32" s="2" t="s">
        <v>769</v>
      </c>
      <c r="E32" s="2" t="s">
        <v>826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827</v>
      </c>
      <c r="B33" s="12">
        <v>147.0</v>
      </c>
      <c r="C33" s="12">
        <v>4.94</v>
      </c>
      <c r="D33" s="2" t="s">
        <v>799</v>
      </c>
      <c r="E33" s="2" t="s">
        <v>829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830</v>
      </c>
      <c r="B34" s="12">
        <v>129.0</v>
      </c>
      <c r="C34" s="12">
        <v>3.45</v>
      </c>
      <c r="D34" s="2" t="s">
        <v>785</v>
      </c>
      <c r="E34" s="2" t="s">
        <v>831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832</v>
      </c>
      <c r="B35" s="12">
        <v>48.0</v>
      </c>
      <c r="C35" s="12">
        <v>4.8</v>
      </c>
      <c r="D35" s="2" t="s">
        <v>769</v>
      </c>
      <c r="E35" s="2" t="s">
        <v>833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835</v>
      </c>
      <c r="B36" s="12">
        <v>58.0</v>
      </c>
      <c r="C36" s="12">
        <v>4.66</v>
      </c>
      <c r="D36" s="2" t="s">
        <v>764</v>
      </c>
      <c r="E36" s="2" t="s">
        <v>836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837</v>
      </c>
      <c r="B37" s="12">
        <v>302.0</v>
      </c>
      <c r="C37" s="12">
        <v>4.74</v>
      </c>
      <c r="D37" s="2" t="s">
        <v>838</v>
      </c>
      <c r="E37" s="2" t="s">
        <v>839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840</v>
      </c>
      <c r="B38" s="12">
        <v>97.0</v>
      </c>
      <c r="C38" s="12">
        <v>3.58</v>
      </c>
      <c r="D38" s="2" t="s">
        <v>785</v>
      </c>
      <c r="E38" s="2" t="s">
        <v>841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842</v>
      </c>
      <c r="B39" s="12">
        <v>295.0</v>
      </c>
      <c r="C39" s="12">
        <v>3.52</v>
      </c>
      <c r="D39" s="2" t="s">
        <v>758</v>
      </c>
      <c r="E39" s="2" t="s">
        <v>843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844</v>
      </c>
      <c r="B40" s="22">
        <v>182.0</v>
      </c>
      <c r="C40" s="22">
        <v>4.9</v>
      </c>
      <c r="D40" s="4" t="s">
        <v>764</v>
      </c>
      <c r="E40" s="4" t="s">
        <v>845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" t="s">
        <v>844</v>
      </c>
      <c r="B41" s="12">
        <v>305.0</v>
      </c>
      <c r="C41" s="12">
        <v>4.63</v>
      </c>
      <c r="D41" s="2" t="s">
        <v>764</v>
      </c>
      <c r="E41" s="2" t="s">
        <v>845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844</v>
      </c>
      <c r="B42" s="12">
        <v>426.0</v>
      </c>
      <c r="C42" s="12">
        <v>4.72</v>
      </c>
      <c r="D42" s="2" t="s">
        <v>764</v>
      </c>
      <c r="E42" s="2" t="s">
        <v>845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846</v>
      </c>
      <c r="B43" s="12">
        <v>105.0</v>
      </c>
      <c r="C43" s="12">
        <v>3.61</v>
      </c>
      <c r="D43" s="2" t="s">
        <v>785</v>
      </c>
      <c r="E43" s="2" t="s">
        <v>847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848</v>
      </c>
      <c r="B44" s="12">
        <v>89.0</v>
      </c>
      <c r="C44" s="12">
        <v>4.81</v>
      </c>
      <c r="D44" s="2" t="s">
        <v>769</v>
      </c>
      <c r="E44" s="2" t="s">
        <v>849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850</v>
      </c>
      <c r="B45" s="12">
        <v>81.0</v>
      </c>
      <c r="C45" s="12">
        <v>4.88</v>
      </c>
      <c r="D45" s="2" t="s">
        <v>820</v>
      </c>
      <c r="E45" s="2" t="s">
        <v>851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852</v>
      </c>
      <c r="B46" s="12">
        <v>89.0</v>
      </c>
      <c r="C46" s="12">
        <v>4.75</v>
      </c>
      <c r="D46" s="2" t="s">
        <v>769</v>
      </c>
      <c r="E46" s="2" t="s">
        <v>853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854</v>
      </c>
      <c r="B47" s="12">
        <v>71.0</v>
      </c>
      <c r="C47" s="12">
        <v>4.49</v>
      </c>
      <c r="D47" s="2" t="s">
        <v>764</v>
      </c>
      <c r="E47" s="2" t="s">
        <v>855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854</v>
      </c>
      <c r="B48" s="12">
        <v>418.0</v>
      </c>
      <c r="C48" s="12">
        <v>4.46</v>
      </c>
      <c r="D48" s="2" t="s">
        <v>764</v>
      </c>
      <c r="E48" s="2" t="s">
        <v>855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856</v>
      </c>
      <c r="B49" s="12">
        <v>32.0</v>
      </c>
      <c r="C49" s="12">
        <v>4.56</v>
      </c>
      <c r="D49" s="2" t="s">
        <v>857</v>
      </c>
      <c r="E49" s="2" t="s">
        <v>858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859</v>
      </c>
      <c r="B50" s="12">
        <v>124.0</v>
      </c>
      <c r="C50" s="12">
        <v>4.78</v>
      </c>
      <c r="D50" s="2" t="s">
        <v>799</v>
      </c>
      <c r="E50" s="2" t="s">
        <v>860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861</v>
      </c>
      <c r="B51" s="12">
        <v>70.0</v>
      </c>
      <c r="C51" s="12">
        <v>4.91</v>
      </c>
      <c r="D51" s="2" t="s">
        <v>764</v>
      </c>
      <c r="E51" s="2" t="s">
        <v>862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863</v>
      </c>
      <c r="B52" s="12">
        <v>35.0</v>
      </c>
      <c r="C52" s="12">
        <v>4.95</v>
      </c>
      <c r="D52" s="2" t="s">
        <v>817</v>
      </c>
      <c r="E52" s="2" t="s">
        <v>864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866</v>
      </c>
      <c r="B53" s="12">
        <v>95.0</v>
      </c>
      <c r="C53" s="12">
        <v>4.68</v>
      </c>
      <c r="D53" s="2" t="s">
        <v>867</v>
      </c>
      <c r="E53" s="2" t="s">
        <v>868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869</v>
      </c>
      <c r="B54" s="12">
        <v>77.0</v>
      </c>
      <c r="C54" s="12">
        <v>3.82</v>
      </c>
      <c r="D54" s="2" t="s">
        <v>810</v>
      </c>
      <c r="E54" s="2" t="s">
        <v>870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871</v>
      </c>
      <c r="B55" s="12">
        <v>81.0</v>
      </c>
      <c r="C55" s="12">
        <v>3.6</v>
      </c>
      <c r="D55" s="2" t="s">
        <v>785</v>
      </c>
      <c r="E55" s="2" t="s">
        <v>872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873</v>
      </c>
      <c r="B56" s="12">
        <v>89.0</v>
      </c>
      <c r="C56" s="12">
        <v>4.77</v>
      </c>
      <c r="D56" s="2" t="s">
        <v>769</v>
      </c>
      <c r="E56" s="2" t="s">
        <v>874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876</v>
      </c>
      <c r="B57" s="12">
        <v>138.0</v>
      </c>
      <c r="C57" s="12">
        <v>4.95</v>
      </c>
      <c r="D57" s="2" t="s">
        <v>799</v>
      </c>
      <c r="E57" s="2" t="s">
        <v>877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878</v>
      </c>
      <c r="B58" s="12">
        <v>55.0</v>
      </c>
      <c r="C58" s="12">
        <v>4.67</v>
      </c>
      <c r="D58" s="2" t="s">
        <v>764</v>
      </c>
      <c r="E58" s="2" t="s">
        <v>879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878</v>
      </c>
      <c r="B59" s="12">
        <v>190.0</v>
      </c>
      <c r="C59" s="12">
        <v>4.57</v>
      </c>
      <c r="D59" s="2" t="s">
        <v>764</v>
      </c>
      <c r="E59" s="2" t="s">
        <v>879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881</v>
      </c>
      <c r="B60" s="12">
        <v>73.0</v>
      </c>
      <c r="C60" s="12">
        <v>4.21</v>
      </c>
      <c r="D60" s="2" t="s">
        <v>882</v>
      </c>
      <c r="E60" s="2" t="s">
        <v>883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885</v>
      </c>
      <c r="B61" s="12">
        <v>89.0</v>
      </c>
      <c r="C61" s="12">
        <v>4.87</v>
      </c>
      <c r="D61" s="2" t="s">
        <v>769</v>
      </c>
      <c r="E61" s="2" t="s">
        <v>886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888</v>
      </c>
      <c r="B62" s="12">
        <v>30.0</v>
      </c>
      <c r="C62" s="12">
        <v>4.96</v>
      </c>
      <c r="D62" s="2" t="s">
        <v>817</v>
      </c>
      <c r="E62" s="2" t="s">
        <v>889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891</v>
      </c>
      <c r="B63" s="12">
        <v>105.0</v>
      </c>
      <c r="C63" s="12">
        <v>3.46</v>
      </c>
      <c r="D63" s="2" t="s">
        <v>785</v>
      </c>
      <c r="E63" s="2" t="s">
        <v>892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893</v>
      </c>
      <c r="B64" s="12">
        <v>95.0</v>
      </c>
      <c r="C64" s="12">
        <v>4.82</v>
      </c>
      <c r="D64" s="2" t="s">
        <v>894</v>
      </c>
      <c r="E64" s="2" t="s">
        <v>895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896</v>
      </c>
      <c r="B65" s="12">
        <v>33.0</v>
      </c>
      <c r="C65" s="12">
        <v>4.64</v>
      </c>
      <c r="D65" s="2" t="s">
        <v>897</v>
      </c>
      <c r="E65" s="2" t="s">
        <v>898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899</v>
      </c>
      <c r="B66" s="12">
        <v>139.0</v>
      </c>
      <c r="C66" s="12">
        <v>3.64</v>
      </c>
      <c r="D66" s="2" t="s">
        <v>758</v>
      </c>
      <c r="E66" s="2" t="s">
        <v>900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903</v>
      </c>
      <c r="B67" s="12">
        <v>23.0</v>
      </c>
      <c r="C67" s="12">
        <v>4.76</v>
      </c>
      <c r="D67" s="2" t="s">
        <v>810</v>
      </c>
      <c r="E67" s="2" t="s">
        <v>904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906</v>
      </c>
      <c r="B68" s="12">
        <v>89.0</v>
      </c>
      <c r="C68" s="12">
        <v>4.59</v>
      </c>
      <c r="D68" s="2" t="s">
        <v>764</v>
      </c>
      <c r="E68" s="2" t="s">
        <v>907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906</v>
      </c>
      <c r="B69" s="12">
        <v>217.0</v>
      </c>
      <c r="C69" s="12">
        <v>4.66</v>
      </c>
      <c r="D69" s="2" t="s">
        <v>764</v>
      </c>
      <c r="E69" s="2" t="s">
        <v>907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906</v>
      </c>
      <c r="B70" s="12">
        <v>350.0</v>
      </c>
      <c r="C70" s="12">
        <v>4.73</v>
      </c>
      <c r="D70" s="2" t="s">
        <v>764</v>
      </c>
      <c r="E70" s="2" t="s">
        <v>907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910</v>
      </c>
      <c r="B71" s="12">
        <v>14.0</v>
      </c>
      <c r="C71" s="12">
        <v>4.97</v>
      </c>
      <c r="D71" s="2" t="s">
        <v>911</v>
      </c>
      <c r="E71" s="2" t="s">
        <v>912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914</v>
      </c>
      <c r="B72" s="12">
        <v>266.0</v>
      </c>
      <c r="C72" s="12">
        <v>4.82</v>
      </c>
      <c r="D72" s="2" t="s">
        <v>915</v>
      </c>
      <c r="E72" s="2" t="s">
        <v>916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918</v>
      </c>
      <c r="B73" s="12">
        <v>45.0</v>
      </c>
      <c r="C73" s="12">
        <v>4.7</v>
      </c>
      <c r="D73" s="2" t="s">
        <v>838</v>
      </c>
      <c r="E73" s="2" t="s">
        <v>919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921</v>
      </c>
      <c r="B74" s="12">
        <v>224.0</v>
      </c>
      <c r="C74" s="12">
        <v>4.66</v>
      </c>
      <c r="D74" s="2" t="s">
        <v>922</v>
      </c>
      <c r="E74" s="2" t="s">
        <v>923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925</v>
      </c>
      <c r="B75" s="12">
        <v>41.0</v>
      </c>
      <c r="C75" s="12">
        <v>4.4</v>
      </c>
      <c r="D75" s="2" t="s">
        <v>926</v>
      </c>
      <c r="E75" s="2" t="s">
        <v>927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929</v>
      </c>
      <c r="B76" s="12">
        <v>137.0</v>
      </c>
      <c r="C76" s="12">
        <v>4.85</v>
      </c>
      <c r="D76" s="2" t="s">
        <v>915</v>
      </c>
      <c r="E76" s="2" t="s">
        <v>930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931</v>
      </c>
      <c r="B77" s="12">
        <v>76.0</v>
      </c>
      <c r="C77" s="12">
        <v>4.77</v>
      </c>
      <c r="D77" s="2" t="s">
        <v>922</v>
      </c>
      <c r="E77" s="2" t="s">
        <v>933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934</v>
      </c>
      <c r="B78" s="12">
        <v>100.0</v>
      </c>
      <c r="C78" s="12">
        <v>4.72</v>
      </c>
      <c r="D78" s="2" t="s">
        <v>935</v>
      </c>
      <c r="E78" s="2" t="s">
        <v>936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938</v>
      </c>
      <c r="B79" s="12">
        <v>105.0</v>
      </c>
      <c r="C79" s="12">
        <v>3.55</v>
      </c>
      <c r="D79" s="2" t="s">
        <v>785</v>
      </c>
      <c r="E79" s="2" t="s">
        <v>939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941</v>
      </c>
      <c r="B80" s="12">
        <v>424.0</v>
      </c>
      <c r="C80" s="12">
        <v>4.72</v>
      </c>
      <c r="D80" s="2" t="s">
        <v>769</v>
      </c>
      <c r="E80" s="2" t="s">
        <v>942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944</v>
      </c>
      <c r="B81" s="12">
        <v>153.0</v>
      </c>
      <c r="C81" s="12">
        <v>3.42</v>
      </c>
      <c r="D81" s="2" t="s">
        <v>758</v>
      </c>
      <c r="E81" s="2" t="s">
        <v>945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946</v>
      </c>
      <c r="B82" s="12">
        <v>89.0</v>
      </c>
      <c r="C82" s="12">
        <v>4.83</v>
      </c>
      <c r="D82" s="2" t="s">
        <v>769</v>
      </c>
      <c r="E82" s="2" t="s">
        <v>947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949</v>
      </c>
      <c r="B83" s="12">
        <v>89.0</v>
      </c>
      <c r="C83" s="12">
        <v>4.83</v>
      </c>
      <c r="D83" s="2" t="s">
        <v>769</v>
      </c>
      <c r="E83" s="2" t="s">
        <v>950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952</v>
      </c>
      <c r="B84" s="12">
        <v>89.0</v>
      </c>
      <c r="C84" s="12">
        <v>4.8</v>
      </c>
      <c r="D84" s="2" t="s">
        <v>769</v>
      </c>
      <c r="E84" s="2" t="s">
        <v>953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954</v>
      </c>
      <c r="B85" s="12">
        <v>139.0</v>
      </c>
      <c r="C85" s="12">
        <v>3.62</v>
      </c>
      <c r="D85" s="2" t="s">
        <v>758</v>
      </c>
      <c r="E85" s="2" t="s">
        <v>955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957</v>
      </c>
      <c r="B86" s="12">
        <v>214.0</v>
      </c>
      <c r="C86" s="12">
        <v>4.56</v>
      </c>
      <c r="D86" s="2" t="s">
        <v>715</v>
      </c>
      <c r="E86" s="2" t="s">
        <v>958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960</v>
      </c>
      <c r="B87" s="12">
        <v>47.0</v>
      </c>
      <c r="C87" s="12">
        <v>4.74</v>
      </c>
      <c r="D87" s="2" t="s">
        <v>961</v>
      </c>
      <c r="E87" s="2" t="s">
        <v>962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963</v>
      </c>
      <c r="B88" s="12">
        <v>137.0</v>
      </c>
      <c r="C88" s="12">
        <v>4.34</v>
      </c>
      <c r="D88" s="2" t="s">
        <v>764</v>
      </c>
      <c r="E88" s="2" t="s">
        <v>964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963</v>
      </c>
      <c r="B89" s="12">
        <v>719.0</v>
      </c>
      <c r="C89" s="12">
        <v>4.66</v>
      </c>
      <c r="D89" s="2" t="s">
        <v>764</v>
      </c>
      <c r="E89" s="2" t="s">
        <v>964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967</v>
      </c>
      <c r="B90" s="12">
        <v>51.0</v>
      </c>
      <c r="C90" s="12">
        <v>4.79</v>
      </c>
      <c r="D90" s="2" t="s">
        <v>761</v>
      </c>
      <c r="E90" s="2" t="s">
        <v>968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969</v>
      </c>
      <c r="B91" s="12">
        <v>152.0</v>
      </c>
      <c r="C91" s="12">
        <v>4.72</v>
      </c>
      <c r="D91" s="2" t="s">
        <v>922</v>
      </c>
      <c r="E91" s="2" t="s">
        <v>970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972</v>
      </c>
      <c r="B92" s="12">
        <v>450.0</v>
      </c>
      <c r="C92" s="12">
        <v>4.99</v>
      </c>
      <c r="D92" s="2" t="s">
        <v>769</v>
      </c>
      <c r="E92" s="2" t="s">
        <v>973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975</v>
      </c>
      <c r="B93" s="12">
        <v>73.0</v>
      </c>
      <c r="C93" s="12">
        <v>3.72</v>
      </c>
      <c r="D93" s="2" t="s">
        <v>785</v>
      </c>
      <c r="E93" s="2" t="s">
        <v>976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977</v>
      </c>
      <c r="B94" s="12">
        <v>56.0</v>
      </c>
      <c r="C94" s="12">
        <v>4.99</v>
      </c>
      <c r="D94" s="2" t="s">
        <v>764</v>
      </c>
      <c r="E94" s="2" t="s">
        <v>978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979</v>
      </c>
      <c r="B95" s="12">
        <v>91.0</v>
      </c>
      <c r="C95" s="12">
        <v>4.66</v>
      </c>
      <c r="D95" s="2" t="s">
        <v>764</v>
      </c>
      <c r="E95" s="2" t="s">
        <v>980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979</v>
      </c>
      <c r="B96" s="12">
        <v>206.0</v>
      </c>
      <c r="C96" s="12">
        <v>4.62</v>
      </c>
      <c r="D96" s="2" t="s">
        <v>764</v>
      </c>
      <c r="E96" s="2" t="s">
        <v>980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979</v>
      </c>
      <c r="B97" s="12">
        <v>555.0</v>
      </c>
      <c r="C97" s="12">
        <v>4.56</v>
      </c>
      <c r="D97" s="2" t="s">
        <v>764</v>
      </c>
      <c r="E97" s="2" t="s">
        <v>980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981</v>
      </c>
      <c r="B98" s="12">
        <v>89.0</v>
      </c>
      <c r="C98" s="12">
        <v>4.87</v>
      </c>
      <c r="D98" s="2" t="s">
        <v>769</v>
      </c>
      <c r="E98" s="2" t="s">
        <v>982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983</v>
      </c>
      <c r="B99" s="12">
        <v>32.0</v>
      </c>
      <c r="C99" s="12">
        <v>4.56</v>
      </c>
      <c r="D99" s="2" t="s">
        <v>857</v>
      </c>
      <c r="E99" s="2" t="s">
        <v>984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985</v>
      </c>
      <c r="B100" s="12">
        <v>72.0</v>
      </c>
      <c r="C100" s="12">
        <v>4.25</v>
      </c>
      <c r="D100" s="2" t="s">
        <v>986</v>
      </c>
      <c r="E100" s="2" t="s">
        <v>987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989</v>
      </c>
      <c r="B101" s="12">
        <v>360.0</v>
      </c>
      <c r="C101" s="12">
        <v>4.53</v>
      </c>
      <c r="D101" s="2" t="s">
        <v>838</v>
      </c>
      <c r="E101" s="2" t="s">
        <v>990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992</v>
      </c>
      <c r="B102" s="12">
        <v>139.0</v>
      </c>
      <c r="C102" s="12">
        <v>3.64</v>
      </c>
      <c r="D102" s="2" t="s">
        <v>785</v>
      </c>
      <c r="E102" s="2" t="s">
        <v>993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995</v>
      </c>
      <c r="B103" s="12">
        <v>92.0</v>
      </c>
      <c r="C103" s="12">
        <v>3.63</v>
      </c>
      <c r="D103" s="2" t="s">
        <v>758</v>
      </c>
      <c r="E103" s="2" t="s">
        <v>996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997</v>
      </c>
      <c r="B104" s="12">
        <v>290.0</v>
      </c>
      <c r="C104" s="12">
        <v>4.01</v>
      </c>
      <c r="D104" s="2" t="s">
        <v>785</v>
      </c>
      <c r="E104" s="2" t="s">
        <v>998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999</v>
      </c>
      <c r="B105" s="12">
        <v>138.0</v>
      </c>
      <c r="C105" s="12">
        <v>3.6</v>
      </c>
      <c r="D105" s="2" t="s">
        <v>758</v>
      </c>
      <c r="E105" s="2" t="s">
        <v>1000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1001</v>
      </c>
      <c r="B106" s="12">
        <v>282.0</v>
      </c>
      <c r="C106" s="12">
        <v>4.98</v>
      </c>
      <c r="D106" s="2" t="s">
        <v>769</v>
      </c>
      <c r="E106" s="2" t="s">
        <v>1002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1003</v>
      </c>
      <c r="B107" s="12">
        <v>89.0</v>
      </c>
      <c r="C107" s="12">
        <v>4.81</v>
      </c>
      <c r="D107" s="2" t="s">
        <v>769</v>
      </c>
      <c r="E107" s="2" t="s">
        <v>1004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1005</v>
      </c>
      <c r="B108" s="12">
        <v>44.0</v>
      </c>
      <c r="C108" s="12">
        <v>4.74</v>
      </c>
      <c r="D108" s="2" t="s">
        <v>769</v>
      </c>
      <c r="E108" s="2" t="s">
        <v>1006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1007</v>
      </c>
      <c r="B109" s="12">
        <v>76.0</v>
      </c>
      <c r="C109" s="12">
        <v>4.21</v>
      </c>
      <c r="D109" s="2" t="s">
        <v>810</v>
      </c>
      <c r="E109" s="2" t="s">
        <v>1008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1009</v>
      </c>
      <c r="B110" s="12">
        <v>220.0</v>
      </c>
      <c r="C110" s="12">
        <v>4.45</v>
      </c>
      <c r="D110" s="2" t="s">
        <v>764</v>
      </c>
      <c r="E110" s="2" t="s">
        <v>1010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1011</v>
      </c>
      <c r="B111" s="12">
        <v>110.0</v>
      </c>
      <c r="C111" s="12">
        <v>3.94</v>
      </c>
      <c r="D111" s="2" t="s">
        <v>857</v>
      </c>
      <c r="E111" s="2" t="s">
        <v>1012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1013</v>
      </c>
      <c r="B112" s="12">
        <v>126.0</v>
      </c>
      <c r="C112" s="12">
        <v>4.88</v>
      </c>
      <c r="D112" s="2" t="s">
        <v>799</v>
      </c>
      <c r="E112" s="2" t="s">
        <v>1014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1015</v>
      </c>
      <c r="B113" s="12">
        <v>89.0</v>
      </c>
      <c r="C113" s="12">
        <v>4.84</v>
      </c>
      <c r="D113" s="2" t="s">
        <v>769</v>
      </c>
      <c r="E113" s="2" t="s">
        <v>1016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1017</v>
      </c>
      <c r="B114" s="12">
        <v>108.0</v>
      </c>
      <c r="C114" s="12">
        <v>3.86</v>
      </c>
      <c r="D114" s="2" t="s">
        <v>758</v>
      </c>
      <c r="E114" s="2" t="s">
        <v>1018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1019</v>
      </c>
      <c r="B115" s="12">
        <v>93.0</v>
      </c>
      <c r="C115" s="12">
        <v>3.79</v>
      </c>
      <c r="D115" s="2" t="s">
        <v>785</v>
      </c>
      <c r="E115" s="2" t="s">
        <v>1020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1021</v>
      </c>
      <c r="B116" s="12">
        <v>51.0</v>
      </c>
      <c r="C116" s="12">
        <v>4.8</v>
      </c>
      <c r="D116" s="2" t="s">
        <v>1022</v>
      </c>
      <c r="E116" s="2" t="s">
        <v>1023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1024</v>
      </c>
      <c r="B117" s="12">
        <v>132.0</v>
      </c>
      <c r="C117" s="12">
        <v>4.78</v>
      </c>
      <c r="D117" s="2" t="s">
        <v>799</v>
      </c>
      <c r="E117" s="2" t="s">
        <v>1025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1026</v>
      </c>
      <c r="B118" s="12">
        <v>64.0</v>
      </c>
      <c r="C118" s="12">
        <v>4.79</v>
      </c>
      <c r="D118" s="2" t="s">
        <v>764</v>
      </c>
      <c r="E118" s="2" t="s">
        <v>1027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1028</v>
      </c>
      <c r="B119" s="12">
        <v>456.0</v>
      </c>
      <c r="C119" s="12">
        <v>4.85</v>
      </c>
      <c r="D119" s="2" t="s">
        <v>1022</v>
      </c>
      <c r="E119" s="2" t="s">
        <v>1029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1030</v>
      </c>
      <c r="B120" s="12">
        <v>89.0</v>
      </c>
      <c r="C120" s="12">
        <v>4.8</v>
      </c>
      <c r="D120" s="2" t="s">
        <v>769</v>
      </c>
      <c r="E120" s="2" t="s">
        <v>1031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1032</v>
      </c>
      <c r="B121" s="12">
        <v>90.0</v>
      </c>
      <c r="C121" s="12">
        <v>4.67</v>
      </c>
      <c r="D121" s="2" t="s">
        <v>867</v>
      </c>
      <c r="E121" s="2" t="s">
        <v>1033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1034</v>
      </c>
      <c r="B122" s="12">
        <v>91.0</v>
      </c>
      <c r="C122" s="12">
        <v>4.72</v>
      </c>
      <c r="D122" s="2" t="s">
        <v>764</v>
      </c>
      <c r="E122" s="2" t="s">
        <v>1035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1036</v>
      </c>
      <c r="B123" s="12">
        <v>152.0</v>
      </c>
      <c r="C123" s="12">
        <v>4.9</v>
      </c>
      <c r="D123" s="2" t="s">
        <v>799</v>
      </c>
      <c r="E123" s="2" t="s">
        <v>1037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1038</v>
      </c>
      <c r="B124" s="12">
        <v>48.0</v>
      </c>
      <c r="C124" s="12">
        <v>3.89</v>
      </c>
      <c r="D124" s="2" t="s">
        <v>857</v>
      </c>
      <c r="E124" s="2" t="s">
        <v>1039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1040</v>
      </c>
      <c r="B125" s="12">
        <v>57.0</v>
      </c>
      <c r="C125" s="12">
        <v>4.79</v>
      </c>
      <c r="D125" s="2" t="s">
        <v>715</v>
      </c>
      <c r="E125" s="2" t="s">
        <v>1041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1042</v>
      </c>
      <c r="B126" s="12">
        <v>138.0</v>
      </c>
      <c r="C126" s="12">
        <v>3.53</v>
      </c>
      <c r="D126" s="2" t="s">
        <v>758</v>
      </c>
      <c r="E126" s="2" t="s">
        <v>1043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1044</v>
      </c>
      <c r="B127" s="12">
        <v>89.0</v>
      </c>
      <c r="C127" s="12">
        <v>4.81</v>
      </c>
      <c r="D127" s="2" t="s">
        <v>769</v>
      </c>
      <c r="E127" s="2" t="s">
        <v>1045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1046</v>
      </c>
      <c r="B128" s="12">
        <v>36.0</v>
      </c>
      <c r="C128" s="12">
        <v>4.73</v>
      </c>
      <c r="D128" s="2" t="s">
        <v>911</v>
      </c>
      <c r="E128" s="2" t="s">
        <v>1047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1048</v>
      </c>
      <c r="B129" s="12">
        <v>24.0</v>
      </c>
      <c r="C129" s="12">
        <v>4.88</v>
      </c>
      <c r="D129" s="2" t="s">
        <v>911</v>
      </c>
      <c r="E129" s="2" t="s">
        <v>1049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1050</v>
      </c>
      <c r="B130" s="12">
        <v>158.0</v>
      </c>
      <c r="C130" s="12">
        <v>4.6</v>
      </c>
      <c r="D130" s="2" t="s">
        <v>764</v>
      </c>
      <c r="E130" s="2" t="s">
        <v>1051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1050</v>
      </c>
      <c r="B131" s="12">
        <v>480.0</v>
      </c>
      <c r="C131" s="12">
        <v>4.99</v>
      </c>
      <c r="D131" s="2" t="s">
        <v>764</v>
      </c>
      <c r="E131" s="2" t="s">
        <v>1051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1052</v>
      </c>
      <c r="B132" s="12">
        <v>601.0</v>
      </c>
      <c r="C132" s="12">
        <v>4.9</v>
      </c>
      <c r="D132" s="2" t="s">
        <v>769</v>
      </c>
      <c r="E132" s="2" t="s">
        <v>1053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" t="s">
        <v>1054</v>
      </c>
      <c r="J1" s="11" t="s">
        <v>1055</v>
      </c>
    </row>
    <row r="2">
      <c r="A2" s="11" t="s">
        <v>1056</v>
      </c>
      <c r="B2" s="11" t="s">
        <v>1057</v>
      </c>
      <c r="C2" s="11" t="s">
        <v>1058</v>
      </c>
      <c r="D2" s="11" t="s">
        <v>551</v>
      </c>
      <c r="E2" s="11" t="s">
        <v>1059</v>
      </c>
      <c r="F2" s="11" t="s">
        <v>1060</v>
      </c>
      <c r="J2" s="11" t="s">
        <v>1056</v>
      </c>
      <c r="K2" s="11" t="s">
        <v>1057</v>
      </c>
      <c r="L2" s="11" t="s">
        <v>1058</v>
      </c>
      <c r="M2" s="11" t="s">
        <v>551</v>
      </c>
      <c r="N2" s="11" t="s">
        <v>1059</v>
      </c>
      <c r="O2" s="11" t="s">
        <v>1060</v>
      </c>
    </row>
    <row r="3">
      <c r="A3" s="11">
        <v>7.73685264587402</v>
      </c>
      <c r="B3" s="11">
        <v>11.5434093475341</v>
      </c>
      <c r="C3" s="11" t="s">
        <v>1061</v>
      </c>
      <c r="D3" s="11" t="s">
        <v>1061</v>
      </c>
      <c r="E3" s="11" t="s">
        <v>1062</v>
      </c>
      <c r="F3" s="11" t="s">
        <v>1063</v>
      </c>
      <c r="J3" s="11">
        <v>-18.4874382019042</v>
      </c>
      <c r="K3" s="11">
        <v>0.494522988796234</v>
      </c>
      <c r="L3" s="11" t="s">
        <v>1061</v>
      </c>
      <c r="M3" s="11" t="s">
        <v>1061</v>
      </c>
      <c r="N3" s="11" t="s">
        <v>1062</v>
      </c>
      <c r="O3" s="11" t="s">
        <v>1063</v>
      </c>
    </row>
    <row r="4">
      <c r="A4" s="11">
        <v>-4.67976236343383</v>
      </c>
      <c r="B4" s="11">
        <v>15.976975440979</v>
      </c>
      <c r="C4" s="11" t="s">
        <v>1061</v>
      </c>
      <c r="D4" s="11" t="s">
        <v>1061</v>
      </c>
      <c r="E4" s="11" t="s">
        <v>1062</v>
      </c>
      <c r="F4" s="11" t="s">
        <v>1064</v>
      </c>
      <c r="J4" s="11">
        <v>48.3419914245605</v>
      </c>
      <c r="K4" s="11">
        <v>-20.2029285430908</v>
      </c>
      <c r="L4" s="11" t="s">
        <v>1061</v>
      </c>
      <c r="M4" s="11" t="s">
        <v>1061</v>
      </c>
      <c r="N4" s="11" t="s">
        <v>1062</v>
      </c>
      <c r="O4" s="11" t="s">
        <v>1064</v>
      </c>
    </row>
    <row r="5">
      <c r="A5" s="11">
        <v>84.7194519042968</v>
      </c>
      <c r="B5" s="11">
        <v>-16.2098388671875</v>
      </c>
      <c r="C5" s="11" t="s">
        <v>1061</v>
      </c>
      <c r="D5" s="11" t="s">
        <v>1061</v>
      </c>
      <c r="E5" s="11" t="s">
        <v>1062</v>
      </c>
      <c r="F5" s="11" t="s">
        <v>1065</v>
      </c>
      <c r="J5" s="11">
        <v>-34.9353523254394</v>
      </c>
      <c r="K5" s="11">
        <v>31.3189907073974</v>
      </c>
      <c r="L5" s="11" t="s">
        <v>1061</v>
      </c>
      <c r="M5" s="11" t="s">
        <v>1061</v>
      </c>
      <c r="N5" s="11" t="s">
        <v>1062</v>
      </c>
      <c r="O5" s="11" t="s">
        <v>1065</v>
      </c>
    </row>
    <row r="6">
      <c r="A6" s="11">
        <v>-11.5010366439819</v>
      </c>
      <c r="B6" s="11">
        <v>-2.48722028732299</v>
      </c>
      <c r="C6" s="11" t="s">
        <v>1061</v>
      </c>
      <c r="D6" s="11" t="s">
        <v>1061</v>
      </c>
      <c r="E6" s="11" t="s">
        <v>1062</v>
      </c>
      <c r="F6" s="11" t="s">
        <v>1066</v>
      </c>
      <c r="J6" s="11">
        <v>-7.80793619155883</v>
      </c>
      <c r="K6" s="11">
        <v>0.328207224607467</v>
      </c>
      <c r="L6" s="11" t="s">
        <v>1061</v>
      </c>
      <c r="M6" s="11" t="s">
        <v>1061</v>
      </c>
      <c r="N6" s="11" t="s">
        <v>1062</v>
      </c>
      <c r="O6" s="11" t="s">
        <v>1066</v>
      </c>
    </row>
    <row r="7">
      <c r="A7" s="11">
        <v>12.5550994873046</v>
      </c>
      <c r="B7" s="11">
        <v>-1.18683016300201</v>
      </c>
      <c r="C7" s="11" t="s">
        <v>1061</v>
      </c>
      <c r="D7" s="11" t="s">
        <v>1061</v>
      </c>
      <c r="E7" s="11" t="s">
        <v>1062</v>
      </c>
      <c r="F7" s="11" t="s">
        <v>1067</v>
      </c>
      <c r="J7" s="11">
        <v>-18.7674865722656</v>
      </c>
      <c r="K7" s="11">
        <v>6.38751506805419</v>
      </c>
      <c r="L7" s="11" t="s">
        <v>1061</v>
      </c>
      <c r="M7" s="11" t="s">
        <v>1061</v>
      </c>
      <c r="N7" s="11" t="s">
        <v>1062</v>
      </c>
      <c r="O7" s="11" t="s">
        <v>1067</v>
      </c>
    </row>
    <row r="8">
      <c r="A8" s="11">
        <v>82.953254699707</v>
      </c>
      <c r="B8" s="11">
        <v>-15.7200565338134</v>
      </c>
      <c r="C8" s="11" t="s">
        <v>1061</v>
      </c>
      <c r="D8" s="11" t="s">
        <v>1061</v>
      </c>
      <c r="E8" s="11" t="s">
        <v>1062</v>
      </c>
      <c r="F8" s="11" t="s">
        <v>1068</v>
      </c>
      <c r="J8" s="11">
        <v>-35.5188827514648</v>
      </c>
      <c r="K8" s="11">
        <v>31.7375106811523</v>
      </c>
      <c r="L8" s="11" t="s">
        <v>1061</v>
      </c>
      <c r="M8" s="11" t="s">
        <v>1061</v>
      </c>
      <c r="N8" s="11" t="s">
        <v>1062</v>
      </c>
      <c r="O8" s="11" t="s">
        <v>1068</v>
      </c>
    </row>
    <row r="9">
      <c r="A9" s="11">
        <v>6.88817024230957</v>
      </c>
      <c r="B9" s="11">
        <v>18.2459239959716</v>
      </c>
      <c r="C9" s="11" t="s">
        <v>1061</v>
      </c>
      <c r="D9" s="11" t="s">
        <v>1061</v>
      </c>
      <c r="E9" s="11" t="s">
        <v>1062</v>
      </c>
      <c r="F9" s="11" t="s">
        <v>1069</v>
      </c>
      <c r="J9" s="11">
        <v>-11.7392644882202</v>
      </c>
      <c r="K9" s="11">
        <v>7.93357896804809</v>
      </c>
      <c r="L9" s="11" t="s">
        <v>1061</v>
      </c>
      <c r="M9" s="11" t="s">
        <v>1061</v>
      </c>
      <c r="N9" s="11" t="s">
        <v>1062</v>
      </c>
      <c r="O9" s="11" t="s">
        <v>1069</v>
      </c>
    </row>
    <row r="10">
      <c r="A10" s="11">
        <v>4.10803413391113</v>
      </c>
      <c r="B10" s="11">
        <v>29.2309207916259</v>
      </c>
      <c r="C10" s="11" t="s">
        <v>1061</v>
      </c>
      <c r="D10" s="11" t="s">
        <v>1061</v>
      </c>
      <c r="E10" s="11" t="s">
        <v>1062</v>
      </c>
      <c r="F10" s="11" t="s">
        <v>1070</v>
      </c>
      <c r="J10" s="11">
        <v>2.43324184417724</v>
      </c>
      <c r="K10" s="11">
        <v>-1.17140102386474</v>
      </c>
      <c r="L10" s="11" t="s">
        <v>1061</v>
      </c>
      <c r="M10" s="11" t="s">
        <v>1061</v>
      </c>
      <c r="N10" s="11" t="s">
        <v>1062</v>
      </c>
      <c r="O10" s="11" t="s">
        <v>1070</v>
      </c>
    </row>
    <row r="11">
      <c r="A11" s="11">
        <v>-14.1522426605224</v>
      </c>
      <c r="B11" s="11">
        <v>60.3054389953613</v>
      </c>
      <c r="C11" s="11" t="s">
        <v>1061</v>
      </c>
      <c r="D11" s="11" t="s">
        <v>1061</v>
      </c>
      <c r="E11" s="11" t="s">
        <v>1062</v>
      </c>
      <c r="F11" s="11" t="s">
        <v>1071</v>
      </c>
      <c r="J11" s="11">
        <v>29.162841796875</v>
      </c>
      <c r="K11" s="11">
        <v>2.73581027984619</v>
      </c>
      <c r="L11" s="11" t="s">
        <v>1061</v>
      </c>
      <c r="M11" s="11" t="s">
        <v>1061</v>
      </c>
      <c r="N11" s="11" t="s">
        <v>1062</v>
      </c>
      <c r="O11" s="11" t="s">
        <v>1071</v>
      </c>
    </row>
    <row r="12">
      <c r="A12" s="11">
        <v>-4.69170236587524</v>
      </c>
      <c r="B12" s="11">
        <v>60.6937026977539</v>
      </c>
      <c r="C12" s="11" t="s">
        <v>1061</v>
      </c>
      <c r="D12" s="11" t="s">
        <v>1061</v>
      </c>
      <c r="E12" s="11" t="s">
        <v>1062</v>
      </c>
      <c r="F12" s="11" t="s">
        <v>1072</v>
      </c>
      <c r="J12" s="11">
        <v>35.1956596374511</v>
      </c>
      <c r="K12" s="11">
        <v>-6.56939363479614</v>
      </c>
      <c r="L12" s="11" t="s">
        <v>1061</v>
      </c>
      <c r="M12" s="11" t="s">
        <v>1061</v>
      </c>
      <c r="N12" s="11" t="s">
        <v>1062</v>
      </c>
      <c r="O12" s="11" t="s">
        <v>1072</v>
      </c>
    </row>
    <row r="13">
      <c r="A13" s="11">
        <v>-12.5954217910766</v>
      </c>
      <c r="B13" s="11">
        <v>60.723575592041</v>
      </c>
      <c r="C13" s="11" t="s">
        <v>1061</v>
      </c>
      <c r="D13" s="11" t="s">
        <v>1061</v>
      </c>
      <c r="E13" s="11" t="s">
        <v>1062</v>
      </c>
      <c r="F13" s="11" t="s">
        <v>1073</v>
      </c>
      <c r="J13" s="11">
        <v>30.3251705169677</v>
      </c>
      <c r="K13" s="11">
        <v>1.986820936203</v>
      </c>
      <c r="L13" s="11" t="s">
        <v>1061</v>
      </c>
      <c r="M13" s="11" t="s">
        <v>1061</v>
      </c>
      <c r="N13" s="11" t="s">
        <v>1062</v>
      </c>
      <c r="O13" s="11" t="s">
        <v>1073</v>
      </c>
    </row>
    <row r="14">
      <c r="A14" s="11">
        <v>19.4087371826171</v>
      </c>
      <c r="B14" s="11">
        <v>31.1254787445068</v>
      </c>
      <c r="C14" s="11" t="s">
        <v>1061</v>
      </c>
      <c r="D14" s="11" t="s">
        <v>1061</v>
      </c>
      <c r="E14" s="11" t="s">
        <v>1062</v>
      </c>
      <c r="F14" s="11" t="s">
        <v>1074</v>
      </c>
      <c r="J14" s="11">
        <v>-4.46153593063354</v>
      </c>
      <c r="K14" s="11">
        <v>21.2121067047119</v>
      </c>
      <c r="L14" s="11" t="s">
        <v>1061</v>
      </c>
      <c r="M14" s="11" t="s">
        <v>1061</v>
      </c>
      <c r="N14" s="11" t="s">
        <v>1062</v>
      </c>
      <c r="O14" s="11" t="s">
        <v>1074</v>
      </c>
    </row>
    <row r="15">
      <c r="A15" s="11">
        <v>60.287311553955</v>
      </c>
      <c r="B15" s="11">
        <v>9.64107608795166</v>
      </c>
      <c r="C15" s="11" t="s">
        <v>1061</v>
      </c>
      <c r="D15" s="11" t="s">
        <v>1061</v>
      </c>
      <c r="E15" s="11" t="s">
        <v>1062</v>
      </c>
      <c r="F15" s="11" t="s">
        <v>1075</v>
      </c>
      <c r="J15" s="11">
        <v>-30.2278499603271</v>
      </c>
      <c r="K15" s="11">
        <v>27.0435066223144</v>
      </c>
      <c r="L15" s="11" t="s">
        <v>1061</v>
      </c>
      <c r="M15" s="11" t="s">
        <v>1061</v>
      </c>
      <c r="N15" s="11" t="s">
        <v>1062</v>
      </c>
      <c r="O15" s="11" t="s">
        <v>1075</v>
      </c>
    </row>
    <row r="16">
      <c r="A16" s="11">
        <v>4.7489948272705</v>
      </c>
      <c r="B16" s="11">
        <v>28.1775341033935</v>
      </c>
      <c r="C16" s="11" t="s">
        <v>1061</v>
      </c>
      <c r="D16" s="11" t="s">
        <v>1061</v>
      </c>
      <c r="E16" s="11" t="s">
        <v>1062</v>
      </c>
      <c r="F16" s="11" t="s">
        <v>1076</v>
      </c>
      <c r="J16" s="11">
        <v>1.64509224891662</v>
      </c>
      <c r="K16" s="11">
        <v>-1.41453504562377</v>
      </c>
      <c r="L16" s="11" t="s">
        <v>1061</v>
      </c>
      <c r="M16" s="11" t="s">
        <v>1061</v>
      </c>
      <c r="N16" s="11" t="s">
        <v>1062</v>
      </c>
      <c r="O16" s="11" t="s">
        <v>1076</v>
      </c>
    </row>
    <row r="17">
      <c r="A17" s="11">
        <v>27.0148010253906</v>
      </c>
      <c r="B17" s="11">
        <v>-12.075530052185</v>
      </c>
      <c r="C17" s="11" t="s">
        <v>1061</v>
      </c>
      <c r="D17" s="11" t="s">
        <v>1061</v>
      </c>
      <c r="E17" s="11" t="s">
        <v>1062</v>
      </c>
      <c r="F17" s="11" t="s">
        <v>1077</v>
      </c>
      <c r="J17" s="11">
        <v>-18.9967994689941</v>
      </c>
      <c r="K17" s="11">
        <v>23.7056865692138</v>
      </c>
      <c r="L17" s="11" t="s">
        <v>1061</v>
      </c>
      <c r="M17" s="11" t="s">
        <v>1061</v>
      </c>
      <c r="N17" s="11" t="s">
        <v>1062</v>
      </c>
      <c r="O17" s="11" t="s">
        <v>1077</v>
      </c>
    </row>
    <row r="18">
      <c r="A18" s="11">
        <v>38.3379096984863</v>
      </c>
      <c r="B18" s="11">
        <v>24.7251777648925</v>
      </c>
      <c r="C18" s="11" t="s">
        <v>1061</v>
      </c>
      <c r="D18" s="11" t="s">
        <v>1061</v>
      </c>
      <c r="E18" s="11" t="s">
        <v>1062</v>
      </c>
      <c r="F18" s="11" t="s">
        <v>1078</v>
      </c>
      <c r="J18" s="11">
        <v>-27.8407497406005</v>
      </c>
      <c r="K18" s="11">
        <v>10.5178518295288</v>
      </c>
      <c r="L18" s="11" t="s">
        <v>1061</v>
      </c>
      <c r="M18" s="11" t="s">
        <v>1061</v>
      </c>
      <c r="N18" s="11" t="s">
        <v>1062</v>
      </c>
      <c r="O18" s="11" t="s">
        <v>1078</v>
      </c>
    </row>
    <row r="19">
      <c r="A19" s="11">
        <v>-4.59228229522705</v>
      </c>
      <c r="B19" s="11">
        <v>-7.4959750175476</v>
      </c>
      <c r="C19" s="11" t="s">
        <v>1061</v>
      </c>
      <c r="D19" s="11" t="s">
        <v>1061</v>
      </c>
      <c r="E19" s="11" t="s">
        <v>1062</v>
      </c>
      <c r="F19" s="11" t="s">
        <v>1079</v>
      </c>
      <c r="J19" s="11">
        <v>-25.8897304534912</v>
      </c>
      <c r="K19" s="11">
        <v>-4.29007625579834</v>
      </c>
      <c r="L19" s="11" t="s">
        <v>1061</v>
      </c>
      <c r="M19" s="11" t="s">
        <v>1061</v>
      </c>
      <c r="N19" s="11" t="s">
        <v>1062</v>
      </c>
      <c r="O19" s="11" t="s">
        <v>1079</v>
      </c>
    </row>
    <row r="20">
      <c r="A20" s="11">
        <v>-13.895803451538</v>
      </c>
      <c r="B20" s="11">
        <v>30.86789894104</v>
      </c>
      <c r="C20" s="11" t="s">
        <v>1061</v>
      </c>
      <c r="D20" s="11" t="s">
        <v>1061</v>
      </c>
      <c r="E20" s="11" t="s">
        <v>1062</v>
      </c>
      <c r="F20" s="11" t="s">
        <v>1080</v>
      </c>
      <c r="J20" s="11">
        <v>9.4834337234497</v>
      </c>
      <c r="K20" s="11">
        <v>8.26137638092041</v>
      </c>
      <c r="L20" s="11" t="s">
        <v>1061</v>
      </c>
      <c r="M20" s="11" t="s">
        <v>1061</v>
      </c>
      <c r="N20" s="11" t="s">
        <v>1062</v>
      </c>
      <c r="O20" s="11" t="s">
        <v>1080</v>
      </c>
    </row>
    <row r="21">
      <c r="A21" s="11">
        <v>-21.0740280151367</v>
      </c>
      <c r="B21" s="11">
        <v>54.940013885498</v>
      </c>
      <c r="C21" s="11" t="s">
        <v>1061</v>
      </c>
      <c r="D21" s="11" t="s">
        <v>1061</v>
      </c>
      <c r="E21" s="11" t="s">
        <v>1062</v>
      </c>
      <c r="F21" s="11" t="s">
        <v>1081</v>
      </c>
      <c r="J21" s="11">
        <v>47.9223594665527</v>
      </c>
      <c r="K21" s="11">
        <v>-14.7008867263793</v>
      </c>
      <c r="L21" s="11" t="s">
        <v>1061</v>
      </c>
      <c r="M21" s="11" t="s">
        <v>1061</v>
      </c>
      <c r="N21" s="11" t="s">
        <v>1062</v>
      </c>
      <c r="O21" s="11" t="s">
        <v>1081</v>
      </c>
    </row>
    <row r="22">
      <c r="A22" s="11">
        <v>-9.09084606170654</v>
      </c>
      <c r="B22" s="11">
        <v>19.0322074890136</v>
      </c>
      <c r="C22" s="11" t="s">
        <v>1061</v>
      </c>
      <c r="D22" s="11" t="s">
        <v>1061</v>
      </c>
      <c r="E22" s="11" t="s">
        <v>1062</v>
      </c>
      <c r="F22" s="11" t="s">
        <v>1082</v>
      </c>
      <c r="J22" s="11">
        <v>-2.97190189361572</v>
      </c>
      <c r="K22" s="11">
        <v>-10.3550748825073</v>
      </c>
      <c r="L22" s="11" t="s">
        <v>1061</v>
      </c>
      <c r="M22" s="11" t="s">
        <v>1061</v>
      </c>
      <c r="N22" s="11" t="s">
        <v>1062</v>
      </c>
      <c r="O22" s="11" t="s">
        <v>1082</v>
      </c>
    </row>
    <row r="23">
      <c r="A23" s="11">
        <v>-1.29511451721191</v>
      </c>
      <c r="B23" s="11">
        <v>21.6296825408935</v>
      </c>
      <c r="C23" s="11" t="s">
        <v>1061</v>
      </c>
      <c r="D23" s="11" t="s">
        <v>1061</v>
      </c>
      <c r="E23" s="11" t="s">
        <v>1062</v>
      </c>
      <c r="F23" s="11" t="s">
        <v>1083</v>
      </c>
      <c r="J23" s="11">
        <v>54.1494636535644</v>
      </c>
      <c r="K23" s="11">
        <v>-22.7181415557861</v>
      </c>
      <c r="L23" s="11" t="s">
        <v>1061</v>
      </c>
      <c r="M23" s="11" t="s">
        <v>1061</v>
      </c>
      <c r="N23" s="11" t="s">
        <v>1062</v>
      </c>
      <c r="O23" s="11" t="s">
        <v>1083</v>
      </c>
    </row>
    <row r="24">
      <c r="A24" s="11">
        <v>84.7578048706054</v>
      </c>
      <c r="B24" s="11">
        <v>-15.0781984329223</v>
      </c>
      <c r="C24" s="11" t="s">
        <v>1061</v>
      </c>
      <c r="D24" s="11" t="s">
        <v>1061</v>
      </c>
      <c r="E24" s="11" t="s">
        <v>1062</v>
      </c>
      <c r="F24" s="11" t="s">
        <v>1084</v>
      </c>
      <c r="J24" s="11">
        <v>-36.5241165161132</v>
      </c>
      <c r="K24" s="11">
        <v>32.518741607666</v>
      </c>
      <c r="L24" s="11" t="s">
        <v>1061</v>
      </c>
      <c r="M24" s="11" t="s">
        <v>1061</v>
      </c>
      <c r="N24" s="11" t="s">
        <v>1062</v>
      </c>
      <c r="O24" s="11" t="s">
        <v>1084</v>
      </c>
    </row>
    <row r="25">
      <c r="A25" s="11">
        <v>6.08111810684204</v>
      </c>
      <c r="B25" s="11">
        <v>4.54249954223632</v>
      </c>
      <c r="C25" s="11" t="s">
        <v>1061</v>
      </c>
      <c r="D25" s="11" t="s">
        <v>1061</v>
      </c>
      <c r="E25" s="11" t="s">
        <v>1062</v>
      </c>
      <c r="F25" s="11" t="s">
        <v>1085</v>
      </c>
      <c r="J25" s="11">
        <v>-2.684734582901</v>
      </c>
      <c r="K25" s="11">
        <v>-1.68363010883331</v>
      </c>
      <c r="L25" s="11" t="s">
        <v>1061</v>
      </c>
      <c r="M25" s="11" t="s">
        <v>1061</v>
      </c>
      <c r="N25" s="11" t="s">
        <v>1062</v>
      </c>
      <c r="O25" s="11" t="s">
        <v>1085</v>
      </c>
    </row>
    <row r="26">
      <c r="A26" s="11">
        <v>-22.6860446929931</v>
      </c>
      <c r="B26" s="11">
        <v>69.2089614868164</v>
      </c>
      <c r="C26" s="11" t="s">
        <v>1061</v>
      </c>
      <c r="D26" s="11" t="s">
        <v>1061</v>
      </c>
      <c r="E26" s="11" t="s">
        <v>1062</v>
      </c>
      <c r="F26" s="11" t="s">
        <v>1086</v>
      </c>
      <c r="J26" s="11">
        <v>27.4557590484619</v>
      </c>
      <c r="K26" s="11">
        <v>-4.31344652175903</v>
      </c>
      <c r="L26" s="11" t="s">
        <v>1061</v>
      </c>
      <c r="M26" s="11" t="s">
        <v>1061</v>
      </c>
      <c r="N26" s="11" t="s">
        <v>1062</v>
      </c>
      <c r="O26" s="11" t="s">
        <v>1086</v>
      </c>
    </row>
    <row r="27">
      <c r="A27" s="11">
        <v>6.50037670135498</v>
      </c>
      <c r="B27" s="11">
        <v>9.43947792053222</v>
      </c>
      <c r="C27" s="11" t="s">
        <v>1061</v>
      </c>
      <c r="D27" s="11" t="s">
        <v>1061</v>
      </c>
      <c r="E27" s="11" t="s">
        <v>1062</v>
      </c>
      <c r="F27" s="11" t="s">
        <v>1087</v>
      </c>
      <c r="J27" s="11">
        <v>-29.2674484252929</v>
      </c>
      <c r="K27" s="11">
        <v>-13.3124151229858</v>
      </c>
      <c r="L27" s="11" t="s">
        <v>1061</v>
      </c>
      <c r="M27" s="11" t="s">
        <v>1061</v>
      </c>
      <c r="N27" s="11" t="s">
        <v>1062</v>
      </c>
      <c r="O27" s="11" t="s">
        <v>1087</v>
      </c>
    </row>
    <row r="28">
      <c r="A28" s="11">
        <v>38.996280670166</v>
      </c>
      <c r="B28" s="11">
        <v>12.27561378479</v>
      </c>
      <c r="C28" s="11" t="s">
        <v>1061</v>
      </c>
      <c r="D28" s="11" t="s">
        <v>1061</v>
      </c>
      <c r="E28" s="11" t="s">
        <v>1062</v>
      </c>
      <c r="F28" s="11" t="s">
        <v>1088</v>
      </c>
      <c r="J28" s="11">
        <v>-24.8423404693603</v>
      </c>
      <c r="K28" s="11">
        <v>11.3425006866455</v>
      </c>
      <c r="L28" s="11" t="s">
        <v>1061</v>
      </c>
      <c r="M28" s="11" t="s">
        <v>1061</v>
      </c>
      <c r="N28" s="11" t="s">
        <v>1062</v>
      </c>
      <c r="O28" s="11" t="s">
        <v>1088</v>
      </c>
    </row>
    <row r="29">
      <c r="A29" s="11">
        <v>-1.06447303295135</v>
      </c>
      <c r="B29" s="11">
        <v>8.42376613616943</v>
      </c>
      <c r="C29" s="11" t="s">
        <v>1061</v>
      </c>
      <c r="D29" s="11" t="s">
        <v>1061</v>
      </c>
      <c r="E29" s="11" t="s">
        <v>1062</v>
      </c>
      <c r="F29" s="11" t="s">
        <v>1089</v>
      </c>
      <c r="J29" s="11">
        <v>-10.2508535385131</v>
      </c>
      <c r="K29" s="11">
        <v>22.1313114166259</v>
      </c>
      <c r="L29" s="11" t="s">
        <v>1061</v>
      </c>
      <c r="M29" s="11" t="s">
        <v>1061</v>
      </c>
      <c r="N29" s="11" t="s">
        <v>1062</v>
      </c>
      <c r="O29" s="11" t="s">
        <v>1089</v>
      </c>
    </row>
    <row r="30">
      <c r="A30" s="11">
        <v>-38.8332328796386</v>
      </c>
      <c r="B30" s="11">
        <v>-26.8375968933105</v>
      </c>
      <c r="C30" s="11" t="s">
        <v>1061</v>
      </c>
      <c r="D30" s="11" t="s">
        <v>1061</v>
      </c>
      <c r="E30" s="11" t="s">
        <v>1062</v>
      </c>
      <c r="F30" s="11" t="s">
        <v>1090</v>
      </c>
      <c r="J30" s="11">
        <v>4.28711366653442</v>
      </c>
      <c r="K30" s="11">
        <v>7.6927752494812</v>
      </c>
      <c r="L30" s="11" t="s">
        <v>1061</v>
      </c>
      <c r="M30" s="11" t="s">
        <v>1061</v>
      </c>
      <c r="N30" s="11" t="s">
        <v>1062</v>
      </c>
      <c r="O30" s="11" t="s">
        <v>1090</v>
      </c>
    </row>
    <row r="31">
      <c r="A31" s="11">
        <v>-8.93891429901123</v>
      </c>
      <c r="B31" s="11">
        <v>45.0326881408691</v>
      </c>
      <c r="C31" s="11" t="s">
        <v>1061</v>
      </c>
      <c r="D31" s="11" t="s">
        <v>1061</v>
      </c>
      <c r="E31" s="11" t="s">
        <v>1062</v>
      </c>
      <c r="F31" s="11" t="s">
        <v>1091</v>
      </c>
      <c r="J31" s="11">
        <v>51.0322113037109</v>
      </c>
      <c r="K31" s="11">
        <v>-5.33013868331909</v>
      </c>
      <c r="L31" s="11" t="s">
        <v>1061</v>
      </c>
      <c r="M31" s="11" t="s">
        <v>1061</v>
      </c>
      <c r="N31" s="11" t="s">
        <v>1062</v>
      </c>
      <c r="O31" s="11" t="s">
        <v>1091</v>
      </c>
    </row>
    <row r="32">
      <c r="A32" s="11">
        <v>43.0101280212402</v>
      </c>
      <c r="B32" s="11">
        <v>11.1599807739257</v>
      </c>
      <c r="C32" s="11" t="s">
        <v>1061</v>
      </c>
      <c r="D32" s="11" t="s">
        <v>1061</v>
      </c>
      <c r="E32" s="11" t="s">
        <v>1062</v>
      </c>
      <c r="F32" s="11" t="s">
        <v>1092</v>
      </c>
      <c r="J32" s="11">
        <v>-21.0592460632324</v>
      </c>
      <c r="K32" s="11">
        <v>2.23439908027648</v>
      </c>
      <c r="L32" s="11" t="s">
        <v>1061</v>
      </c>
      <c r="M32" s="11" t="s">
        <v>1061</v>
      </c>
      <c r="N32" s="11" t="s">
        <v>1062</v>
      </c>
      <c r="O32" s="11" t="s">
        <v>1092</v>
      </c>
    </row>
    <row r="33">
      <c r="A33" s="11">
        <v>17.0465755462646</v>
      </c>
      <c r="B33" s="11">
        <v>26.7569160461425</v>
      </c>
      <c r="C33" s="11" t="s">
        <v>1061</v>
      </c>
      <c r="D33" s="11" t="s">
        <v>1061</v>
      </c>
      <c r="E33" s="11" t="s">
        <v>1062</v>
      </c>
      <c r="F33" s="11" t="s">
        <v>1093</v>
      </c>
      <c r="J33" s="11">
        <v>-23.9320602416992</v>
      </c>
      <c r="K33" s="11">
        <v>21.3269882202148</v>
      </c>
      <c r="L33" s="11" t="s">
        <v>1061</v>
      </c>
      <c r="M33" s="11" t="s">
        <v>1061</v>
      </c>
      <c r="N33" s="11" t="s">
        <v>1062</v>
      </c>
      <c r="O33" s="11" t="s">
        <v>1093</v>
      </c>
    </row>
    <row r="34">
      <c r="A34" s="11">
        <v>81.9988708496093</v>
      </c>
      <c r="B34" s="11">
        <v>-15.3632507324218</v>
      </c>
      <c r="C34" s="11" t="s">
        <v>1061</v>
      </c>
      <c r="D34" s="11" t="s">
        <v>1061</v>
      </c>
      <c r="E34" s="11" t="s">
        <v>1062</v>
      </c>
      <c r="F34" s="11" t="s">
        <v>1094</v>
      </c>
      <c r="J34" s="11">
        <v>-36.1028175354003</v>
      </c>
      <c r="K34" s="11">
        <v>30.863540649414</v>
      </c>
      <c r="L34" s="11" t="s">
        <v>1061</v>
      </c>
      <c r="M34" s="11" t="s">
        <v>1061</v>
      </c>
      <c r="N34" s="11" t="s">
        <v>1062</v>
      </c>
      <c r="O34" s="11" t="s">
        <v>1094</v>
      </c>
    </row>
    <row r="35">
      <c r="A35" s="11">
        <v>-13.3518476486206</v>
      </c>
      <c r="B35" s="11">
        <v>59.6298751831054</v>
      </c>
      <c r="C35" s="11" t="s">
        <v>1061</v>
      </c>
      <c r="D35" s="11" t="s">
        <v>1061</v>
      </c>
      <c r="E35" s="11" t="s">
        <v>1062</v>
      </c>
      <c r="F35" s="11" t="s">
        <v>1095</v>
      </c>
      <c r="J35" s="11">
        <v>29.4241123199462</v>
      </c>
      <c r="K35" s="11">
        <v>3.23372197151184</v>
      </c>
      <c r="L35" s="11" t="s">
        <v>1061</v>
      </c>
      <c r="M35" s="11" t="s">
        <v>1061</v>
      </c>
      <c r="N35" s="11" t="s">
        <v>1062</v>
      </c>
      <c r="O35" s="11" t="s">
        <v>1095</v>
      </c>
    </row>
    <row r="36">
      <c r="A36" s="11">
        <v>2.70400142669677</v>
      </c>
      <c r="B36" s="11">
        <v>19.5137882232666</v>
      </c>
      <c r="C36" s="11" t="s">
        <v>1061</v>
      </c>
      <c r="D36" s="11" t="s">
        <v>1061</v>
      </c>
      <c r="E36" s="11" t="s">
        <v>1062</v>
      </c>
      <c r="F36" s="11" t="s">
        <v>1096</v>
      </c>
      <c r="J36" s="11">
        <v>-13.3399648666381</v>
      </c>
      <c r="K36" s="11">
        <v>39.0293273925781</v>
      </c>
      <c r="L36" s="11" t="s">
        <v>1061</v>
      </c>
      <c r="M36" s="11" t="s">
        <v>1061</v>
      </c>
      <c r="N36" s="11" t="s">
        <v>1062</v>
      </c>
      <c r="O36" s="11" t="s">
        <v>1096</v>
      </c>
    </row>
    <row r="37">
      <c r="A37" s="11">
        <v>2.70400142669677</v>
      </c>
      <c r="B37" s="11">
        <v>19.5137882232666</v>
      </c>
      <c r="C37" s="11" t="s">
        <v>1061</v>
      </c>
      <c r="D37" s="11" t="s">
        <v>1061</v>
      </c>
      <c r="E37" s="11" t="s">
        <v>1062</v>
      </c>
      <c r="F37" s="11" t="s">
        <v>1097</v>
      </c>
      <c r="J37" s="11">
        <v>-13.3399648666381</v>
      </c>
      <c r="K37" s="11">
        <v>39.0293273925781</v>
      </c>
      <c r="L37" s="11" t="s">
        <v>1061</v>
      </c>
      <c r="M37" s="11" t="s">
        <v>1061</v>
      </c>
      <c r="N37" s="11" t="s">
        <v>1062</v>
      </c>
      <c r="O37" s="11" t="s">
        <v>1097</v>
      </c>
    </row>
    <row r="38">
      <c r="A38" s="11">
        <v>85.7192840576171</v>
      </c>
      <c r="B38" s="11">
        <v>-15.5844049453735</v>
      </c>
      <c r="C38" s="11" t="s">
        <v>1061</v>
      </c>
      <c r="D38" s="11" t="s">
        <v>1061</v>
      </c>
      <c r="E38" s="11" t="s">
        <v>1062</v>
      </c>
      <c r="F38" s="11" t="s">
        <v>1098</v>
      </c>
      <c r="J38" s="11">
        <v>-34.8227005004882</v>
      </c>
      <c r="K38" s="11">
        <v>29.6646633148193</v>
      </c>
      <c r="L38" s="11" t="s">
        <v>1061</v>
      </c>
      <c r="M38" s="11" t="s">
        <v>1061</v>
      </c>
      <c r="N38" s="11" t="s">
        <v>1062</v>
      </c>
      <c r="O38" s="11" t="s">
        <v>1098</v>
      </c>
    </row>
    <row r="39">
      <c r="A39" s="11">
        <v>4.33052921295166</v>
      </c>
      <c r="B39" s="11">
        <v>11.7024049758911</v>
      </c>
      <c r="C39" s="11" t="s">
        <v>1061</v>
      </c>
      <c r="D39" s="11" t="s">
        <v>1061</v>
      </c>
      <c r="E39" s="11" t="s">
        <v>1062</v>
      </c>
      <c r="F39" s="11" t="s">
        <v>1099</v>
      </c>
      <c r="J39" s="11">
        <v>-33.7190818786621</v>
      </c>
      <c r="K39" s="11">
        <v>13.5051851272583</v>
      </c>
      <c r="L39" s="11" t="s">
        <v>1061</v>
      </c>
      <c r="M39" s="11" t="s">
        <v>1061</v>
      </c>
      <c r="N39" s="11" t="s">
        <v>1062</v>
      </c>
      <c r="O39" s="11" t="s">
        <v>1099</v>
      </c>
    </row>
    <row r="40">
      <c r="A40" s="11">
        <v>17.2065601348876</v>
      </c>
      <c r="B40" s="11">
        <v>-4.32977581024169</v>
      </c>
      <c r="C40" s="11" t="s">
        <v>1061</v>
      </c>
      <c r="D40" s="11" t="s">
        <v>1061</v>
      </c>
      <c r="E40" s="11" t="s">
        <v>1062</v>
      </c>
      <c r="F40" s="11" t="s">
        <v>1100</v>
      </c>
      <c r="J40" s="11">
        <v>-4.82855510711669</v>
      </c>
      <c r="K40" s="11">
        <v>8.47134685516357</v>
      </c>
      <c r="L40" s="11" t="s">
        <v>1061</v>
      </c>
      <c r="M40" s="11" t="s">
        <v>1061</v>
      </c>
      <c r="N40" s="11" t="s">
        <v>1062</v>
      </c>
      <c r="O40" s="11" t="s">
        <v>1100</v>
      </c>
    </row>
    <row r="41">
      <c r="A41" s="11">
        <v>-38.8340911865234</v>
      </c>
      <c r="B41" s="11">
        <v>-26.8383064270019</v>
      </c>
      <c r="C41" s="11" t="s">
        <v>1061</v>
      </c>
      <c r="D41" s="11" t="s">
        <v>1061</v>
      </c>
      <c r="E41" s="11" t="s">
        <v>1062</v>
      </c>
      <c r="F41" s="11" t="s">
        <v>1101</v>
      </c>
      <c r="J41" s="11">
        <v>4.28587341308593</v>
      </c>
      <c r="K41" s="11">
        <v>7.72044897079467</v>
      </c>
      <c r="L41" s="11" t="s">
        <v>1061</v>
      </c>
      <c r="M41" s="11" t="s">
        <v>1061</v>
      </c>
      <c r="N41" s="11" t="s">
        <v>1062</v>
      </c>
      <c r="O41" s="11" t="s">
        <v>1101</v>
      </c>
    </row>
    <row r="42">
      <c r="A42" s="11">
        <v>-22.6860446929931</v>
      </c>
      <c r="B42" s="11">
        <v>69.2089614868164</v>
      </c>
      <c r="C42" s="11" t="s">
        <v>1061</v>
      </c>
      <c r="D42" s="11" t="s">
        <v>1061</v>
      </c>
      <c r="E42" s="11" t="s">
        <v>1062</v>
      </c>
      <c r="F42" s="11" t="s">
        <v>1102</v>
      </c>
      <c r="J42" s="11">
        <v>26.7923412322998</v>
      </c>
      <c r="K42" s="11">
        <v>-5.12550830841064</v>
      </c>
      <c r="L42" s="11" t="s">
        <v>1061</v>
      </c>
      <c r="M42" s="11" t="s">
        <v>1061</v>
      </c>
      <c r="N42" s="11" t="s">
        <v>1062</v>
      </c>
      <c r="O42" s="11" t="s">
        <v>1102</v>
      </c>
    </row>
    <row r="43">
      <c r="A43" s="11">
        <v>-14.9233503341674</v>
      </c>
      <c r="B43" s="11">
        <v>50.9048805236816</v>
      </c>
      <c r="C43" s="11" t="s">
        <v>1061</v>
      </c>
      <c r="D43" s="11" t="s">
        <v>1061</v>
      </c>
      <c r="E43" s="11" t="s">
        <v>1062</v>
      </c>
      <c r="F43" s="11" t="s">
        <v>1103</v>
      </c>
      <c r="J43" s="11">
        <v>38.3876953125</v>
      </c>
      <c r="K43" s="11">
        <v>-14.0754213333129</v>
      </c>
      <c r="L43" s="11" t="s">
        <v>1061</v>
      </c>
      <c r="M43" s="11" t="s">
        <v>1061</v>
      </c>
      <c r="N43" s="11" t="s">
        <v>1062</v>
      </c>
      <c r="O43" s="11" t="s">
        <v>1103</v>
      </c>
    </row>
    <row r="44">
      <c r="A44" s="11">
        <v>-7.62004566192626</v>
      </c>
      <c r="B44" s="11">
        <v>43.740249633789</v>
      </c>
      <c r="C44" s="11" t="s">
        <v>1061</v>
      </c>
      <c r="D44" s="11" t="s">
        <v>1061</v>
      </c>
      <c r="E44" s="11" t="s">
        <v>1062</v>
      </c>
      <c r="F44" s="11" t="s">
        <v>1104</v>
      </c>
      <c r="J44" s="11">
        <v>50.8110466003418</v>
      </c>
      <c r="K44" s="11">
        <v>-3.32244086265563</v>
      </c>
      <c r="L44" s="11" t="s">
        <v>1061</v>
      </c>
      <c r="M44" s="11" t="s">
        <v>1061</v>
      </c>
      <c r="N44" s="11" t="s">
        <v>1062</v>
      </c>
      <c r="O44" s="11" t="s">
        <v>1104</v>
      </c>
    </row>
    <row r="45">
      <c r="A45" s="11">
        <v>-5.42934083938598</v>
      </c>
      <c r="B45" s="11">
        <v>-7.83922004699707</v>
      </c>
      <c r="C45" s="11" t="s">
        <v>1061</v>
      </c>
      <c r="D45" s="11" t="s">
        <v>1061</v>
      </c>
      <c r="E45" s="11" t="s">
        <v>1062</v>
      </c>
      <c r="F45" s="11" t="s">
        <v>1105</v>
      </c>
      <c r="J45" s="11">
        <v>-25.3927326202392</v>
      </c>
      <c r="K45" s="11">
        <v>-4.58884477615356</v>
      </c>
      <c r="L45" s="11" t="s">
        <v>1061</v>
      </c>
      <c r="M45" s="11" t="s">
        <v>1061</v>
      </c>
      <c r="N45" s="11" t="s">
        <v>1062</v>
      </c>
      <c r="O45" s="11" t="s">
        <v>1105</v>
      </c>
    </row>
    <row r="46">
      <c r="A46" s="11">
        <v>12.283387184143</v>
      </c>
      <c r="B46" s="11">
        <v>4.85463809967041</v>
      </c>
      <c r="C46" s="11" t="s">
        <v>1061</v>
      </c>
      <c r="D46" s="11" t="s">
        <v>1061</v>
      </c>
      <c r="E46" s="11" t="s">
        <v>1062</v>
      </c>
      <c r="F46" s="11" t="s">
        <v>1106</v>
      </c>
      <c r="J46" s="11">
        <v>-29.4908561706542</v>
      </c>
      <c r="K46" s="11">
        <v>16.7326049804687</v>
      </c>
      <c r="L46" s="11" t="s">
        <v>1061</v>
      </c>
      <c r="M46" s="11" t="s">
        <v>1061</v>
      </c>
      <c r="N46" s="11" t="s">
        <v>1062</v>
      </c>
      <c r="O46" s="11" t="s">
        <v>1106</v>
      </c>
    </row>
    <row r="47">
      <c r="A47" s="11">
        <v>-21.2721633911132</v>
      </c>
      <c r="B47" s="11">
        <v>56.0002250671386</v>
      </c>
      <c r="C47" s="11" t="s">
        <v>1061</v>
      </c>
      <c r="D47" s="11" t="s">
        <v>1061</v>
      </c>
      <c r="E47" s="11" t="s">
        <v>1062</v>
      </c>
      <c r="F47" s="11" t="s">
        <v>1107</v>
      </c>
      <c r="J47" s="11">
        <v>48.1256980895996</v>
      </c>
      <c r="K47" s="11">
        <v>-15.4191408157348</v>
      </c>
      <c r="L47" s="11" t="s">
        <v>1061</v>
      </c>
      <c r="M47" s="11" t="s">
        <v>1061</v>
      </c>
      <c r="N47" s="11" t="s">
        <v>1062</v>
      </c>
      <c r="O47" s="11" t="s">
        <v>1107</v>
      </c>
    </row>
    <row r="48">
      <c r="A48" s="11">
        <v>29.6374855041503</v>
      </c>
      <c r="B48" s="11">
        <v>52.5805397033691</v>
      </c>
      <c r="C48" s="11" t="s">
        <v>1061</v>
      </c>
      <c r="D48" s="11" t="s">
        <v>1061</v>
      </c>
      <c r="E48" s="11" t="s">
        <v>1062</v>
      </c>
      <c r="F48" s="11" t="s">
        <v>1108</v>
      </c>
      <c r="J48" s="11">
        <v>-20.0636024475097</v>
      </c>
      <c r="K48" s="11">
        <v>26.2931365966796</v>
      </c>
      <c r="L48" s="11" t="s">
        <v>1061</v>
      </c>
      <c r="M48" s="11" t="s">
        <v>1061</v>
      </c>
      <c r="N48" s="11" t="s">
        <v>1062</v>
      </c>
      <c r="O48" s="11" t="s">
        <v>1108</v>
      </c>
    </row>
    <row r="49">
      <c r="A49" s="11">
        <v>-8.57390403747558</v>
      </c>
      <c r="B49" s="11">
        <v>18.8015632629394</v>
      </c>
      <c r="C49" s="11" t="s">
        <v>1061</v>
      </c>
      <c r="D49" s="11" t="s">
        <v>1061</v>
      </c>
      <c r="E49" s="11" t="s">
        <v>1062</v>
      </c>
      <c r="F49" s="11" t="s">
        <v>1109</v>
      </c>
      <c r="J49" s="11">
        <v>-3.02661371231079</v>
      </c>
      <c r="K49" s="11">
        <v>-10.0538072586059</v>
      </c>
      <c r="L49" s="11" t="s">
        <v>1061</v>
      </c>
      <c r="M49" s="11" t="s">
        <v>1061</v>
      </c>
      <c r="N49" s="11" t="s">
        <v>1062</v>
      </c>
      <c r="O49" s="11" t="s">
        <v>1109</v>
      </c>
    </row>
    <row r="50">
      <c r="A50" s="11">
        <v>12.5550994873046</v>
      </c>
      <c r="B50" s="11">
        <v>-1.18683016300201</v>
      </c>
      <c r="C50" s="11" t="s">
        <v>1061</v>
      </c>
      <c r="D50" s="11" t="s">
        <v>1061</v>
      </c>
      <c r="E50" s="11" t="s">
        <v>1062</v>
      </c>
      <c r="F50" s="11" t="s">
        <v>1110</v>
      </c>
      <c r="J50" s="11">
        <v>-18.7360382080078</v>
      </c>
      <c r="K50" s="11">
        <v>5.72831010818481</v>
      </c>
      <c r="L50" s="11" t="s">
        <v>1061</v>
      </c>
      <c r="M50" s="11" t="s">
        <v>1061</v>
      </c>
      <c r="N50" s="11" t="s">
        <v>1062</v>
      </c>
      <c r="O50" s="11" t="s">
        <v>1110</v>
      </c>
    </row>
    <row r="51">
      <c r="A51" s="11">
        <v>73.548843383789</v>
      </c>
      <c r="B51" s="11">
        <v>-14.3786163330078</v>
      </c>
      <c r="C51" s="11" t="s">
        <v>1061</v>
      </c>
      <c r="D51" s="11" t="s">
        <v>1061</v>
      </c>
      <c r="E51" s="11" t="s">
        <v>1062</v>
      </c>
      <c r="F51" s="11" t="s">
        <v>1111</v>
      </c>
      <c r="J51" s="11">
        <v>-26.8389453887939</v>
      </c>
      <c r="K51" s="11">
        <v>33.4357147216796</v>
      </c>
      <c r="L51" s="11" t="s">
        <v>1061</v>
      </c>
      <c r="M51" s="11" t="s">
        <v>1061</v>
      </c>
      <c r="N51" s="11" t="s">
        <v>1062</v>
      </c>
      <c r="O51" s="11" t="s">
        <v>1111</v>
      </c>
    </row>
    <row r="52">
      <c r="A52" s="11">
        <v>73.548843383789</v>
      </c>
      <c r="B52" s="11">
        <v>-14.3786163330078</v>
      </c>
      <c r="C52" s="11" t="s">
        <v>1061</v>
      </c>
      <c r="D52" s="11" t="s">
        <v>1061</v>
      </c>
      <c r="E52" s="11" t="s">
        <v>1062</v>
      </c>
      <c r="F52" s="11" t="s">
        <v>1112</v>
      </c>
      <c r="J52" s="11">
        <v>-26.8389453887939</v>
      </c>
      <c r="K52" s="11">
        <v>33.4357147216796</v>
      </c>
      <c r="L52" s="11" t="s">
        <v>1061</v>
      </c>
      <c r="M52" s="11" t="s">
        <v>1061</v>
      </c>
      <c r="N52" s="11" t="s">
        <v>1062</v>
      </c>
      <c r="O52" s="11" t="s">
        <v>1112</v>
      </c>
    </row>
    <row r="53">
      <c r="A53" s="11">
        <v>3.86438274383544</v>
      </c>
      <c r="B53" s="11">
        <v>23.0400371551513</v>
      </c>
      <c r="C53" s="11" t="s">
        <v>1061</v>
      </c>
      <c r="D53" s="11" t="s">
        <v>1061</v>
      </c>
      <c r="E53" s="11" t="s">
        <v>1062</v>
      </c>
      <c r="F53" s="11" t="s">
        <v>1113</v>
      </c>
      <c r="J53" s="11">
        <v>-5.09200382232666</v>
      </c>
      <c r="K53" s="11">
        <v>3.15995049476623</v>
      </c>
      <c r="L53" s="11" t="s">
        <v>1061</v>
      </c>
      <c r="M53" s="11" t="s">
        <v>1061</v>
      </c>
      <c r="N53" s="11" t="s">
        <v>1062</v>
      </c>
      <c r="O53" s="11" t="s">
        <v>1113</v>
      </c>
    </row>
    <row r="54">
      <c r="A54" s="11">
        <v>-3.22634673118591</v>
      </c>
      <c r="B54" s="11">
        <v>16.2375240325927</v>
      </c>
      <c r="C54" s="11" t="s">
        <v>1061</v>
      </c>
      <c r="D54" s="11" t="s">
        <v>1061</v>
      </c>
      <c r="E54" s="11" t="s">
        <v>1062</v>
      </c>
      <c r="F54" s="11" t="s">
        <v>1114</v>
      </c>
      <c r="J54" s="11">
        <v>35.8049697875976</v>
      </c>
      <c r="K54" s="11">
        <v>10.8670635223388</v>
      </c>
      <c r="L54" s="11" t="s">
        <v>1061</v>
      </c>
      <c r="M54" s="11" t="s">
        <v>1061</v>
      </c>
      <c r="N54" s="11" t="s">
        <v>1062</v>
      </c>
      <c r="O54" s="11" t="s">
        <v>1114</v>
      </c>
    </row>
    <row r="55">
      <c r="A55" s="11">
        <v>27.0148010253906</v>
      </c>
      <c r="B55" s="11">
        <v>-12.075530052185</v>
      </c>
      <c r="C55" s="11" t="s">
        <v>1061</v>
      </c>
      <c r="D55" s="11" t="s">
        <v>1061</v>
      </c>
      <c r="E55" s="11" t="s">
        <v>1062</v>
      </c>
      <c r="F55" s="11" t="s">
        <v>1115</v>
      </c>
      <c r="J55" s="11">
        <v>-18.9967994689941</v>
      </c>
      <c r="K55" s="11">
        <v>23.7056865692138</v>
      </c>
      <c r="L55" s="11" t="s">
        <v>1061</v>
      </c>
      <c r="M55" s="11" t="s">
        <v>1061</v>
      </c>
      <c r="N55" s="11" t="s">
        <v>1062</v>
      </c>
      <c r="O55" s="11" t="s">
        <v>1115</v>
      </c>
    </row>
    <row r="56">
      <c r="A56" s="11">
        <v>40.5452613830566</v>
      </c>
      <c r="B56" s="11">
        <v>44.1335144042968</v>
      </c>
      <c r="C56" s="11" t="s">
        <v>1061</v>
      </c>
      <c r="D56" s="11" t="s">
        <v>1061</v>
      </c>
      <c r="E56" s="11" t="s">
        <v>1062</v>
      </c>
      <c r="F56" s="11" t="s">
        <v>1116</v>
      </c>
      <c r="J56" s="11">
        <v>-21.6973152160644</v>
      </c>
      <c r="K56" s="11">
        <v>17.4907836914062</v>
      </c>
      <c r="L56" s="11" t="s">
        <v>1061</v>
      </c>
      <c r="M56" s="11" t="s">
        <v>1061</v>
      </c>
      <c r="N56" s="11" t="s">
        <v>1062</v>
      </c>
      <c r="O56" s="11" t="s">
        <v>1116</v>
      </c>
    </row>
    <row r="57">
      <c r="A57" s="11">
        <v>-7.48039579391479</v>
      </c>
      <c r="B57" s="11">
        <v>42.8325119018554</v>
      </c>
      <c r="C57" s="11" t="s">
        <v>1061</v>
      </c>
      <c r="D57" s="11" t="s">
        <v>1061</v>
      </c>
      <c r="E57" s="11" t="s">
        <v>1062</v>
      </c>
      <c r="F57" s="11" t="s">
        <v>1117</v>
      </c>
      <c r="J57" s="11">
        <v>49.9090538024902</v>
      </c>
      <c r="K57" s="11">
        <v>-3.99709057807922</v>
      </c>
      <c r="L57" s="11" t="s">
        <v>1061</v>
      </c>
      <c r="M57" s="11" t="s">
        <v>1061</v>
      </c>
      <c r="N57" s="11" t="s">
        <v>1062</v>
      </c>
      <c r="O57" s="11" t="s">
        <v>1117</v>
      </c>
    </row>
    <row r="58">
      <c r="A58" s="11">
        <v>-13.895803451538</v>
      </c>
      <c r="B58" s="11">
        <v>30.86789894104</v>
      </c>
      <c r="C58" s="11" t="s">
        <v>1061</v>
      </c>
      <c r="D58" s="11" t="s">
        <v>1061</v>
      </c>
      <c r="E58" s="11" t="s">
        <v>1062</v>
      </c>
      <c r="F58" s="11" t="s">
        <v>1118</v>
      </c>
      <c r="J58" s="11">
        <v>9.7831974029541</v>
      </c>
      <c r="K58" s="11">
        <v>7.99128484725952</v>
      </c>
      <c r="L58" s="11" t="s">
        <v>1061</v>
      </c>
      <c r="M58" s="11" t="s">
        <v>1061</v>
      </c>
      <c r="N58" s="11" t="s">
        <v>1062</v>
      </c>
      <c r="O58" s="11" t="s">
        <v>1118</v>
      </c>
    </row>
    <row r="59">
      <c r="A59" s="11">
        <v>45.0314979553222</v>
      </c>
      <c r="B59" s="11">
        <v>23.0391578674316</v>
      </c>
      <c r="C59" s="11" t="s">
        <v>1061</v>
      </c>
      <c r="D59" s="11" t="s">
        <v>1061</v>
      </c>
      <c r="E59" s="11" t="s">
        <v>1062</v>
      </c>
      <c r="F59" s="11" t="s">
        <v>1119</v>
      </c>
      <c r="J59" s="11">
        <v>-32.2712326049804</v>
      </c>
      <c r="K59" s="11">
        <v>21.7719058990478</v>
      </c>
      <c r="L59" s="11" t="s">
        <v>1061</v>
      </c>
      <c r="M59" s="11" t="s">
        <v>1061</v>
      </c>
      <c r="N59" s="11" t="s">
        <v>1062</v>
      </c>
      <c r="O59" s="11" t="s">
        <v>1119</v>
      </c>
    </row>
    <row r="60">
      <c r="A60" s="11">
        <v>-3.97585225105285</v>
      </c>
      <c r="B60" s="11">
        <v>38.6952323913574</v>
      </c>
      <c r="C60" s="11" t="s">
        <v>1061</v>
      </c>
      <c r="D60" s="11" t="s">
        <v>1061</v>
      </c>
      <c r="E60" s="11" t="s">
        <v>1062</v>
      </c>
      <c r="F60" s="11" t="s">
        <v>1120</v>
      </c>
      <c r="J60" s="11">
        <v>-7.45215272903442</v>
      </c>
      <c r="K60" s="11">
        <v>11.2420711517333</v>
      </c>
      <c r="L60" s="11" t="s">
        <v>1061</v>
      </c>
      <c r="M60" s="11" t="s">
        <v>1061</v>
      </c>
      <c r="N60" s="11" t="s">
        <v>1062</v>
      </c>
      <c r="O60" s="11" t="s">
        <v>1120</v>
      </c>
    </row>
    <row r="61">
      <c r="A61" s="11">
        <v>13.0761241912841</v>
      </c>
      <c r="B61" s="11">
        <v>24.3737392425537</v>
      </c>
      <c r="C61" s="11" t="s">
        <v>1061</v>
      </c>
      <c r="D61" s="11" t="s">
        <v>1061</v>
      </c>
      <c r="E61" s="11" t="s">
        <v>1062</v>
      </c>
      <c r="F61" s="11" t="s">
        <v>1121</v>
      </c>
      <c r="J61" s="11">
        <v>11.4158496856689</v>
      </c>
      <c r="K61" s="11">
        <v>4.45296096801757</v>
      </c>
      <c r="L61" s="11" t="s">
        <v>1061</v>
      </c>
      <c r="M61" s="11" t="s">
        <v>1061</v>
      </c>
      <c r="N61" s="11" t="s">
        <v>1062</v>
      </c>
      <c r="O61" s="11" t="s">
        <v>1121</v>
      </c>
    </row>
    <row r="62">
      <c r="A62" s="11">
        <v>5.42901468276977</v>
      </c>
      <c r="B62" s="11">
        <v>12.6990871429443</v>
      </c>
      <c r="C62" s="11" t="s">
        <v>1061</v>
      </c>
      <c r="D62" s="11" t="s">
        <v>1061</v>
      </c>
      <c r="E62" s="11" t="s">
        <v>1062</v>
      </c>
      <c r="F62" s="11" t="s">
        <v>1122</v>
      </c>
      <c r="J62" s="11">
        <v>-34.1976165771484</v>
      </c>
      <c r="K62" s="11">
        <v>14.8763265609741</v>
      </c>
      <c r="L62" s="11" t="s">
        <v>1061</v>
      </c>
      <c r="M62" s="11" t="s">
        <v>1061</v>
      </c>
      <c r="N62" s="11" t="s">
        <v>1062</v>
      </c>
      <c r="O62" s="11" t="s">
        <v>1122</v>
      </c>
    </row>
    <row r="63">
      <c r="A63" s="11">
        <v>17.1208324432373</v>
      </c>
      <c r="B63" s="11">
        <v>41.9509963989257</v>
      </c>
      <c r="C63" s="11" t="s">
        <v>1061</v>
      </c>
      <c r="D63" s="11" t="s">
        <v>1061</v>
      </c>
      <c r="E63" s="11" t="s">
        <v>1062</v>
      </c>
      <c r="F63" s="11" t="s">
        <v>1123</v>
      </c>
      <c r="J63" s="11">
        <v>1.55455541610717</v>
      </c>
      <c r="K63" s="11">
        <v>10.3530120849609</v>
      </c>
      <c r="L63" s="11" t="s">
        <v>1061</v>
      </c>
      <c r="M63" s="11" t="s">
        <v>1061</v>
      </c>
      <c r="N63" s="11" t="s">
        <v>1062</v>
      </c>
      <c r="O63" s="11" t="s">
        <v>1123</v>
      </c>
    </row>
    <row r="64">
      <c r="A64" s="11">
        <v>-3.60011935234069</v>
      </c>
      <c r="B64" s="11">
        <v>59.7443313598632</v>
      </c>
      <c r="C64" s="11" t="s">
        <v>1061</v>
      </c>
      <c r="D64" s="11" t="s">
        <v>1061</v>
      </c>
      <c r="E64" s="11" t="s">
        <v>1062</v>
      </c>
      <c r="F64" s="11" t="s">
        <v>1124</v>
      </c>
      <c r="J64" s="11">
        <v>35.1273460388183</v>
      </c>
      <c r="K64" s="11">
        <v>-7.49990653991699</v>
      </c>
      <c r="L64" s="11" t="s">
        <v>1061</v>
      </c>
      <c r="M64" s="11" t="s">
        <v>1061</v>
      </c>
      <c r="N64" s="11" t="s">
        <v>1062</v>
      </c>
      <c r="O64" s="11" t="s">
        <v>1124</v>
      </c>
    </row>
    <row r="65">
      <c r="A65" s="11">
        <v>-14.9233503341674</v>
      </c>
      <c r="B65" s="11">
        <v>50.9048805236816</v>
      </c>
      <c r="C65" s="11" t="s">
        <v>1061</v>
      </c>
      <c r="D65" s="11" t="s">
        <v>1061</v>
      </c>
      <c r="E65" s="11" t="s">
        <v>1062</v>
      </c>
      <c r="F65" s="11" t="s">
        <v>1125</v>
      </c>
      <c r="J65" s="11">
        <v>38.3876953125</v>
      </c>
      <c r="K65" s="11">
        <v>-14.0754213333129</v>
      </c>
      <c r="L65" s="11" t="s">
        <v>1061</v>
      </c>
      <c r="M65" s="11" t="s">
        <v>1061</v>
      </c>
      <c r="N65" s="11" t="s">
        <v>1062</v>
      </c>
      <c r="O65" s="11" t="s">
        <v>1125</v>
      </c>
    </row>
    <row r="66">
      <c r="A66" s="11">
        <v>17.506851196289</v>
      </c>
      <c r="B66" s="11">
        <v>5.81820964813232</v>
      </c>
      <c r="C66" s="11" t="s">
        <v>1061</v>
      </c>
      <c r="D66" s="11" t="s">
        <v>1061</v>
      </c>
      <c r="E66" s="11" t="s">
        <v>1062</v>
      </c>
      <c r="F66" s="11" t="s">
        <v>1126</v>
      </c>
      <c r="J66" s="11">
        <v>-19.3565788269042</v>
      </c>
      <c r="K66" s="11">
        <v>11.4487867355346</v>
      </c>
      <c r="L66" s="11" t="s">
        <v>1061</v>
      </c>
      <c r="M66" s="11" t="s">
        <v>1061</v>
      </c>
      <c r="N66" s="11" t="s">
        <v>1062</v>
      </c>
      <c r="O66" s="11" t="s">
        <v>1126</v>
      </c>
    </row>
    <row r="67">
      <c r="A67" s="11">
        <v>-12.3627424240112</v>
      </c>
      <c r="B67" s="11">
        <v>59.883316040039</v>
      </c>
      <c r="C67" s="11" t="s">
        <v>1061</v>
      </c>
      <c r="D67" s="11" t="s">
        <v>1061</v>
      </c>
      <c r="E67" s="11" t="s">
        <v>1062</v>
      </c>
      <c r="F67" s="11" t="s">
        <v>1127</v>
      </c>
      <c r="J67" s="11">
        <v>30.518232345581</v>
      </c>
      <c r="K67" s="11">
        <v>2.16475796699523</v>
      </c>
      <c r="L67" s="11" t="s">
        <v>1061</v>
      </c>
      <c r="M67" s="11" t="s">
        <v>1061</v>
      </c>
      <c r="N67" s="11" t="s">
        <v>1062</v>
      </c>
      <c r="O67" s="11" t="s">
        <v>1127</v>
      </c>
    </row>
    <row r="68">
      <c r="A68" s="11">
        <v>-2.09271597862243</v>
      </c>
      <c r="B68" s="11">
        <v>-3.10870122909545</v>
      </c>
      <c r="C68" s="11" t="s">
        <v>1061</v>
      </c>
      <c r="D68" s="11" t="s">
        <v>1061</v>
      </c>
      <c r="E68" s="11" t="s">
        <v>1062</v>
      </c>
      <c r="F68" s="11" t="s">
        <v>1128</v>
      </c>
      <c r="J68" s="11">
        <v>-21.2921466827392</v>
      </c>
      <c r="K68" s="11">
        <v>20.5138320922851</v>
      </c>
      <c r="L68" s="11" t="s">
        <v>1061</v>
      </c>
      <c r="M68" s="11" t="s">
        <v>1061</v>
      </c>
      <c r="N68" s="11" t="s">
        <v>1062</v>
      </c>
      <c r="O68" s="11" t="s">
        <v>1128</v>
      </c>
    </row>
    <row r="69">
      <c r="A69" s="11">
        <v>-35.289924621582</v>
      </c>
      <c r="B69" s="11">
        <v>8.64788818359375</v>
      </c>
      <c r="C69" s="11" t="s">
        <v>1061</v>
      </c>
      <c r="D69" s="11" t="s">
        <v>1061</v>
      </c>
      <c r="E69" s="11" t="s">
        <v>1062</v>
      </c>
      <c r="F69" s="11" t="s">
        <v>1129</v>
      </c>
      <c r="J69" s="11">
        <v>-22.8166275024414</v>
      </c>
      <c r="K69" s="11">
        <v>24.4217567443847</v>
      </c>
      <c r="L69" s="11" t="s">
        <v>1061</v>
      </c>
      <c r="M69" s="11" t="s">
        <v>1061</v>
      </c>
      <c r="N69" s="11" t="s">
        <v>1062</v>
      </c>
      <c r="O69" s="11" t="s">
        <v>1129</v>
      </c>
    </row>
    <row r="70">
      <c r="A70" s="11">
        <v>7.81215095520019</v>
      </c>
      <c r="B70" s="11">
        <v>1.03121900558471</v>
      </c>
      <c r="C70" s="11" t="s">
        <v>1061</v>
      </c>
      <c r="D70" s="11" t="s">
        <v>1061</v>
      </c>
      <c r="E70" s="11" t="s">
        <v>1062</v>
      </c>
      <c r="F70" s="11" t="s">
        <v>1130</v>
      </c>
      <c r="J70" s="11">
        <v>-13.4158020019531</v>
      </c>
      <c r="K70" s="11">
        <v>28.0837860107421</v>
      </c>
      <c r="L70" s="11" t="s">
        <v>1061</v>
      </c>
      <c r="M70" s="11" t="s">
        <v>1061</v>
      </c>
      <c r="N70" s="11" t="s">
        <v>1062</v>
      </c>
      <c r="O70" s="11" t="s">
        <v>1130</v>
      </c>
    </row>
    <row r="71">
      <c r="A71" s="11">
        <v>44.4119911193847</v>
      </c>
      <c r="B71" s="11">
        <v>23.8994731903076</v>
      </c>
      <c r="C71" s="11" t="s">
        <v>1061</v>
      </c>
      <c r="D71" s="11" t="s">
        <v>1061</v>
      </c>
      <c r="E71" s="11" t="s">
        <v>1062</v>
      </c>
      <c r="F71" s="11" t="s">
        <v>1131</v>
      </c>
      <c r="J71" s="11">
        <v>-32.3110656738281</v>
      </c>
      <c r="K71" s="11">
        <v>22.396915435791</v>
      </c>
      <c r="L71" s="11" t="s">
        <v>1061</v>
      </c>
      <c r="M71" s="11" t="s">
        <v>1061</v>
      </c>
      <c r="N71" s="11" t="s">
        <v>1062</v>
      </c>
      <c r="O71" s="11" t="s">
        <v>1131</v>
      </c>
    </row>
    <row r="72">
      <c r="A72" s="11">
        <v>20.4605522155761</v>
      </c>
      <c r="B72" s="11">
        <v>40.2129669189453</v>
      </c>
      <c r="C72" s="11" t="s">
        <v>1061</v>
      </c>
      <c r="D72" s="11" t="s">
        <v>1061</v>
      </c>
      <c r="E72" s="11" t="s">
        <v>1062</v>
      </c>
      <c r="F72" s="11" t="s">
        <v>1132</v>
      </c>
      <c r="J72" s="11">
        <v>-11.7681274414062</v>
      </c>
      <c r="K72" s="11">
        <v>0.455323725938797</v>
      </c>
      <c r="L72" s="11" t="s">
        <v>1061</v>
      </c>
      <c r="M72" s="11" t="s">
        <v>1061</v>
      </c>
      <c r="N72" s="11" t="s">
        <v>1062</v>
      </c>
      <c r="O72" s="11" t="s">
        <v>1132</v>
      </c>
    </row>
    <row r="73">
      <c r="A73" s="11">
        <v>12.3567304611206</v>
      </c>
      <c r="B73" s="11">
        <v>4.32744693756103</v>
      </c>
      <c r="C73" s="11" t="s">
        <v>1061</v>
      </c>
      <c r="D73" s="11" t="s">
        <v>1061</v>
      </c>
      <c r="E73" s="11" t="s">
        <v>1062</v>
      </c>
      <c r="F73" s="11" t="s">
        <v>1133</v>
      </c>
      <c r="J73" s="11">
        <v>-29.4498596191406</v>
      </c>
      <c r="K73" s="11">
        <v>16.6167984008789</v>
      </c>
      <c r="L73" s="11" t="s">
        <v>1061</v>
      </c>
      <c r="M73" s="11" t="s">
        <v>1061</v>
      </c>
      <c r="N73" s="11" t="s">
        <v>1062</v>
      </c>
      <c r="O73" s="11" t="s">
        <v>1133</v>
      </c>
    </row>
    <row r="74">
      <c r="A74" s="11">
        <v>-12.5954217910766</v>
      </c>
      <c r="B74" s="11">
        <v>60.723575592041</v>
      </c>
      <c r="C74" s="11" t="s">
        <v>1061</v>
      </c>
      <c r="D74" s="11" t="s">
        <v>1061</v>
      </c>
      <c r="E74" s="11" t="s">
        <v>1062</v>
      </c>
      <c r="F74" s="11" t="s">
        <v>1134</v>
      </c>
      <c r="J74" s="11">
        <v>30.3251705169677</v>
      </c>
      <c r="K74" s="11">
        <v>1.986820936203</v>
      </c>
      <c r="L74" s="11" t="s">
        <v>1061</v>
      </c>
      <c r="M74" s="11" t="s">
        <v>1061</v>
      </c>
      <c r="N74" s="11" t="s">
        <v>1062</v>
      </c>
      <c r="O74" s="11" t="s">
        <v>1134</v>
      </c>
    </row>
    <row r="75">
      <c r="A75" s="11">
        <v>-13.7847557067871</v>
      </c>
      <c r="B75" s="11">
        <v>50.5787963867187</v>
      </c>
      <c r="C75" s="11" t="s">
        <v>1061</v>
      </c>
      <c r="D75" s="11" t="s">
        <v>1061</v>
      </c>
      <c r="E75" s="11" t="s">
        <v>1062</v>
      </c>
      <c r="F75" s="11" t="s">
        <v>1135</v>
      </c>
      <c r="J75" s="11">
        <v>38.0149955749511</v>
      </c>
      <c r="K75" s="11">
        <v>-13.2916069030761</v>
      </c>
      <c r="L75" s="11" t="s">
        <v>1061</v>
      </c>
      <c r="M75" s="11" t="s">
        <v>1061</v>
      </c>
      <c r="N75" s="11" t="s">
        <v>1062</v>
      </c>
      <c r="O75" s="11" t="s">
        <v>1135</v>
      </c>
    </row>
    <row r="76">
      <c r="A76" s="11">
        <v>55.4355278015136</v>
      </c>
      <c r="B76" s="11">
        <v>13.9044313430786</v>
      </c>
      <c r="C76" s="11" t="s">
        <v>1061</v>
      </c>
      <c r="D76" s="11" t="s">
        <v>1061</v>
      </c>
      <c r="E76" s="11" t="s">
        <v>1062</v>
      </c>
      <c r="F76" s="11" t="s">
        <v>1136</v>
      </c>
      <c r="J76" s="11">
        <v>-31.79248046875</v>
      </c>
      <c r="K76" s="11">
        <v>24.4698696136474</v>
      </c>
      <c r="L76" s="11" t="s">
        <v>1061</v>
      </c>
      <c r="M76" s="11" t="s">
        <v>1061</v>
      </c>
      <c r="N76" s="11" t="s">
        <v>1062</v>
      </c>
      <c r="O76" s="11" t="s">
        <v>1136</v>
      </c>
    </row>
    <row r="77">
      <c r="A77" s="11">
        <v>6.47829437255859</v>
      </c>
      <c r="B77" s="11">
        <v>9.46312046051025</v>
      </c>
      <c r="C77" s="11" t="s">
        <v>1061</v>
      </c>
      <c r="D77" s="11" t="s">
        <v>1061</v>
      </c>
      <c r="E77" s="11" t="s">
        <v>1062</v>
      </c>
      <c r="F77" s="11" t="s">
        <v>1137</v>
      </c>
      <c r="J77" s="11">
        <v>-29.2707023620605</v>
      </c>
      <c r="K77" s="11">
        <v>-13.3199319839477</v>
      </c>
      <c r="L77" s="11" t="s">
        <v>1061</v>
      </c>
      <c r="M77" s="11" t="s">
        <v>1061</v>
      </c>
      <c r="N77" s="11" t="s">
        <v>1062</v>
      </c>
      <c r="O77" s="11" t="s">
        <v>1137</v>
      </c>
    </row>
    <row r="78">
      <c r="A78" s="11">
        <v>18.1406154632568</v>
      </c>
      <c r="B78" s="11">
        <v>5.59868097305297</v>
      </c>
      <c r="C78" s="11" t="s">
        <v>1061</v>
      </c>
      <c r="D78" s="11" t="s">
        <v>1061</v>
      </c>
      <c r="E78" s="11" t="s">
        <v>1062</v>
      </c>
      <c r="F78" s="11" t="s">
        <v>1138</v>
      </c>
      <c r="J78" s="11">
        <v>-19.3565788269042</v>
      </c>
      <c r="K78" s="11">
        <v>11.4487867355346</v>
      </c>
      <c r="L78" s="11" t="s">
        <v>1061</v>
      </c>
      <c r="M78" s="11" t="s">
        <v>1061</v>
      </c>
      <c r="N78" s="11" t="s">
        <v>1062</v>
      </c>
      <c r="O78" s="11" t="s">
        <v>1138</v>
      </c>
    </row>
    <row r="79">
      <c r="A79" s="11">
        <v>-21.6624565124511</v>
      </c>
      <c r="B79" s="11">
        <v>70.062744140625</v>
      </c>
      <c r="C79" s="11" t="s">
        <v>1061</v>
      </c>
      <c r="D79" s="11" t="s">
        <v>1061</v>
      </c>
      <c r="E79" s="11" t="s">
        <v>1062</v>
      </c>
      <c r="F79" s="11" t="s">
        <v>1139</v>
      </c>
      <c r="J79" s="11">
        <v>26.5248165130615</v>
      </c>
      <c r="K79" s="11">
        <v>-4.59737157821655</v>
      </c>
      <c r="L79" s="11" t="s">
        <v>1061</v>
      </c>
      <c r="M79" s="11" t="s">
        <v>1061</v>
      </c>
      <c r="N79" s="11" t="s">
        <v>1062</v>
      </c>
      <c r="O79" s="11" t="s">
        <v>1139</v>
      </c>
    </row>
    <row r="80">
      <c r="A80" s="11">
        <v>-4.92142438888549</v>
      </c>
      <c r="B80" s="11">
        <v>20.4417324066162</v>
      </c>
      <c r="C80" s="11" t="s">
        <v>1061</v>
      </c>
      <c r="D80" s="11" t="s">
        <v>1061</v>
      </c>
      <c r="E80" s="11" t="s">
        <v>1062</v>
      </c>
      <c r="F80" s="11" t="s">
        <v>1140</v>
      </c>
      <c r="J80" s="11">
        <v>37.2185592651367</v>
      </c>
      <c r="K80" s="11">
        <v>0.105950944125652</v>
      </c>
      <c r="L80" s="11" t="s">
        <v>1061</v>
      </c>
      <c r="M80" s="11" t="s">
        <v>1061</v>
      </c>
      <c r="N80" s="11" t="s">
        <v>1062</v>
      </c>
      <c r="O80" s="11" t="s">
        <v>1140</v>
      </c>
    </row>
    <row r="81">
      <c r="A81" s="11">
        <v>-36.296459197998</v>
      </c>
      <c r="B81" s="11">
        <v>4.16917610168457</v>
      </c>
      <c r="C81" s="11" t="s">
        <v>1061</v>
      </c>
      <c r="D81" s="11" t="s">
        <v>1061</v>
      </c>
      <c r="E81" s="11" t="s">
        <v>1062</v>
      </c>
      <c r="F81" s="11" t="s">
        <v>1141</v>
      </c>
      <c r="J81" s="11">
        <v>-22.7627773284912</v>
      </c>
      <c r="K81" s="11">
        <v>23.8434867858886</v>
      </c>
      <c r="L81" s="11" t="s">
        <v>1061</v>
      </c>
      <c r="M81" s="11" t="s">
        <v>1061</v>
      </c>
      <c r="N81" s="11" t="s">
        <v>1062</v>
      </c>
      <c r="O81" s="11" t="s">
        <v>1141</v>
      </c>
    </row>
    <row r="82">
      <c r="A82" s="11">
        <v>-5.77436780929565</v>
      </c>
      <c r="B82" s="11">
        <v>60.3020668029785</v>
      </c>
      <c r="C82" s="11" t="s">
        <v>1061</v>
      </c>
      <c r="D82" s="11" t="s">
        <v>1061</v>
      </c>
      <c r="E82" s="11" t="s">
        <v>1062</v>
      </c>
      <c r="F82" s="11" t="s">
        <v>1142</v>
      </c>
      <c r="J82" s="11">
        <v>33.7454681396484</v>
      </c>
      <c r="K82" s="11">
        <v>-7.19954347610473</v>
      </c>
      <c r="L82" s="11" t="s">
        <v>1061</v>
      </c>
      <c r="M82" s="11" t="s">
        <v>1061</v>
      </c>
      <c r="N82" s="11" t="s">
        <v>1062</v>
      </c>
      <c r="O82" s="11" t="s">
        <v>1142</v>
      </c>
    </row>
    <row r="83">
      <c r="A83" s="11">
        <v>60.3724479675293</v>
      </c>
      <c r="B83" s="11">
        <v>8.96082305908203</v>
      </c>
      <c r="C83" s="11" t="s">
        <v>1061</v>
      </c>
      <c r="D83" s="11" t="s">
        <v>1061</v>
      </c>
      <c r="E83" s="11" t="s">
        <v>1062</v>
      </c>
      <c r="F83" s="11" t="s">
        <v>1143</v>
      </c>
      <c r="J83" s="11">
        <v>-30.1991672515869</v>
      </c>
      <c r="K83" s="11">
        <v>26.9456176757812</v>
      </c>
      <c r="L83" s="11" t="s">
        <v>1061</v>
      </c>
      <c r="M83" s="11" t="s">
        <v>1061</v>
      </c>
      <c r="N83" s="11" t="s">
        <v>1062</v>
      </c>
      <c r="O83" s="11" t="s">
        <v>1143</v>
      </c>
    </row>
    <row r="84">
      <c r="A84" s="11">
        <v>33.5621719360351</v>
      </c>
      <c r="B84" s="11">
        <v>21.6465148925781</v>
      </c>
      <c r="C84" s="11" t="s">
        <v>1061</v>
      </c>
      <c r="D84" s="11" t="s">
        <v>1061</v>
      </c>
      <c r="E84" s="11" t="s">
        <v>1062</v>
      </c>
      <c r="F84" s="11" t="s">
        <v>1144</v>
      </c>
      <c r="J84" s="11">
        <v>-30.2876739501953</v>
      </c>
      <c r="K84" s="11">
        <v>12.6794919967651</v>
      </c>
      <c r="L84" s="11" t="s">
        <v>1061</v>
      </c>
      <c r="M84" s="11" t="s">
        <v>1061</v>
      </c>
      <c r="N84" s="11" t="s">
        <v>1062</v>
      </c>
      <c r="O84" s="11" t="s">
        <v>1144</v>
      </c>
    </row>
    <row r="85">
      <c r="A85" s="11">
        <v>17.8743724822998</v>
      </c>
      <c r="B85" s="11">
        <v>35.6921043395996</v>
      </c>
      <c r="C85" s="11" t="s">
        <v>1061</v>
      </c>
      <c r="D85" s="11" t="s">
        <v>1061</v>
      </c>
      <c r="E85" s="11" t="s">
        <v>1062</v>
      </c>
      <c r="F85" s="11" t="s">
        <v>1145</v>
      </c>
      <c r="J85" s="11">
        <v>-14.9076967239379</v>
      </c>
      <c r="K85" s="11">
        <v>12.3639392852783</v>
      </c>
      <c r="L85" s="11" t="s">
        <v>1061</v>
      </c>
      <c r="M85" s="11" t="s">
        <v>1061</v>
      </c>
      <c r="N85" s="11" t="s">
        <v>1062</v>
      </c>
      <c r="O85" s="11" t="s">
        <v>1145</v>
      </c>
    </row>
    <row r="86">
      <c r="A86" s="11">
        <v>1.54743874073028</v>
      </c>
      <c r="B86" s="11">
        <v>25.9130096435546</v>
      </c>
      <c r="C86" s="11" t="s">
        <v>1061</v>
      </c>
      <c r="D86" s="11" t="s">
        <v>1061</v>
      </c>
      <c r="E86" s="11" t="s">
        <v>1062</v>
      </c>
      <c r="F86" s="11" t="s">
        <v>1146</v>
      </c>
      <c r="J86" s="11">
        <v>-1.70612788200378</v>
      </c>
      <c r="K86" s="11">
        <v>3.03913283348083</v>
      </c>
      <c r="L86" s="11" t="s">
        <v>1061</v>
      </c>
      <c r="M86" s="11" t="s">
        <v>1061</v>
      </c>
      <c r="N86" s="11" t="s">
        <v>1062</v>
      </c>
      <c r="O86" s="11" t="s">
        <v>1146</v>
      </c>
    </row>
    <row r="87">
      <c r="A87" s="11">
        <v>-0.670755088329315</v>
      </c>
      <c r="B87" s="11">
        <v>18.1478366851806</v>
      </c>
      <c r="C87" s="11" t="s">
        <v>1061</v>
      </c>
      <c r="D87" s="11" t="s">
        <v>1061</v>
      </c>
      <c r="E87" s="11" t="s">
        <v>1062</v>
      </c>
      <c r="F87" s="11" t="s">
        <v>1147</v>
      </c>
      <c r="J87" s="11">
        <v>54.5603523254394</v>
      </c>
      <c r="K87" s="11">
        <v>-18.6048030853271</v>
      </c>
      <c r="L87" s="11" t="s">
        <v>1061</v>
      </c>
      <c r="M87" s="11" t="s">
        <v>1061</v>
      </c>
      <c r="N87" s="11" t="s">
        <v>1062</v>
      </c>
      <c r="O87" s="11" t="s">
        <v>1147</v>
      </c>
    </row>
    <row r="88">
      <c r="A88" s="11">
        <v>-14.4407806396484</v>
      </c>
      <c r="B88" s="11">
        <v>48.7254104614257</v>
      </c>
      <c r="C88" s="11" t="s">
        <v>1061</v>
      </c>
      <c r="D88" s="11" t="s">
        <v>1061</v>
      </c>
      <c r="E88" s="11" t="s">
        <v>1062</v>
      </c>
      <c r="F88" s="11" t="s">
        <v>1148</v>
      </c>
      <c r="J88" s="11">
        <v>40.2343788146972</v>
      </c>
      <c r="K88" s="11">
        <v>-13.8736324310302</v>
      </c>
      <c r="L88" s="11" t="s">
        <v>1061</v>
      </c>
      <c r="M88" s="11" t="s">
        <v>1061</v>
      </c>
      <c r="N88" s="11" t="s">
        <v>1062</v>
      </c>
      <c r="O88" s="11" t="s">
        <v>1148</v>
      </c>
    </row>
    <row r="89">
      <c r="A89" s="11">
        <v>22.4552040100097</v>
      </c>
      <c r="B89" s="11">
        <v>54.0348205566406</v>
      </c>
      <c r="C89" s="11" t="s">
        <v>1061</v>
      </c>
      <c r="D89" s="11" t="s">
        <v>1061</v>
      </c>
      <c r="E89" s="11" t="s">
        <v>1062</v>
      </c>
      <c r="F89" s="11" t="s">
        <v>1149</v>
      </c>
      <c r="J89" s="11">
        <v>-17.2262287139892</v>
      </c>
      <c r="K89" s="11">
        <v>27.4921112060546</v>
      </c>
      <c r="L89" s="11" t="s">
        <v>1061</v>
      </c>
      <c r="M89" s="11" t="s">
        <v>1061</v>
      </c>
      <c r="N89" s="11" t="s">
        <v>1062</v>
      </c>
      <c r="O89" s="11" t="s">
        <v>1149</v>
      </c>
    </row>
    <row r="90">
      <c r="A90" s="11">
        <v>38.3379096984863</v>
      </c>
      <c r="B90" s="11">
        <v>24.7251777648925</v>
      </c>
      <c r="C90" s="11" t="s">
        <v>1061</v>
      </c>
      <c r="D90" s="11" t="s">
        <v>1061</v>
      </c>
      <c r="E90" s="11" t="s">
        <v>1062</v>
      </c>
      <c r="F90" s="11" t="s">
        <v>1150</v>
      </c>
      <c r="J90" s="11">
        <v>-27.9340362548828</v>
      </c>
      <c r="K90" s="11">
        <v>10.2506256103515</v>
      </c>
      <c r="L90" s="11" t="s">
        <v>1061</v>
      </c>
      <c r="M90" s="11" t="s">
        <v>1061</v>
      </c>
      <c r="N90" s="11" t="s">
        <v>1062</v>
      </c>
      <c r="O90" s="11" t="s">
        <v>1150</v>
      </c>
    </row>
    <row r="91">
      <c r="A91" s="11">
        <v>-1.27482604980468</v>
      </c>
      <c r="B91" s="11">
        <v>11.1853685379028</v>
      </c>
      <c r="C91" s="11" t="s">
        <v>1061</v>
      </c>
      <c r="D91" s="11" t="s">
        <v>1061</v>
      </c>
      <c r="E91" s="11" t="s">
        <v>1062</v>
      </c>
      <c r="F91" s="11" t="s">
        <v>1151</v>
      </c>
      <c r="J91" s="11">
        <v>-13.9053754806518</v>
      </c>
      <c r="K91" s="11">
        <v>6.75612926483154</v>
      </c>
      <c r="L91" s="11" t="s">
        <v>1061</v>
      </c>
      <c r="M91" s="11" t="s">
        <v>1061</v>
      </c>
      <c r="N91" s="11" t="s">
        <v>1062</v>
      </c>
      <c r="O91" s="11" t="s">
        <v>1151</v>
      </c>
    </row>
    <row r="92">
      <c r="A92" s="11">
        <v>3.90970540046691</v>
      </c>
      <c r="B92" s="11">
        <v>23.7648468017578</v>
      </c>
      <c r="C92" s="11" t="s">
        <v>1061</v>
      </c>
      <c r="D92" s="11" t="s">
        <v>1061</v>
      </c>
      <c r="E92" s="11" t="s">
        <v>1062</v>
      </c>
      <c r="F92" s="11" t="s">
        <v>1152</v>
      </c>
      <c r="J92" s="11">
        <v>-5.2982964515686</v>
      </c>
      <c r="K92" s="11">
        <v>4.07209300994873</v>
      </c>
      <c r="L92" s="11" t="s">
        <v>1061</v>
      </c>
      <c r="M92" s="11" t="s">
        <v>1061</v>
      </c>
      <c r="N92" s="11" t="s">
        <v>1062</v>
      </c>
      <c r="O92" s="11" t="s">
        <v>1152</v>
      </c>
    </row>
    <row r="93">
      <c r="A93" s="11">
        <v>-16.7531070709228</v>
      </c>
      <c r="B93" s="11">
        <v>11.8194437026977</v>
      </c>
      <c r="C93" s="11" t="s">
        <v>1061</v>
      </c>
      <c r="D93" s="11" t="s">
        <v>1061</v>
      </c>
      <c r="E93" s="11" t="s">
        <v>1062</v>
      </c>
      <c r="F93" s="11" t="s">
        <v>1153</v>
      </c>
      <c r="J93" s="11">
        <v>4.16494560241699</v>
      </c>
      <c r="K93" s="11">
        <v>13.6685247421264</v>
      </c>
      <c r="L93" s="11" t="s">
        <v>1061</v>
      </c>
      <c r="M93" s="11" t="s">
        <v>1061</v>
      </c>
      <c r="N93" s="11" t="s">
        <v>1062</v>
      </c>
      <c r="O93" s="11" t="s">
        <v>1153</v>
      </c>
    </row>
    <row r="94">
      <c r="A94" s="11">
        <v>8.76234531402587</v>
      </c>
      <c r="B94" s="11">
        <v>26.4436912536621</v>
      </c>
      <c r="C94" s="11" t="s">
        <v>1061</v>
      </c>
      <c r="D94" s="11" t="s">
        <v>1061</v>
      </c>
      <c r="E94" s="11" t="s">
        <v>1062</v>
      </c>
      <c r="F94" s="11" t="s">
        <v>1154</v>
      </c>
      <c r="J94" s="11">
        <v>-11.7733497619628</v>
      </c>
      <c r="K94" s="11">
        <v>4.01797723770141</v>
      </c>
      <c r="L94" s="11" t="s">
        <v>1061</v>
      </c>
      <c r="M94" s="11" t="s">
        <v>1061</v>
      </c>
      <c r="N94" s="11" t="s">
        <v>1062</v>
      </c>
      <c r="O94" s="11" t="s">
        <v>1154</v>
      </c>
    </row>
    <row r="95">
      <c r="A95" s="11">
        <v>3.61337566375732</v>
      </c>
      <c r="B95" s="11">
        <v>28.2589569091796</v>
      </c>
      <c r="C95" s="11" t="s">
        <v>1061</v>
      </c>
      <c r="D95" s="11" t="s">
        <v>1061</v>
      </c>
      <c r="E95" s="11" t="s">
        <v>1062</v>
      </c>
      <c r="F95" s="11" t="s">
        <v>1155</v>
      </c>
      <c r="J95" s="11">
        <v>1.55343973636627</v>
      </c>
      <c r="K95" s="11">
        <v>-0.910358607769012</v>
      </c>
      <c r="L95" s="11" t="s">
        <v>1061</v>
      </c>
      <c r="M95" s="11" t="s">
        <v>1061</v>
      </c>
      <c r="N95" s="11" t="s">
        <v>1062</v>
      </c>
      <c r="O95" s="11" t="s">
        <v>1155</v>
      </c>
    </row>
    <row r="96">
      <c r="A96" s="11">
        <v>13.0761241912841</v>
      </c>
      <c r="B96" s="11">
        <v>24.3737392425537</v>
      </c>
      <c r="C96" s="11" t="s">
        <v>1061</v>
      </c>
      <c r="D96" s="11" t="s">
        <v>1061</v>
      </c>
      <c r="E96" s="11" t="s">
        <v>1062</v>
      </c>
      <c r="F96" s="11" t="s">
        <v>1156</v>
      </c>
      <c r="J96" s="11">
        <v>10.9787378311157</v>
      </c>
      <c r="K96" s="11">
        <v>4.41456699371337</v>
      </c>
      <c r="L96" s="11" t="s">
        <v>1061</v>
      </c>
      <c r="M96" s="11" t="s">
        <v>1061</v>
      </c>
      <c r="N96" s="11" t="s">
        <v>1062</v>
      </c>
      <c r="O96" s="11" t="s">
        <v>1156</v>
      </c>
    </row>
    <row r="97">
      <c r="A97" s="11">
        <v>15.3340587615966</v>
      </c>
      <c r="B97" s="11">
        <v>28.7894992828369</v>
      </c>
      <c r="C97" s="11" t="s">
        <v>1061</v>
      </c>
      <c r="D97" s="11" t="s">
        <v>1061</v>
      </c>
      <c r="E97" s="11" t="s">
        <v>1062</v>
      </c>
      <c r="F97" s="11" t="s">
        <v>1157</v>
      </c>
      <c r="J97" s="11">
        <v>2.02965760231018</v>
      </c>
      <c r="K97" s="11">
        <v>-6.64373922348022</v>
      </c>
      <c r="L97" s="11" t="s">
        <v>1061</v>
      </c>
      <c r="M97" s="11" t="s">
        <v>1061</v>
      </c>
      <c r="N97" s="11" t="s">
        <v>1062</v>
      </c>
      <c r="O97" s="11" t="s">
        <v>1157</v>
      </c>
    </row>
    <row r="98">
      <c r="A98" s="11">
        <v>38.4794273376464</v>
      </c>
      <c r="B98" s="11">
        <v>12.4252338409423</v>
      </c>
      <c r="C98" s="11" t="s">
        <v>1061</v>
      </c>
      <c r="D98" s="11" t="s">
        <v>1061</v>
      </c>
      <c r="E98" s="11" t="s">
        <v>1062</v>
      </c>
      <c r="F98" s="11" t="s">
        <v>1158</v>
      </c>
      <c r="J98" s="11">
        <v>-25.2237548828125</v>
      </c>
      <c r="K98" s="11">
        <v>11.6504716873168</v>
      </c>
      <c r="L98" s="11" t="s">
        <v>1061</v>
      </c>
      <c r="M98" s="11" t="s">
        <v>1061</v>
      </c>
      <c r="N98" s="11" t="s">
        <v>1062</v>
      </c>
      <c r="O98" s="11" t="s">
        <v>1158</v>
      </c>
    </row>
    <row r="99">
      <c r="A99" s="11">
        <v>-3.36353731155395</v>
      </c>
      <c r="B99" s="11">
        <v>14.6668548583984</v>
      </c>
      <c r="C99" s="11" t="s">
        <v>1061</v>
      </c>
      <c r="D99" s="11" t="s">
        <v>1061</v>
      </c>
      <c r="E99" s="11" t="s">
        <v>1062</v>
      </c>
      <c r="F99" s="11" t="s">
        <v>1159</v>
      </c>
      <c r="J99" s="11">
        <v>-9.83250713348388</v>
      </c>
      <c r="K99" s="11">
        <v>10.5460224151611</v>
      </c>
      <c r="L99" s="11" t="s">
        <v>1061</v>
      </c>
      <c r="M99" s="11" t="s">
        <v>1061</v>
      </c>
      <c r="N99" s="11" t="s">
        <v>1062</v>
      </c>
      <c r="O99" s="11" t="s">
        <v>1159</v>
      </c>
    </row>
    <row r="100">
      <c r="A100" s="11">
        <v>6.88817024230957</v>
      </c>
      <c r="B100" s="11">
        <v>18.2459239959716</v>
      </c>
      <c r="C100" s="11" t="s">
        <v>1061</v>
      </c>
      <c r="D100" s="11" t="s">
        <v>1061</v>
      </c>
      <c r="E100" s="11" t="s">
        <v>1062</v>
      </c>
      <c r="F100" s="11" t="s">
        <v>1160</v>
      </c>
      <c r="J100" s="11">
        <v>-11.7392950057983</v>
      </c>
      <c r="K100" s="11">
        <v>7.93346786499023</v>
      </c>
      <c r="L100" s="11" t="s">
        <v>1061</v>
      </c>
      <c r="M100" s="11" t="s">
        <v>1061</v>
      </c>
      <c r="N100" s="11" t="s">
        <v>1062</v>
      </c>
      <c r="O100" s="11" t="s">
        <v>1160</v>
      </c>
    </row>
    <row r="101">
      <c r="A101" s="11">
        <v>-36.1930923461914</v>
      </c>
      <c r="B101" s="11">
        <v>57.063980102539</v>
      </c>
      <c r="C101" s="11" t="s">
        <v>1061</v>
      </c>
      <c r="D101" s="11" t="s">
        <v>1061</v>
      </c>
      <c r="E101" s="11" t="s">
        <v>1062</v>
      </c>
      <c r="F101" s="11" t="s">
        <v>1161</v>
      </c>
      <c r="J101" s="11">
        <v>28.8338260650634</v>
      </c>
      <c r="K101" s="11">
        <v>7.47246980667114</v>
      </c>
      <c r="L101" s="11" t="s">
        <v>1061</v>
      </c>
      <c r="M101" s="11" t="s">
        <v>1061</v>
      </c>
      <c r="N101" s="11" t="s">
        <v>1062</v>
      </c>
      <c r="O101" s="11" t="s">
        <v>1161</v>
      </c>
    </row>
    <row r="102">
      <c r="A102" s="11">
        <v>33.6425819396972</v>
      </c>
      <c r="B102" s="11">
        <v>21.0754470825195</v>
      </c>
      <c r="C102" s="11" t="s">
        <v>1061</v>
      </c>
      <c r="D102" s="11" t="s">
        <v>1061</v>
      </c>
      <c r="E102" s="11" t="s">
        <v>1062</v>
      </c>
      <c r="F102" s="11" t="s">
        <v>1162</v>
      </c>
      <c r="J102" s="11">
        <v>-30.0761032104492</v>
      </c>
      <c r="K102" s="11">
        <v>12.8107233047485</v>
      </c>
      <c r="L102" s="11" t="s">
        <v>1061</v>
      </c>
      <c r="M102" s="11" t="s">
        <v>1061</v>
      </c>
      <c r="N102" s="11" t="s">
        <v>1062</v>
      </c>
      <c r="O102" s="11" t="s">
        <v>1162</v>
      </c>
    </row>
    <row r="103">
      <c r="A103" s="11">
        <v>17.3748397827148</v>
      </c>
      <c r="B103" s="11">
        <v>54.4253311157226</v>
      </c>
      <c r="C103" s="11" t="s">
        <v>1061</v>
      </c>
      <c r="D103" s="11" t="s">
        <v>1061</v>
      </c>
      <c r="E103" s="11" t="s">
        <v>1062</v>
      </c>
      <c r="F103" s="11" t="s">
        <v>1163</v>
      </c>
      <c r="J103" s="11">
        <v>-15.6752824783325</v>
      </c>
      <c r="K103" s="11">
        <v>31.2965602874755</v>
      </c>
      <c r="L103" s="11" t="s">
        <v>1061</v>
      </c>
      <c r="M103" s="11" t="s">
        <v>1061</v>
      </c>
      <c r="N103" s="11" t="s">
        <v>1062</v>
      </c>
      <c r="O103" s="11" t="s">
        <v>1163</v>
      </c>
    </row>
    <row r="104">
      <c r="A104" s="11">
        <v>35.0079383850097</v>
      </c>
      <c r="B104" s="11">
        <v>16.4192790985107</v>
      </c>
      <c r="C104" s="11" t="s">
        <v>1061</v>
      </c>
      <c r="D104" s="11" t="s">
        <v>1061</v>
      </c>
      <c r="E104" s="11" t="s">
        <v>1062</v>
      </c>
      <c r="F104" s="11" t="s">
        <v>1164</v>
      </c>
      <c r="J104" s="11">
        <v>-24.433982849121</v>
      </c>
      <c r="K104" s="11">
        <v>6.33751153945922</v>
      </c>
      <c r="L104" s="11" t="s">
        <v>1061</v>
      </c>
      <c r="M104" s="11" t="s">
        <v>1061</v>
      </c>
      <c r="N104" s="11" t="s">
        <v>1062</v>
      </c>
      <c r="O104" s="11" t="s">
        <v>1164</v>
      </c>
    </row>
    <row r="105">
      <c r="A105" s="11">
        <v>83.4102325439453</v>
      </c>
      <c r="B105" s="11">
        <v>-17.6161651611328</v>
      </c>
      <c r="C105" s="11" t="s">
        <v>1061</v>
      </c>
      <c r="D105" s="11" t="s">
        <v>1061</v>
      </c>
      <c r="E105" s="11" t="s">
        <v>1062</v>
      </c>
      <c r="F105" s="11" t="s">
        <v>1165</v>
      </c>
      <c r="J105" s="11">
        <v>-34.9594192504882</v>
      </c>
      <c r="K105" s="11">
        <v>30.4550952911376</v>
      </c>
      <c r="L105" s="11" t="s">
        <v>1061</v>
      </c>
      <c r="M105" s="11" t="s">
        <v>1061</v>
      </c>
      <c r="N105" s="11" t="s">
        <v>1062</v>
      </c>
      <c r="O105" s="11" t="s">
        <v>1165</v>
      </c>
    </row>
    <row r="106">
      <c r="A106" s="11">
        <v>17.3568744659423</v>
      </c>
      <c r="B106" s="11">
        <v>29.5001754760742</v>
      </c>
      <c r="C106" s="11" t="s">
        <v>1061</v>
      </c>
      <c r="D106" s="11" t="s">
        <v>1061</v>
      </c>
      <c r="E106" s="11" t="s">
        <v>1062</v>
      </c>
      <c r="F106" s="11" t="s">
        <v>1166</v>
      </c>
      <c r="J106" s="11">
        <v>-23.5393524169921</v>
      </c>
      <c r="K106" s="11">
        <v>23.4875259399414</v>
      </c>
      <c r="L106" s="11" t="s">
        <v>1061</v>
      </c>
      <c r="M106" s="11" t="s">
        <v>1061</v>
      </c>
      <c r="N106" s="11" t="s">
        <v>1062</v>
      </c>
      <c r="O106" s="11" t="s">
        <v>1166</v>
      </c>
    </row>
    <row r="107">
      <c r="A107" s="11">
        <v>-1.75704288482666</v>
      </c>
      <c r="B107" s="11">
        <v>17.3518295288085</v>
      </c>
      <c r="C107" s="11" t="s">
        <v>1061</v>
      </c>
      <c r="D107" s="11" t="s">
        <v>1061</v>
      </c>
      <c r="E107" s="11" t="s">
        <v>1062</v>
      </c>
      <c r="F107" s="11" t="s">
        <v>1167</v>
      </c>
      <c r="J107" s="11">
        <v>53.7552909851074</v>
      </c>
      <c r="K107" s="11">
        <v>-18.0508289337158</v>
      </c>
      <c r="L107" s="11" t="s">
        <v>1061</v>
      </c>
      <c r="M107" s="11" t="s">
        <v>1061</v>
      </c>
      <c r="N107" s="11" t="s">
        <v>1062</v>
      </c>
      <c r="O107" s="11" t="s">
        <v>1167</v>
      </c>
    </row>
    <row r="108">
      <c r="A108" s="11">
        <v>17.4931392669677</v>
      </c>
      <c r="B108" s="11">
        <v>21.2735557556152</v>
      </c>
      <c r="C108" s="11" t="s">
        <v>1061</v>
      </c>
      <c r="D108" s="11" t="s">
        <v>1061</v>
      </c>
      <c r="E108" s="11" t="s">
        <v>1062</v>
      </c>
      <c r="F108" s="11" t="s">
        <v>1168</v>
      </c>
      <c r="J108" s="11">
        <v>-4.80563116073608</v>
      </c>
      <c r="K108" s="11">
        <v>30.6402168273925</v>
      </c>
      <c r="L108" s="11" t="s">
        <v>1061</v>
      </c>
      <c r="M108" s="11" t="s">
        <v>1061</v>
      </c>
      <c r="N108" s="11" t="s">
        <v>1062</v>
      </c>
      <c r="O108" s="11" t="s">
        <v>1168</v>
      </c>
    </row>
    <row r="109">
      <c r="A109" s="11">
        <v>14.7989292144775</v>
      </c>
      <c r="B109" s="11">
        <v>28.9483394622802</v>
      </c>
      <c r="C109" s="11" t="s">
        <v>1061</v>
      </c>
      <c r="D109" s="11" t="s">
        <v>1061</v>
      </c>
      <c r="E109" s="11" t="s">
        <v>1062</v>
      </c>
      <c r="F109" s="11" t="s">
        <v>1169</v>
      </c>
      <c r="J109" s="11">
        <v>2.02965760231018</v>
      </c>
      <c r="K109" s="11">
        <v>-6.64373922348022</v>
      </c>
      <c r="L109" s="11" t="s">
        <v>1061</v>
      </c>
      <c r="M109" s="11" t="s">
        <v>1061</v>
      </c>
      <c r="N109" s="11" t="s">
        <v>1062</v>
      </c>
      <c r="O109" s="11" t="s">
        <v>1169</v>
      </c>
    </row>
    <row r="110">
      <c r="A110" s="11">
        <v>14.9570417404174</v>
      </c>
      <c r="B110" s="11">
        <v>29.4891300201416</v>
      </c>
      <c r="C110" s="11" t="s">
        <v>1061</v>
      </c>
      <c r="D110" s="11" t="s">
        <v>1061</v>
      </c>
      <c r="E110" s="11" t="s">
        <v>1062</v>
      </c>
      <c r="F110" s="11" t="s">
        <v>1170</v>
      </c>
      <c r="J110" s="11">
        <v>2.02965760231018</v>
      </c>
      <c r="K110" s="11">
        <v>-6.64373922348022</v>
      </c>
      <c r="L110" s="11" t="s">
        <v>1061</v>
      </c>
      <c r="M110" s="11" t="s">
        <v>1061</v>
      </c>
      <c r="N110" s="11" t="s">
        <v>1062</v>
      </c>
      <c r="O110" s="11" t="s">
        <v>1170</v>
      </c>
    </row>
    <row r="111">
      <c r="A111" s="11">
        <v>0.618842780590057</v>
      </c>
      <c r="B111" s="11">
        <v>25.055793762207</v>
      </c>
      <c r="C111" s="11" t="s">
        <v>1061</v>
      </c>
      <c r="D111" s="11" t="s">
        <v>1061</v>
      </c>
      <c r="E111" s="11" t="s">
        <v>1062</v>
      </c>
      <c r="F111" s="11" t="s">
        <v>1171</v>
      </c>
      <c r="J111" s="11">
        <v>-0.889605998992919</v>
      </c>
      <c r="K111" s="11">
        <v>2.79328227043151</v>
      </c>
      <c r="L111" s="11" t="s">
        <v>1061</v>
      </c>
      <c r="M111" s="11" t="s">
        <v>1061</v>
      </c>
      <c r="N111" s="11" t="s">
        <v>1062</v>
      </c>
      <c r="O111" s="11" t="s">
        <v>1171</v>
      </c>
    </row>
    <row r="112">
      <c r="A112" s="11">
        <v>6.35395193099975</v>
      </c>
      <c r="B112" s="11">
        <v>19.2290649414062</v>
      </c>
      <c r="C112" s="11" t="s">
        <v>1061</v>
      </c>
      <c r="D112" s="11" t="s">
        <v>1061</v>
      </c>
      <c r="E112" s="11" t="s">
        <v>1062</v>
      </c>
      <c r="F112" s="11" t="s">
        <v>1172</v>
      </c>
      <c r="J112" s="11">
        <v>-9.9091567993164</v>
      </c>
      <c r="K112" s="11">
        <v>7.38895368576049</v>
      </c>
      <c r="L112" s="11" t="s">
        <v>1061</v>
      </c>
      <c r="M112" s="11" t="s">
        <v>1061</v>
      </c>
      <c r="N112" s="11" t="s">
        <v>1062</v>
      </c>
      <c r="O112" s="11" t="s">
        <v>1172</v>
      </c>
    </row>
    <row r="113">
      <c r="A113" s="11">
        <v>12.5550994873046</v>
      </c>
      <c r="B113" s="11">
        <v>-1.18683016300201</v>
      </c>
      <c r="C113" s="11" t="s">
        <v>1061</v>
      </c>
      <c r="D113" s="11" t="s">
        <v>1061</v>
      </c>
      <c r="E113" s="11" t="s">
        <v>1062</v>
      </c>
      <c r="F113" s="11" t="s">
        <v>1173</v>
      </c>
      <c r="J113" s="11">
        <v>-18.7674865722656</v>
      </c>
      <c r="K113" s="11">
        <v>6.38751506805419</v>
      </c>
      <c r="L113" s="11" t="s">
        <v>1061</v>
      </c>
      <c r="M113" s="11" t="s">
        <v>1061</v>
      </c>
      <c r="N113" s="11" t="s">
        <v>1062</v>
      </c>
      <c r="O113" s="11" t="s">
        <v>1173</v>
      </c>
    </row>
    <row r="114">
      <c r="A114" s="11">
        <v>-11.1098365783691</v>
      </c>
      <c r="B114" s="11">
        <v>35.7977714538574</v>
      </c>
      <c r="C114" s="11" t="s">
        <v>1061</v>
      </c>
      <c r="D114" s="11" t="s">
        <v>1061</v>
      </c>
      <c r="E114" s="11" t="s">
        <v>1062</v>
      </c>
      <c r="F114" s="11" t="s">
        <v>1174</v>
      </c>
      <c r="J114" s="11">
        <v>-1.93480312824249</v>
      </c>
      <c r="K114" s="11">
        <v>11.8796577453613</v>
      </c>
      <c r="L114" s="11" t="s">
        <v>1061</v>
      </c>
      <c r="M114" s="11" t="s">
        <v>1061</v>
      </c>
      <c r="N114" s="11" t="s">
        <v>1062</v>
      </c>
      <c r="O114" s="11" t="s">
        <v>1174</v>
      </c>
    </row>
    <row r="115">
      <c r="A115" s="11">
        <v>9.45714569091796</v>
      </c>
      <c r="B115" s="11">
        <v>44.1894493103027</v>
      </c>
      <c r="C115" s="11" t="s">
        <v>1061</v>
      </c>
      <c r="D115" s="11" t="s">
        <v>1061</v>
      </c>
      <c r="E115" s="11" t="s">
        <v>1062</v>
      </c>
      <c r="F115" s="11" t="s">
        <v>1175</v>
      </c>
      <c r="J115" s="11">
        <v>-14.4368886947631</v>
      </c>
      <c r="K115" s="11">
        <v>-2.79243206977844</v>
      </c>
      <c r="L115" s="11" t="s">
        <v>1061</v>
      </c>
      <c r="M115" s="11" t="s">
        <v>1061</v>
      </c>
      <c r="N115" s="11" t="s">
        <v>1062</v>
      </c>
      <c r="O115" s="11" t="s">
        <v>1175</v>
      </c>
    </row>
    <row r="116">
      <c r="A116" s="11">
        <v>0.125469177961349</v>
      </c>
      <c r="B116" s="11">
        <v>13.9891395568847</v>
      </c>
      <c r="C116" s="11" t="s">
        <v>1061</v>
      </c>
      <c r="D116" s="11" t="s">
        <v>1061</v>
      </c>
      <c r="E116" s="11" t="s">
        <v>1062</v>
      </c>
      <c r="F116" s="11" t="s">
        <v>1176</v>
      </c>
      <c r="J116" s="11">
        <v>-8.98475551605224</v>
      </c>
      <c r="K116" s="11">
        <v>17.83860206604</v>
      </c>
      <c r="L116" s="11" t="s">
        <v>1061</v>
      </c>
      <c r="M116" s="11" t="s">
        <v>1061</v>
      </c>
      <c r="N116" s="11" t="s">
        <v>1062</v>
      </c>
      <c r="O116" s="11" t="s">
        <v>1176</v>
      </c>
    </row>
    <row r="117">
      <c r="A117" s="11">
        <v>-31.8352088928222</v>
      </c>
      <c r="B117" s="11">
        <v>2.29580283164978</v>
      </c>
      <c r="C117" s="11" t="s">
        <v>1061</v>
      </c>
      <c r="D117" s="11" t="s">
        <v>1061</v>
      </c>
      <c r="E117" s="11" t="s">
        <v>1062</v>
      </c>
      <c r="F117" s="11" t="s">
        <v>1177</v>
      </c>
      <c r="J117" s="11">
        <v>25.79243850708</v>
      </c>
      <c r="K117" s="11">
        <v>0.752157628536224</v>
      </c>
      <c r="L117" s="11" t="s">
        <v>1061</v>
      </c>
      <c r="M117" s="11" t="s">
        <v>1061</v>
      </c>
      <c r="N117" s="11" t="s">
        <v>1062</v>
      </c>
      <c r="O117" s="11" t="s">
        <v>1177</v>
      </c>
    </row>
    <row r="118">
      <c r="A118" s="11">
        <v>3.28378081321716</v>
      </c>
      <c r="B118" s="11">
        <v>22.7186832427978</v>
      </c>
      <c r="C118" s="11" t="s">
        <v>1061</v>
      </c>
      <c r="D118" s="11" t="s">
        <v>1061</v>
      </c>
      <c r="E118" s="11" t="s">
        <v>1062</v>
      </c>
      <c r="F118" s="11" t="s">
        <v>1178</v>
      </c>
      <c r="J118" s="11">
        <v>-5.50749206542968</v>
      </c>
      <c r="K118" s="11">
        <v>3.29951882362365</v>
      </c>
      <c r="L118" s="11" t="s">
        <v>1061</v>
      </c>
      <c r="M118" s="11" t="s">
        <v>1061</v>
      </c>
      <c r="N118" s="11" t="s">
        <v>1062</v>
      </c>
      <c r="O118" s="11" t="s">
        <v>1178</v>
      </c>
    </row>
    <row r="119">
      <c r="A119" s="11">
        <v>84.0195159912109</v>
      </c>
      <c r="B119" s="11">
        <v>-16.8801555633544</v>
      </c>
      <c r="C119" s="11" t="s">
        <v>1061</v>
      </c>
      <c r="D119" s="11" t="s">
        <v>1061</v>
      </c>
      <c r="E119" s="11" t="s">
        <v>1062</v>
      </c>
      <c r="F119" s="11" t="s">
        <v>1179</v>
      </c>
      <c r="J119" s="11">
        <v>-34.1258926391601</v>
      </c>
      <c r="K119" s="11">
        <v>31.0592079162597</v>
      </c>
      <c r="L119" s="11" t="s">
        <v>1061</v>
      </c>
      <c r="M119" s="11" t="s">
        <v>1061</v>
      </c>
      <c r="N119" s="11" t="s">
        <v>1062</v>
      </c>
      <c r="O119" s="11" t="s">
        <v>1179</v>
      </c>
    </row>
    <row r="120">
      <c r="A120" s="11">
        <v>-13.7366781234741</v>
      </c>
      <c r="B120" s="11">
        <v>60.7493553161621</v>
      </c>
      <c r="C120" s="11" t="s">
        <v>1061</v>
      </c>
      <c r="D120" s="11" t="s">
        <v>1061</v>
      </c>
      <c r="E120" s="11" t="s">
        <v>1062</v>
      </c>
      <c r="F120" s="11" t="s">
        <v>1180</v>
      </c>
      <c r="J120" s="11">
        <v>29.175968170166</v>
      </c>
      <c r="K120" s="11">
        <v>2.71594738960266</v>
      </c>
      <c r="L120" s="11" t="s">
        <v>1061</v>
      </c>
      <c r="M120" s="11" t="s">
        <v>1061</v>
      </c>
      <c r="N120" s="11" t="s">
        <v>1062</v>
      </c>
      <c r="O120" s="11" t="s">
        <v>1180</v>
      </c>
    </row>
    <row r="121">
      <c r="A121" s="11">
        <v>18.293601989746</v>
      </c>
      <c r="B121" s="11">
        <v>4.94670295715332</v>
      </c>
      <c r="C121" s="11" t="s">
        <v>1061</v>
      </c>
      <c r="D121" s="11" t="s">
        <v>1061</v>
      </c>
      <c r="E121" s="11" t="s">
        <v>1062</v>
      </c>
      <c r="F121" s="11" t="s">
        <v>1181</v>
      </c>
      <c r="J121" s="11">
        <v>-19.1537227630615</v>
      </c>
      <c r="K121" s="11">
        <v>12.2478294372558</v>
      </c>
      <c r="L121" s="11" t="s">
        <v>1061</v>
      </c>
      <c r="M121" s="11" t="s">
        <v>1061</v>
      </c>
      <c r="N121" s="11" t="s">
        <v>1062</v>
      </c>
      <c r="O121" s="11" t="s">
        <v>1181</v>
      </c>
    </row>
    <row r="122">
      <c r="A122" s="11">
        <v>74.3815460205078</v>
      </c>
      <c r="B122" s="11">
        <v>-14.2095527648925</v>
      </c>
      <c r="C122" s="11" t="s">
        <v>1061</v>
      </c>
      <c r="D122" s="11" t="s">
        <v>1061</v>
      </c>
      <c r="E122" s="11" t="s">
        <v>1062</v>
      </c>
      <c r="F122" s="11" t="s">
        <v>1182</v>
      </c>
      <c r="J122" s="11">
        <v>-27.3778209686279</v>
      </c>
      <c r="K122" s="11">
        <v>32.9285774230957</v>
      </c>
      <c r="L122" s="11" t="s">
        <v>1061</v>
      </c>
      <c r="M122" s="11" t="s">
        <v>1061</v>
      </c>
      <c r="N122" s="11" t="s">
        <v>1062</v>
      </c>
      <c r="O122" s="11" t="s">
        <v>1182</v>
      </c>
    </row>
    <row r="123">
      <c r="A123" s="11">
        <v>13.0761241912841</v>
      </c>
      <c r="B123" s="11">
        <v>24.3737392425537</v>
      </c>
      <c r="C123" s="11" t="s">
        <v>1061</v>
      </c>
      <c r="D123" s="11" t="s">
        <v>1061</v>
      </c>
      <c r="E123" s="11" t="s">
        <v>1062</v>
      </c>
      <c r="F123" s="11" t="s">
        <v>1183</v>
      </c>
      <c r="J123" s="11">
        <v>11.5680322647094</v>
      </c>
      <c r="K123" s="11">
        <v>4.13226509094238</v>
      </c>
      <c r="L123" s="11" t="s">
        <v>1061</v>
      </c>
      <c r="M123" s="11" t="s">
        <v>1061</v>
      </c>
      <c r="N123" s="11" t="s">
        <v>1062</v>
      </c>
      <c r="O123" s="11" t="s">
        <v>1183</v>
      </c>
    </row>
    <row r="124">
      <c r="A124" s="11">
        <v>-14.074007987976</v>
      </c>
      <c r="B124" s="11">
        <v>22.8750343322753</v>
      </c>
      <c r="C124" s="11" t="s">
        <v>1061</v>
      </c>
      <c r="D124" s="11" t="s">
        <v>1061</v>
      </c>
      <c r="E124" s="11" t="s">
        <v>1062</v>
      </c>
      <c r="F124" s="11" t="s">
        <v>1184</v>
      </c>
      <c r="J124" s="11">
        <v>-16.2886772155761</v>
      </c>
      <c r="K124" s="11">
        <v>22.7442283630371</v>
      </c>
      <c r="L124" s="11" t="s">
        <v>1061</v>
      </c>
      <c r="M124" s="11" t="s">
        <v>1061</v>
      </c>
      <c r="N124" s="11" t="s">
        <v>1062</v>
      </c>
      <c r="O124" s="11" t="s">
        <v>1184</v>
      </c>
    </row>
    <row r="125">
      <c r="A125" s="11">
        <v>15.7793674468994</v>
      </c>
      <c r="B125" s="11">
        <v>40.596450805664</v>
      </c>
      <c r="C125" s="11" t="s">
        <v>1061</v>
      </c>
      <c r="D125" s="11" t="s">
        <v>1061</v>
      </c>
      <c r="E125" s="11" t="s">
        <v>1062</v>
      </c>
      <c r="F125" s="11" t="s">
        <v>1185</v>
      </c>
      <c r="J125" s="11">
        <v>2.6382451057434</v>
      </c>
      <c r="K125" s="11">
        <v>14.657636642456</v>
      </c>
      <c r="L125" s="11" t="s">
        <v>1061</v>
      </c>
      <c r="M125" s="11" t="s">
        <v>1061</v>
      </c>
      <c r="N125" s="11" t="s">
        <v>1062</v>
      </c>
      <c r="O125" s="11" t="s">
        <v>1185</v>
      </c>
    </row>
    <row r="126">
      <c r="A126" s="11">
        <v>17.2109069824218</v>
      </c>
      <c r="B126" s="11">
        <v>55.137825012207</v>
      </c>
      <c r="C126" s="11" t="s">
        <v>1061</v>
      </c>
      <c r="D126" s="11" t="s">
        <v>1061</v>
      </c>
      <c r="E126" s="11" t="s">
        <v>1062</v>
      </c>
      <c r="F126" s="11" t="s">
        <v>1186</v>
      </c>
      <c r="J126" s="11">
        <v>-15.4347867965698</v>
      </c>
      <c r="K126" s="11">
        <v>32.010196685791</v>
      </c>
      <c r="L126" s="11" t="s">
        <v>1061</v>
      </c>
      <c r="M126" s="11" t="s">
        <v>1061</v>
      </c>
      <c r="N126" s="11" t="s">
        <v>1062</v>
      </c>
      <c r="O126" s="11" t="s">
        <v>1186</v>
      </c>
    </row>
    <row r="127">
      <c r="A127" s="11">
        <v>65.0555343627929</v>
      </c>
      <c r="B127" s="11">
        <v>13.8071603775024</v>
      </c>
      <c r="C127" s="11" t="s">
        <v>1061</v>
      </c>
      <c r="D127" s="11" t="s">
        <v>1061</v>
      </c>
      <c r="E127" s="11" t="s">
        <v>1062</v>
      </c>
      <c r="F127" s="11" t="s">
        <v>1187</v>
      </c>
      <c r="J127" s="11">
        <v>-27.9733791351318</v>
      </c>
      <c r="K127" s="11">
        <v>26.4397354125976</v>
      </c>
      <c r="L127" s="11" t="s">
        <v>1061</v>
      </c>
      <c r="M127" s="11" t="s">
        <v>1061</v>
      </c>
      <c r="N127" s="11" t="s">
        <v>1062</v>
      </c>
      <c r="O127" s="11" t="s">
        <v>1187</v>
      </c>
    </row>
    <row r="128">
      <c r="A128" s="11">
        <v>-2.49453878402709</v>
      </c>
      <c r="B128" s="11">
        <v>47.5460891723632</v>
      </c>
      <c r="C128" s="11" t="s">
        <v>1061</v>
      </c>
      <c r="D128" s="11" t="s">
        <v>1061</v>
      </c>
      <c r="E128" s="11" t="s">
        <v>1062</v>
      </c>
      <c r="F128" s="11" t="s">
        <v>1188</v>
      </c>
      <c r="J128" s="11">
        <v>34.202823638916</v>
      </c>
      <c r="K128" s="11">
        <v>5.72321557998657</v>
      </c>
      <c r="L128" s="11" t="s">
        <v>1061</v>
      </c>
      <c r="M128" s="11" t="s">
        <v>1061</v>
      </c>
      <c r="N128" s="11" t="s">
        <v>1062</v>
      </c>
      <c r="O128" s="11" t="s">
        <v>1188</v>
      </c>
    </row>
    <row r="129">
      <c r="A129" s="11">
        <v>15.4553384780883</v>
      </c>
      <c r="B129" s="11">
        <v>29.3021812438964</v>
      </c>
      <c r="C129" s="11" t="s">
        <v>1061</v>
      </c>
      <c r="D129" s="11" t="s">
        <v>1061</v>
      </c>
      <c r="E129" s="11" t="s">
        <v>1062</v>
      </c>
      <c r="F129" s="11" t="s">
        <v>1189</v>
      </c>
      <c r="J129" s="11">
        <v>2.18059420585632</v>
      </c>
      <c r="K129" s="11">
        <v>-6.91579437255859</v>
      </c>
      <c r="L129" s="11" t="s">
        <v>1061</v>
      </c>
      <c r="M129" s="11" t="s">
        <v>1061</v>
      </c>
      <c r="N129" s="11" t="s">
        <v>1062</v>
      </c>
      <c r="O129" s="11" t="s">
        <v>1189</v>
      </c>
    </row>
    <row r="130">
      <c r="A130" s="11">
        <v>83.8671951293945</v>
      </c>
      <c r="B130" s="11">
        <v>-15.8110513687133</v>
      </c>
      <c r="C130" s="11" t="s">
        <v>1061</v>
      </c>
      <c r="D130" s="11" t="s">
        <v>1061</v>
      </c>
      <c r="E130" s="11" t="s">
        <v>1062</v>
      </c>
      <c r="F130" s="11" t="s">
        <v>1190</v>
      </c>
      <c r="J130" s="11">
        <v>-36.3631706237793</v>
      </c>
      <c r="K130" s="11">
        <v>29.3139190673828</v>
      </c>
      <c r="L130" s="11" t="s">
        <v>1061</v>
      </c>
      <c r="M130" s="11" t="s">
        <v>1061</v>
      </c>
      <c r="N130" s="11" t="s">
        <v>1062</v>
      </c>
      <c r="O130" s="11" t="s">
        <v>1190</v>
      </c>
    </row>
    <row r="131">
      <c r="A131" s="11">
        <v>-7.14706993103027</v>
      </c>
      <c r="B131" s="11">
        <v>39.3522300720214</v>
      </c>
      <c r="C131" s="11" t="s">
        <v>1061</v>
      </c>
      <c r="D131" s="11" t="s">
        <v>1061</v>
      </c>
      <c r="E131" s="11" t="s">
        <v>1062</v>
      </c>
      <c r="F131" s="11" t="s">
        <v>1191</v>
      </c>
      <c r="J131" s="11">
        <v>41.5369338989257</v>
      </c>
      <c r="K131" s="11">
        <v>4.99700736999511</v>
      </c>
      <c r="L131" s="11" t="s">
        <v>1061</v>
      </c>
      <c r="M131" s="11" t="s">
        <v>1061</v>
      </c>
      <c r="N131" s="11" t="s">
        <v>1062</v>
      </c>
      <c r="O131" s="11" t="s">
        <v>1191</v>
      </c>
    </row>
    <row r="132">
      <c r="A132" s="11">
        <v>-4.19376277923584</v>
      </c>
      <c r="B132" s="11">
        <v>17.9393997192382</v>
      </c>
      <c r="C132" s="11" t="s">
        <v>1061</v>
      </c>
      <c r="D132" s="11" t="s">
        <v>1061</v>
      </c>
      <c r="E132" s="11" t="s">
        <v>1062</v>
      </c>
      <c r="F132" s="11" t="s">
        <v>1192</v>
      </c>
      <c r="J132" s="11">
        <v>54.1669273376464</v>
      </c>
      <c r="K132" s="11">
        <v>-16.5308761596679</v>
      </c>
      <c r="L132" s="11" t="s">
        <v>1061</v>
      </c>
      <c r="M132" s="11" t="s">
        <v>1061</v>
      </c>
      <c r="N132" s="11" t="s">
        <v>1062</v>
      </c>
      <c r="O132" s="11" t="s">
        <v>1192</v>
      </c>
    </row>
    <row r="133">
      <c r="A133" s="11">
        <v>41.8750190734863</v>
      </c>
      <c r="B133" s="11">
        <v>-0.727744340896606</v>
      </c>
      <c r="C133" s="11" t="s">
        <v>1061</v>
      </c>
      <c r="D133" s="11" t="s">
        <v>1061</v>
      </c>
      <c r="E133" s="11" t="s">
        <v>1062</v>
      </c>
      <c r="F133" s="11" t="s">
        <v>1193</v>
      </c>
      <c r="J133" s="11">
        <v>-31.5209045410156</v>
      </c>
      <c r="K133" s="11">
        <v>33.5111274719238</v>
      </c>
      <c r="L133" s="11" t="s">
        <v>1061</v>
      </c>
      <c r="M133" s="11" t="s">
        <v>1061</v>
      </c>
      <c r="N133" s="11" t="s">
        <v>1062</v>
      </c>
      <c r="O133" s="11" t="s">
        <v>1193</v>
      </c>
    </row>
    <row r="134">
      <c r="A134" s="11">
        <v>-7.37780046463012</v>
      </c>
      <c r="B134" s="11">
        <v>39.224739074707</v>
      </c>
      <c r="C134" s="11" t="s">
        <v>1061</v>
      </c>
      <c r="D134" s="11" t="s">
        <v>1061</v>
      </c>
      <c r="E134" s="11" t="s">
        <v>1062</v>
      </c>
      <c r="F134" s="11" t="s">
        <v>1194</v>
      </c>
      <c r="J134" s="11">
        <v>41.5364112854003</v>
      </c>
      <c r="K134" s="11">
        <v>4.99738883972168</v>
      </c>
      <c r="L134" s="11" t="s">
        <v>1061</v>
      </c>
      <c r="M134" s="11" t="s">
        <v>1061</v>
      </c>
      <c r="N134" s="11" t="s">
        <v>1062</v>
      </c>
      <c r="O134" s="11" t="s">
        <v>1194</v>
      </c>
    </row>
    <row r="135">
      <c r="A135" s="11">
        <v>-3.41038060188293</v>
      </c>
      <c r="B135" s="11">
        <v>10.3660926818847</v>
      </c>
      <c r="C135" s="11" t="s">
        <v>1061</v>
      </c>
      <c r="D135" s="11" t="s">
        <v>1061</v>
      </c>
      <c r="E135" s="11" t="s">
        <v>1062</v>
      </c>
      <c r="F135" s="11" t="s">
        <v>1195</v>
      </c>
      <c r="J135" s="11">
        <v>-0.976743817329406</v>
      </c>
      <c r="K135" s="11">
        <v>-7.86388111114501</v>
      </c>
      <c r="L135" s="11" t="s">
        <v>1061</v>
      </c>
      <c r="M135" s="11" t="s">
        <v>1061</v>
      </c>
      <c r="N135" s="11" t="s">
        <v>1062</v>
      </c>
      <c r="O135" s="11" t="s">
        <v>1195</v>
      </c>
    </row>
    <row r="136">
      <c r="A136" s="11">
        <v>-2.21666884422302</v>
      </c>
      <c r="B136" s="11">
        <v>25.1246128082275</v>
      </c>
      <c r="C136" s="11" t="s">
        <v>1061</v>
      </c>
      <c r="D136" s="11" t="s">
        <v>1061</v>
      </c>
      <c r="E136" s="11" t="s">
        <v>1062</v>
      </c>
      <c r="F136" s="11" t="s">
        <v>1196</v>
      </c>
      <c r="J136" s="11">
        <v>-5.61979627609252</v>
      </c>
      <c r="K136" s="11">
        <v>-1.58870983123779</v>
      </c>
      <c r="L136" s="11" t="s">
        <v>1061</v>
      </c>
      <c r="M136" s="11" t="s">
        <v>1061</v>
      </c>
      <c r="N136" s="11" t="s">
        <v>1062</v>
      </c>
      <c r="O136" s="11" t="s">
        <v>1196</v>
      </c>
    </row>
    <row r="137">
      <c r="A137" s="11">
        <v>-2.84087967872619</v>
      </c>
      <c r="B137" s="11">
        <v>48.8466987609863</v>
      </c>
      <c r="C137" s="11" t="s">
        <v>1061</v>
      </c>
      <c r="D137" s="11" t="s">
        <v>1061</v>
      </c>
      <c r="E137" s="11" t="s">
        <v>1062</v>
      </c>
      <c r="F137" s="11" t="s">
        <v>1197</v>
      </c>
      <c r="J137" s="11">
        <v>33.8819923400878</v>
      </c>
      <c r="K137" s="11">
        <v>6.53949785232543</v>
      </c>
      <c r="L137" s="11" t="s">
        <v>1061</v>
      </c>
      <c r="M137" s="11" t="s">
        <v>1061</v>
      </c>
      <c r="N137" s="11" t="s">
        <v>1062</v>
      </c>
      <c r="O137" s="11" t="s">
        <v>1197</v>
      </c>
    </row>
    <row r="138">
      <c r="A138" s="11">
        <v>38.3379096984863</v>
      </c>
      <c r="B138" s="11">
        <v>24.7251777648925</v>
      </c>
      <c r="C138" s="11" t="s">
        <v>1061</v>
      </c>
      <c r="D138" s="11" t="s">
        <v>1061</v>
      </c>
      <c r="E138" s="11" t="s">
        <v>1062</v>
      </c>
      <c r="F138" s="11" t="s">
        <v>1198</v>
      </c>
      <c r="J138" s="11">
        <v>-27.8407497406005</v>
      </c>
      <c r="K138" s="11">
        <v>10.5178518295288</v>
      </c>
      <c r="L138" s="11" t="s">
        <v>1061</v>
      </c>
      <c r="M138" s="11" t="s">
        <v>1061</v>
      </c>
      <c r="N138" s="11" t="s">
        <v>1062</v>
      </c>
      <c r="O138" s="11" t="s">
        <v>1198</v>
      </c>
    </row>
    <row r="139">
      <c r="A139" s="11">
        <v>46.3594436645507</v>
      </c>
      <c r="B139" s="11">
        <v>14.5885801315307</v>
      </c>
      <c r="C139" s="11" t="s">
        <v>1061</v>
      </c>
      <c r="D139" s="11" t="s">
        <v>1061</v>
      </c>
      <c r="E139" s="11" t="s">
        <v>1062</v>
      </c>
      <c r="F139" s="11" t="s">
        <v>1199</v>
      </c>
      <c r="J139" s="11">
        <v>-10.0811557769775</v>
      </c>
      <c r="K139" s="11">
        <v>22.1543159484863</v>
      </c>
      <c r="L139" s="11" t="s">
        <v>1061</v>
      </c>
      <c r="M139" s="11" t="s">
        <v>1061</v>
      </c>
      <c r="N139" s="11" t="s">
        <v>1062</v>
      </c>
      <c r="O139" s="11" t="s">
        <v>1199</v>
      </c>
    </row>
    <row r="140">
      <c r="A140" s="11">
        <v>6.10370159149169</v>
      </c>
      <c r="B140" s="11">
        <v>5.9351954460144</v>
      </c>
      <c r="C140" s="11" t="s">
        <v>1061</v>
      </c>
      <c r="D140" s="11" t="s">
        <v>1061</v>
      </c>
      <c r="E140" s="11" t="s">
        <v>1062</v>
      </c>
      <c r="F140" s="11" t="s">
        <v>1200</v>
      </c>
      <c r="J140" s="11">
        <v>-2.32832384109497</v>
      </c>
      <c r="K140" s="11">
        <v>-1.16033434867858</v>
      </c>
      <c r="L140" s="11" t="s">
        <v>1061</v>
      </c>
      <c r="M140" s="11" t="s">
        <v>1061</v>
      </c>
      <c r="N140" s="11" t="s">
        <v>1062</v>
      </c>
      <c r="O140" s="11" t="s">
        <v>1200</v>
      </c>
    </row>
    <row r="141">
      <c r="A141" s="11">
        <v>11.8830099105834</v>
      </c>
      <c r="B141" s="11">
        <v>20.0298137664794</v>
      </c>
      <c r="C141" s="11" t="s">
        <v>1061</v>
      </c>
      <c r="D141" s="11" t="s">
        <v>1061</v>
      </c>
      <c r="E141" s="11" t="s">
        <v>1062</v>
      </c>
      <c r="F141" s="11" t="s">
        <v>1201</v>
      </c>
      <c r="J141" s="11">
        <v>-16.5767173767089</v>
      </c>
      <c r="K141" s="11">
        <v>3.8767704963684</v>
      </c>
      <c r="L141" s="11" t="s">
        <v>1061</v>
      </c>
      <c r="M141" s="11" t="s">
        <v>1061</v>
      </c>
      <c r="N141" s="11" t="s">
        <v>1062</v>
      </c>
      <c r="O141" s="11" t="s">
        <v>1201</v>
      </c>
    </row>
    <row r="142">
      <c r="A142" s="11">
        <v>54.7668304443359</v>
      </c>
      <c r="B142" s="11">
        <v>8.61467742919921</v>
      </c>
      <c r="C142" s="11" t="s">
        <v>1061</v>
      </c>
      <c r="D142" s="11" t="s">
        <v>1061</v>
      </c>
      <c r="E142" s="11" t="s">
        <v>1062</v>
      </c>
      <c r="F142" s="11" t="s">
        <v>1202</v>
      </c>
      <c r="J142" s="11">
        <v>-33.3282241821289</v>
      </c>
      <c r="K142" s="11">
        <v>26.032730102539</v>
      </c>
      <c r="L142" s="11" t="s">
        <v>1061</v>
      </c>
      <c r="M142" s="11" t="s">
        <v>1061</v>
      </c>
      <c r="N142" s="11" t="s">
        <v>1062</v>
      </c>
      <c r="O142" s="11" t="s">
        <v>1202</v>
      </c>
    </row>
    <row r="143">
      <c r="A143" s="11">
        <v>-2.54273962974548</v>
      </c>
      <c r="B143" s="11">
        <v>48.2611808776855</v>
      </c>
      <c r="C143" s="11" t="s">
        <v>1061</v>
      </c>
      <c r="D143" s="11" t="s">
        <v>1061</v>
      </c>
      <c r="E143" s="11" t="s">
        <v>1062</v>
      </c>
      <c r="F143" s="11" t="s">
        <v>1203</v>
      </c>
      <c r="J143" s="11">
        <v>34.7085456848144</v>
      </c>
      <c r="K143" s="11">
        <v>6.59359073638916</v>
      </c>
      <c r="L143" s="11" t="s">
        <v>1061</v>
      </c>
      <c r="M143" s="11" t="s">
        <v>1061</v>
      </c>
      <c r="N143" s="11" t="s">
        <v>1062</v>
      </c>
      <c r="O143" s="11" t="s">
        <v>1203</v>
      </c>
    </row>
    <row r="144">
      <c r="A144" s="11">
        <v>-3.0990445613861</v>
      </c>
      <c r="B144" s="11">
        <v>47.1896171569824</v>
      </c>
      <c r="C144" s="11" t="s">
        <v>1061</v>
      </c>
      <c r="D144" s="11" t="s">
        <v>1061</v>
      </c>
      <c r="E144" s="11" t="s">
        <v>1062</v>
      </c>
      <c r="F144" s="11" t="s">
        <v>1204</v>
      </c>
      <c r="J144" s="11">
        <v>34.8645210266113</v>
      </c>
      <c r="K144" s="11">
        <v>5.90843200683593</v>
      </c>
      <c r="L144" s="11" t="s">
        <v>1061</v>
      </c>
      <c r="M144" s="11" t="s">
        <v>1061</v>
      </c>
      <c r="N144" s="11" t="s">
        <v>1062</v>
      </c>
      <c r="O144" s="11" t="s">
        <v>1204</v>
      </c>
    </row>
    <row r="145">
      <c r="A145" s="11">
        <v>20.4600372314453</v>
      </c>
      <c r="B145" s="11">
        <v>40.2120323181152</v>
      </c>
      <c r="C145" s="11" t="s">
        <v>1061</v>
      </c>
      <c r="D145" s="11" t="s">
        <v>1061</v>
      </c>
      <c r="E145" s="11" t="s">
        <v>1062</v>
      </c>
      <c r="F145" s="11" t="s">
        <v>1205</v>
      </c>
      <c r="J145" s="11">
        <v>-11.7650508880615</v>
      </c>
      <c r="K145" s="11">
        <v>0.460029304027557</v>
      </c>
      <c r="L145" s="11" t="s">
        <v>1061</v>
      </c>
      <c r="M145" s="11" t="s">
        <v>1061</v>
      </c>
      <c r="N145" s="11" t="s">
        <v>1062</v>
      </c>
      <c r="O145" s="11" t="s">
        <v>1205</v>
      </c>
    </row>
    <row r="146">
      <c r="A146" s="11">
        <v>-14.9233503341674</v>
      </c>
      <c r="B146" s="11">
        <v>50.9048805236816</v>
      </c>
      <c r="C146" s="11" t="s">
        <v>1061</v>
      </c>
      <c r="D146" s="11" t="s">
        <v>1061</v>
      </c>
      <c r="E146" s="11" t="s">
        <v>1062</v>
      </c>
      <c r="F146" s="11" t="s">
        <v>1206</v>
      </c>
      <c r="J146" s="11">
        <v>38.3876953125</v>
      </c>
      <c r="K146" s="11">
        <v>-14.0754213333129</v>
      </c>
      <c r="L146" s="11" t="s">
        <v>1061</v>
      </c>
      <c r="M146" s="11" t="s">
        <v>1061</v>
      </c>
      <c r="N146" s="11" t="s">
        <v>1062</v>
      </c>
      <c r="O146" s="11" t="s">
        <v>1206</v>
      </c>
    </row>
    <row r="147">
      <c r="A147" s="11">
        <v>-13.895803451538</v>
      </c>
      <c r="B147" s="11">
        <v>30.86789894104</v>
      </c>
      <c r="C147" s="11" t="s">
        <v>1061</v>
      </c>
      <c r="D147" s="11" t="s">
        <v>1061</v>
      </c>
      <c r="E147" s="11" t="s">
        <v>1062</v>
      </c>
      <c r="F147" s="11" t="s">
        <v>1207</v>
      </c>
      <c r="J147" s="11">
        <v>9.65043354034423</v>
      </c>
      <c r="K147" s="11">
        <v>8.66494178771972</v>
      </c>
      <c r="L147" s="11" t="s">
        <v>1061</v>
      </c>
      <c r="M147" s="11" t="s">
        <v>1061</v>
      </c>
      <c r="N147" s="11" t="s">
        <v>1062</v>
      </c>
      <c r="O147" s="11" t="s">
        <v>1207</v>
      </c>
    </row>
    <row r="148">
      <c r="A148" s="11">
        <v>42.1553230285644</v>
      </c>
      <c r="B148" s="11">
        <v>4.02842950820922</v>
      </c>
      <c r="C148" s="11" t="s">
        <v>1061</v>
      </c>
      <c r="D148" s="11" t="s">
        <v>1061</v>
      </c>
      <c r="E148" s="11" t="s">
        <v>1062</v>
      </c>
      <c r="F148" s="11" t="s">
        <v>1208</v>
      </c>
      <c r="J148" s="11">
        <v>-33.9361877441406</v>
      </c>
      <c r="K148" s="11">
        <v>18.7529506683349</v>
      </c>
      <c r="L148" s="11" t="s">
        <v>1061</v>
      </c>
      <c r="M148" s="11" t="s">
        <v>1061</v>
      </c>
      <c r="N148" s="11" t="s">
        <v>1062</v>
      </c>
      <c r="O148" s="11" t="s">
        <v>1208</v>
      </c>
    </row>
    <row r="149">
      <c r="A149" s="11">
        <v>57.2337493896484</v>
      </c>
      <c r="B149" s="11">
        <v>18.2632827758789</v>
      </c>
      <c r="C149" s="11" t="s">
        <v>1061</v>
      </c>
      <c r="D149" s="11" t="s">
        <v>1061</v>
      </c>
      <c r="E149" s="11" t="s">
        <v>1062</v>
      </c>
      <c r="F149" s="11" t="s">
        <v>1209</v>
      </c>
      <c r="J149" s="11">
        <v>-31.5738449096679</v>
      </c>
      <c r="K149" s="11">
        <v>26.8199501037597</v>
      </c>
      <c r="L149" s="11" t="s">
        <v>1061</v>
      </c>
      <c r="M149" s="11" t="s">
        <v>1061</v>
      </c>
      <c r="N149" s="11" t="s">
        <v>1062</v>
      </c>
      <c r="O149" s="11" t="s">
        <v>1209</v>
      </c>
    </row>
    <row r="150">
      <c r="A150" s="11">
        <v>8.11890125274658</v>
      </c>
      <c r="B150" s="11">
        <v>1.09140574932098</v>
      </c>
      <c r="C150" s="11" t="s">
        <v>1061</v>
      </c>
      <c r="D150" s="11" t="s">
        <v>1061</v>
      </c>
      <c r="E150" s="11" t="s">
        <v>1062</v>
      </c>
      <c r="F150" s="11" t="s">
        <v>1210</v>
      </c>
      <c r="J150" s="11">
        <v>-13.5017490386962</v>
      </c>
      <c r="K150" s="11">
        <v>28.0461711883544</v>
      </c>
      <c r="L150" s="11" t="s">
        <v>1061</v>
      </c>
      <c r="M150" s="11" t="s">
        <v>1061</v>
      </c>
      <c r="N150" s="11" t="s">
        <v>1062</v>
      </c>
      <c r="O150" s="11" t="s">
        <v>1210</v>
      </c>
    </row>
    <row r="151">
      <c r="A151" s="11">
        <v>26.3397979736328</v>
      </c>
      <c r="B151" s="11">
        <v>34.8427429199218</v>
      </c>
      <c r="C151" s="11" t="s">
        <v>1061</v>
      </c>
      <c r="D151" s="11" t="s">
        <v>1061</v>
      </c>
      <c r="E151" s="11" t="s">
        <v>1062</v>
      </c>
      <c r="F151" s="11" t="s">
        <v>1211</v>
      </c>
      <c r="J151" s="11">
        <v>-20.1437740325927</v>
      </c>
      <c r="K151" s="11">
        <v>31.3324089050292</v>
      </c>
      <c r="L151" s="11" t="s">
        <v>1061</v>
      </c>
      <c r="M151" s="11" t="s">
        <v>1061</v>
      </c>
      <c r="N151" s="11" t="s">
        <v>1062</v>
      </c>
      <c r="O151" s="11" t="s">
        <v>1211</v>
      </c>
    </row>
    <row r="152">
      <c r="A152" s="11">
        <v>16.0894947052001</v>
      </c>
      <c r="B152" s="11">
        <v>12.5462236404418</v>
      </c>
      <c r="C152" s="11" t="s">
        <v>1061</v>
      </c>
      <c r="D152" s="11" t="s">
        <v>1061</v>
      </c>
      <c r="E152" s="11" t="s">
        <v>1062</v>
      </c>
      <c r="F152" s="11" t="s">
        <v>1212</v>
      </c>
      <c r="J152" s="11">
        <v>-12.5807628631591</v>
      </c>
      <c r="K152" s="11">
        <v>-9.6270637512207</v>
      </c>
      <c r="L152" s="11" t="s">
        <v>1061</v>
      </c>
      <c r="M152" s="11" t="s">
        <v>1061</v>
      </c>
      <c r="N152" s="11" t="s">
        <v>1062</v>
      </c>
      <c r="O152" s="11" t="s">
        <v>1212</v>
      </c>
    </row>
    <row r="153">
      <c r="A153" s="11">
        <v>-6.47016716003418</v>
      </c>
      <c r="B153" s="11">
        <v>15.377963066101</v>
      </c>
      <c r="C153" s="11" t="s">
        <v>1061</v>
      </c>
      <c r="D153" s="11" t="s">
        <v>1061</v>
      </c>
      <c r="E153" s="11" t="s">
        <v>1062</v>
      </c>
      <c r="F153" s="11" t="s">
        <v>1213</v>
      </c>
      <c r="J153" s="11">
        <v>50.103645324707</v>
      </c>
      <c r="K153" s="11">
        <v>-19.9726390838623</v>
      </c>
      <c r="L153" s="11" t="s">
        <v>1061</v>
      </c>
      <c r="M153" s="11" t="s">
        <v>1061</v>
      </c>
      <c r="N153" s="11" t="s">
        <v>1062</v>
      </c>
      <c r="O153" s="11" t="s">
        <v>1213</v>
      </c>
    </row>
    <row r="154">
      <c r="A154" s="11">
        <v>-1.12036108970642</v>
      </c>
      <c r="B154" s="11">
        <v>12.5679378509521</v>
      </c>
      <c r="C154" s="11" t="s">
        <v>1061</v>
      </c>
      <c r="D154" s="11" t="s">
        <v>1061</v>
      </c>
      <c r="E154" s="11" t="s">
        <v>1062</v>
      </c>
      <c r="F154" s="11" t="s">
        <v>1214</v>
      </c>
      <c r="J154" s="11">
        <v>-2.97808170318603</v>
      </c>
      <c r="K154" s="11">
        <v>-5.97358179092407</v>
      </c>
      <c r="L154" s="11" t="s">
        <v>1061</v>
      </c>
      <c r="M154" s="11" t="s">
        <v>1061</v>
      </c>
      <c r="N154" s="11" t="s">
        <v>1062</v>
      </c>
      <c r="O154" s="11" t="s">
        <v>1214</v>
      </c>
    </row>
    <row r="155">
      <c r="A155" s="11">
        <v>8.35590839385986</v>
      </c>
      <c r="B155" s="11">
        <v>31.089635848999</v>
      </c>
      <c r="C155" s="11" t="s">
        <v>1061</v>
      </c>
      <c r="D155" s="11" t="s">
        <v>1061</v>
      </c>
      <c r="E155" s="11" t="s">
        <v>1062</v>
      </c>
      <c r="F155" s="11" t="s">
        <v>1215</v>
      </c>
      <c r="J155" s="11">
        <v>-4.37039422988891</v>
      </c>
      <c r="K155" s="11">
        <v>14.8656768798828</v>
      </c>
      <c r="L155" s="11" t="s">
        <v>1061</v>
      </c>
      <c r="M155" s="11" t="s">
        <v>1061</v>
      </c>
      <c r="N155" s="11" t="s">
        <v>1062</v>
      </c>
      <c r="O155" s="11" t="s">
        <v>1215</v>
      </c>
    </row>
    <row r="156">
      <c r="A156" s="11">
        <v>-3.42629408836364</v>
      </c>
      <c r="B156" s="11">
        <v>12.6656847000122</v>
      </c>
      <c r="C156" s="11" t="s">
        <v>1061</v>
      </c>
      <c r="D156" s="11" t="s">
        <v>1061</v>
      </c>
      <c r="E156" s="11" t="s">
        <v>1062</v>
      </c>
      <c r="F156" s="11" t="s">
        <v>1216</v>
      </c>
      <c r="J156" s="11">
        <v>36.2475433349609</v>
      </c>
      <c r="K156" s="11">
        <v>-0.39333301782608</v>
      </c>
      <c r="L156" s="11" t="s">
        <v>1061</v>
      </c>
      <c r="M156" s="11" t="s">
        <v>1061</v>
      </c>
      <c r="N156" s="11" t="s">
        <v>1062</v>
      </c>
      <c r="O156" s="11" t="s">
        <v>1216</v>
      </c>
    </row>
    <row r="157">
      <c r="A157" s="11">
        <v>13.8793458938598</v>
      </c>
      <c r="B157" s="11">
        <v>35.6803932189941</v>
      </c>
      <c r="C157" s="11" t="s">
        <v>1061</v>
      </c>
      <c r="D157" s="11" t="s">
        <v>1061</v>
      </c>
      <c r="E157" s="11" t="s">
        <v>1062</v>
      </c>
      <c r="F157" s="11" t="s">
        <v>1217</v>
      </c>
      <c r="J157" s="11">
        <v>3.00964546203613</v>
      </c>
      <c r="K157" s="11">
        <v>12.9195976257324</v>
      </c>
      <c r="L157" s="11" t="s">
        <v>1061</v>
      </c>
      <c r="M157" s="11" t="s">
        <v>1061</v>
      </c>
      <c r="N157" s="11" t="s">
        <v>1062</v>
      </c>
      <c r="O157" s="11" t="s">
        <v>1217</v>
      </c>
    </row>
    <row r="158">
      <c r="A158" s="11">
        <v>-4.59228229522705</v>
      </c>
      <c r="B158" s="11">
        <v>-7.4959750175476</v>
      </c>
      <c r="C158" s="11" t="s">
        <v>1061</v>
      </c>
      <c r="D158" s="11" t="s">
        <v>1061</v>
      </c>
      <c r="E158" s="11" t="s">
        <v>1062</v>
      </c>
      <c r="F158" s="11" t="s">
        <v>1218</v>
      </c>
      <c r="J158" s="11">
        <v>-25.3927326202392</v>
      </c>
      <c r="K158" s="11">
        <v>-4.58884477615356</v>
      </c>
      <c r="L158" s="11" t="s">
        <v>1061</v>
      </c>
      <c r="M158" s="11" t="s">
        <v>1061</v>
      </c>
      <c r="N158" s="11" t="s">
        <v>1062</v>
      </c>
      <c r="O158" s="11" t="s">
        <v>1218</v>
      </c>
    </row>
    <row r="159">
      <c r="A159" s="11">
        <v>-2.22064781188964</v>
      </c>
      <c r="B159" s="11">
        <v>15.542236328125</v>
      </c>
      <c r="C159" s="11" t="s">
        <v>1061</v>
      </c>
      <c r="D159" s="11" t="s">
        <v>1061</v>
      </c>
      <c r="E159" s="11" t="s">
        <v>1062</v>
      </c>
      <c r="F159" s="11" t="s">
        <v>1219</v>
      </c>
      <c r="J159" s="11">
        <v>33.0588798522949</v>
      </c>
      <c r="K159" s="11">
        <v>-15.3054189682006</v>
      </c>
      <c r="L159" s="11" t="s">
        <v>1061</v>
      </c>
      <c r="M159" s="11" t="s">
        <v>1061</v>
      </c>
      <c r="N159" s="11" t="s">
        <v>1062</v>
      </c>
      <c r="O159" s="11" t="s">
        <v>1219</v>
      </c>
    </row>
    <row r="160">
      <c r="A160" s="11">
        <v>14.4695425033569</v>
      </c>
      <c r="B160" s="11">
        <v>8.51905441284179</v>
      </c>
      <c r="C160" s="11" t="s">
        <v>1061</v>
      </c>
      <c r="D160" s="11" t="s">
        <v>1061</v>
      </c>
      <c r="E160" s="11" t="s">
        <v>1062</v>
      </c>
      <c r="F160" s="11" t="s">
        <v>1220</v>
      </c>
      <c r="J160" s="11">
        <v>-28.772216796875</v>
      </c>
      <c r="K160" s="11">
        <v>1.10098922252655</v>
      </c>
      <c r="L160" s="11" t="s">
        <v>1061</v>
      </c>
      <c r="M160" s="11" t="s">
        <v>1061</v>
      </c>
      <c r="N160" s="11" t="s">
        <v>1062</v>
      </c>
      <c r="O160" s="11" t="s">
        <v>1220</v>
      </c>
    </row>
    <row r="161">
      <c r="A161" s="11">
        <v>-1.94181442260742</v>
      </c>
      <c r="B161" s="11">
        <v>28.556541442871</v>
      </c>
      <c r="C161" s="11" t="s">
        <v>1061</v>
      </c>
      <c r="D161" s="11" t="s">
        <v>1061</v>
      </c>
      <c r="E161" s="11" t="s">
        <v>1062</v>
      </c>
      <c r="F161" s="11" t="s">
        <v>1221</v>
      </c>
      <c r="J161" s="11">
        <v>-14.2094440460205</v>
      </c>
      <c r="K161" s="11">
        <v>18.5888347625732</v>
      </c>
      <c r="L161" s="11" t="s">
        <v>1061</v>
      </c>
      <c r="M161" s="11" t="s">
        <v>1061</v>
      </c>
      <c r="N161" s="11" t="s">
        <v>1062</v>
      </c>
      <c r="O161" s="11" t="s">
        <v>1221</v>
      </c>
    </row>
    <row r="162">
      <c r="A162" s="11">
        <v>44.4119911193847</v>
      </c>
      <c r="B162" s="11">
        <v>23.8994731903076</v>
      </c>
      <c r="C162" s="11" t="s">
        <v>1061</v>
      </c>
      <c r="D162" s="11" t="s">
        <v>1061</v>
      </c>
      <c r="E162" s="11" t="s">
        <v>1062</v>
      </c>
      <c r="F162" s="11" t="s">
        <v>1222</v>
      </c>
      <c r="J162" s="11">
        <v>-33.0436935424804</v>
      </c>
      <c r="K162" s="11">
        <v>22.1333808898925</v>
      </c>
      <c r="L162" s="11" t="s">
        <v>1061</v>
      </c>
      <c r="M162" s="11" t="s">
        <v>1061</v>
      </c>
      <c r="N162" s="11" t="s">
        <v>1062</v>
      </c>
      <c r="O162" s="11" t="s">
        <v>1222</v>
      </c>
    </row>
    <row r="163">
      <c r="A163" s="11">
        <v>-36.1930923461914</v>
      </c>
      <c r="B163" s="11">
        <v>57.063980102539</v>
      </c>
      <c r="C163" s="11" t="s">
        <v>1061</v>
      </c>
      <c r="D163" s="11" t="s">
        <v>1061</v>
      </c>
      <c r="E163" s="11" t="s">
        <v>1062</v>
      </c>
      <c r="F163" s="11" t="s">
        <v>1223</v>
      </c>
      <c r="J163" s="11">
        <v>28.8338260650634</v>
      </c>
      <c r="K163" s="11">
        <v>7.47246980667114</v>
      </c>
      <c r="L163" s="11" t="s">
        <v>1061</v>
      </c>
      <c r="M163" s="11" t="s">
        <v>1061</v>
      </c>
      <c r="N163" s="11" t="s">
        <v>1062</v>
      </c>
      <c r="O163" s="11" t="s">
        <v>1223</v>
      </c>
    </row>
    <row r="164">
      <c r="A164" s="11">
        <v>-3.64756178855896</v>
      </c>
      <c r="B164" s="11">
        <v>48.821060180664</v>
      </c>
      <c r="C164" s="11" t="s">
        <v>1061</v>
      </c>
      <c r="D164" s="11" t="s">
        <v>1061</v>
      </c>
      <c r="E164" s="11" t="s">
        <v>1062</v>
      </c>
      <c r="F164" s="11" t="s">
        <v>1224</v>
      </c>
      <c r="J164" s="11">
        <v>34.3531303405761</v>
      </c>
      <c r="K164" s="11">
        <v>6.73648738861084</v>
      </c>
      <c r="L164" s="11" t="s">
        <v>1061</v>
      </c>
      <c r="M164" s="11" t="s">
        <v>1061</v>
      </c>
      <c r="N164" s="11" t="s">
        <v>1062</v>
      </c>
      <c r="O164" s="11" t="s">
        <v>1224</v>
      </c>
    </row>
    <row r="165">
      <c r="A165" s="11">
        <v>82.8428649902343</v>
      </c>
      <c r="B165" s="11">
        <v>-14.741358757019</v>
      </c>
      <c r="C165" s="11" t="s">
        <v>1061</v>
      </c>
      <c r="D165" s="11" t="s">
        <v>1061</v>
      </c>
      <c r="E165" s="11" t="s">
        <v>1062</v>
      </c>
      <c r="F165" s="11" t="s">
        <v>1225</v>
      </c>
      <c r="J165" s="11">
        <v>-36.3930931091308</v>
      </c>
      <c r="K165" s="11">
        <v>30.2081127166748</v>
      </c>
      <c r="L165" s="11" t="s">
        <v>1061</v>
      </c>
      <c r="M165" s="11" t="s">
        <v>1061</v>
      </c>
      <c r="N165" s="11" t="s">
        <v>1062</v>
      </c>
      <c r="O165" s="11" t="s">
        <v>1225</v>
      </c>
    </row>
    <row r="166">
      <c r="A166" s="11">
        <v>1.22994518280029</v>
      </c>
      <c r="B166" s="11">
        <v>25.3441658020019</v>
      </c>
      <c r="C166" s="11" t="s">
        <v>1061</v>
      </c>
      <c r="D166" s="11" t="s">
        <v>1061</v>
      </c>
      <c r="E166" s="11" t="s">
        <v>1062</v>
      </c>
      <c r="F166" s="11" t="s">
        <v>1226</v>
      </c>
      <c r="J166" s="11">
        <v>-0.889605998992919</v>
      </c>
      <c r="K166" s="11">
        <v>2.79328227043151</v>
      </c>
      <c r="L166" s="11" t="s">
        <v>1061</v>
      </c>
      <c r="M166" s="11" t="s">
        <v>1061</v>
      </c>
      <c r="N166" s="11" t="s">
        <v>1062</v>
      </c>
      <c r="O166" s="11" t="s">
        <v>1226</v>
      </c>
    </row>
    <row r="167">
      <c r="A167" s="11">
        <v>-5.22545337677001</v>
      </c>
      <c r="B167" s="11">
        <v>16.0989952087402</v>
      </c>
      <c r="C167" s="11" t="s">
        <v>1061</v>
      </c>
      <c r="D167" s="11" t="s">
        <v>1061</v>
      </c>
      <c r="E167" s="11" t="s">
        <v>1062</v>
      </c>
      <c r="F167" s="11" t="s">
        <v>1227</v>
      </c>
      <c r="J167" s="11">
        <v>48.539134979248</v>
      </c>
      <c r="K167" s="11">
        <v>-20.4658126831054</v>
      </c>
      <c r="L167" s="11" t="s">
        <v>1061</v>
      </c>
      <c r="M167" s="11" t="s">
        <v>1061</v>
      </c>
      <c r="N167" s="11" t="s">
        <v>1062</v>
      </c>
      <c r="O167" s="11" t="s">
        <v>1227</v>
      </c>
    </row>
    <row r="168">
      <c r="A168" s="11">
        <v>-3.55669116973876</v>
      </c>
      <c r="B168" s="11">
        <v>60.708984375</v>
      </c>
      <c r="C168" s="11" t="s">
        <v>1061</v>
      </c>
      <c r="D168" s="11" t="s">
        <v>1061</v>
      </c>
      <c r="E168" s="11" t="s">
        <v>1062</v>
      </c>
      <c r="F168" s="11" t="s">
        <v>1228</v>
      </c>
      <c r="J168" s="11">
        <v>34.6707420349121</v>
      </c>
      <c r="K168" s="11">
        <v>-7.76816511154174</v>
      </c>
      <c r="L168" s="11" t="s">
        <v>1061</v>
      </c>
      <c r="M168" s="11" t="s">
        <v>1061</v>
      </c>
      <c r="N168" s="11" t="s">
        <v>1062</v>
      </c>
      <c r="O168" s="11" t="s">
        <v>1228</v>
      </c>
    </row>
    <row r="169">
      <c r="A169" s="11">
        <v>-21.2721633911132</v>
      </c>
      <c r="B169" s="11">
        <v>56.0002250671386</v>
      </c>
      <c r="C169" s="11" t="s">
        <v>1061</v>
      </c>
      <c r="D169" s="11" t="s">
        <v>1061</v>
      </c>
      <c r="E169" s="11" t="s">
        <v>1062</v>
      </c>
      <c r="F169" s="11" t="s">
        <v>1229</v>
      </c>
      <c r="J169" s="11">
        <v>48.6316986083984</v>
      </c>
      <c r="K169" s="11">
        <v>-14.7120370864868</v>
      </c>
      <c r="L169" s="11" t="s">
        <v>1061</v>
      </c>
      <c r="M169" s="11" t="s">
        <v>1061</v>
      </c>
      <c r="N169" s="11" t="s">
        <v>1062</v>
      </c>
      <c r="O169" s="11" t="s">
        <v>1229</v>
      </c>
    </row>
    <row r="170">
      <c r="A170" s="11">
        <v>-22.9955139160156</v>
      </c>
      <c r="B170" s="11">
        <v>54.0984420776367</v>
      </c>
      <c r="C170" s="11" t="s">
        <v>1061</v>
      </c>
      <c r="D170" s="11" t="s">
        <v>1061</v>
      </c>
      <c r="E170" s="11" t="s">
        <v>1062</v>
      </c>
      <c r="F170" s="11" t="s">
        <v>1230</v>
      </c>
      <c r="J170" s="11">
        <v>50.0207595825195</v>
      </c>
      <c r="K170" s="11">
        <v>-14.7467260360717</v>
      </c>
      <c r="L170" s="11" t="s">
        <v>1061</v>
      </c>
      <c r="M170" s="11" t="s">
        <v>1061</v>
      </c>
      <c r="N170" s="11" t="s">
        <v>1062</v>
      </c>
      <c r="O170" s="11" t="s">
        <v>1230</v>
      </c>
    </row>
    <row r="171">
      <c r="A171" s="11">
        <v>5.50934982299804</v>
      </c>
      <c r="B171" s="11">
        <v>4.90595912933349</v>
      </c>
      <c r="C171" s="11" t="s">
        <v>1061</v>
      </c>
      <c r="D171" s="11" t="s">
        <v>1061</v>
      </c>
      <c r="E171" s="11" t="s">
        <v>1062</v>
      </c>
      <c r="F171" s="11" t="s">
        <v>1231</v>
      </c>
      <c r="J171" s="11">
        <v>-2.684734582901</v>
      </c>
      <c r="K171" s="11">
        <v>-1.68363010883331</v>
      </c>
      <c r="L171" s="11" t="s">
        <v>1061</v>
      </c>
      <c r="M171" s="11" t="s">
        <v>1061</v>
      </c>
      <c r="N171" s="11" t="s">
        <v>1062</v>
      </c>
      <c r="O171" s="11" t="s">
        <v>1231</v>
      </c>
    </row>
    <row r="172">
      <c r="A172" s="11">
        <v>-4.81824731826782</v>
      </c>
      <c r="B172" s="11">
        <v>23.5961971282959</v>
      </c>
      <c r="C172" s="11" t="s">
        <v>1061</v>
      </c>
      <c r="D172" s="11" t="s">
        <v>1061</v>
      </c>
      <c r="E172" s="11" t="s">
        <v>1062</v>
      </c>
      <c r="F172" s="11" t="s">
        <v>1232</v>
      </c>
      <c r="J172" s="11">
        <v>0.0902453735470771</v>
      </c>
      <c r="K172" s="11">
        <v>22.3254871368408</v>
      </c>
      <c r="L172" s="11" t="s">
        <v>1061</v>
      </c>
      <c r="M172" s="11" t="s">
        <v>1061</v>
      </c>
      <c r="N172" s="11" t="s">
        <v>1062</v>
      </c>
      <c r="O172" s="11" t="s">
        <v>1232</v>
      </c>
    </row>
    <row r="173">
      <c r="A173" s="11">
        <v>34.2042541503906</v>
      </c>
      <c r="B173" s="11">
        <v>15.3806991577148</v>
      </c>
      <c r="C173" s="11" t="s">
        <v>1061</v>
      </c>
      <c r="D173" s="11" t="s">
        <v>1061</v>
      </c>
      <c r="E173" s="11" t="s">
        <v>1062</v>
      </c>
      <c r="F173" s="11" t="s">
        <v>1233</v>
      </c>
      <c r="J173" s="11">
        <v>-24.8882179260253</v>
      </c>
      <c r="K173" s="11">
        <v>5.71578311920166</v>
      </c>
      <c r="L173" s="11" t="s">
        <v>1061</v>
      </c>
      <c r="M173" s="11" t="s">
        <v>1061</v>
      </c>
      <c r="N173" s="11" t="s">
        <v>1062</v>
      </c>
      <c r="O173" s="11" t="s">
        <v>1233</v>
      </c>
    </row>
    <row r="174">
      <c r="A174" s="11">
        <v>17.7931938171386</v>
      </c>
      <c r="B174" s="11">
        <v>4.49238872528076</v>
      </c>
      <c r="C174" s="11" t="s">
        <v>1061</v>
      </c>
      <c r="D174" s="11" t="s">
        <v>1061</v>
      </c>
      <c r="E174" s="11" t="s">
        <v>1062</v>
      </c>
      <c r="F174" s="11" t="s">
        <v>1234</v>
      </c>
      <c r="J174" s="11">
        <v>-18.8796768188476</v>
      </c>
      <c r="K174" s="11">
        <v>11.8401699066162</v>
      </c>
      <c r="L174" s="11" t="s">
        <v>1061</v>
      </c>
      <c r="M174" s="11" t="s">
        <v>1061</v>
      </c>
      <c r="N174" s="11" t="s">
        <v>1062</v>
      </c>
      <c r="O174" s="11" t="s">
        <v>1234</v>
      </c>
    </row>
    <row r="175">
      <c r="A175" s="11">
        <v>-5.42934083938598</v>
      </c>
      <c r="B175" s="11">
        <v>-7.83922004699707</v>
      </c>
      <c r="C175" s="11" t="s">
        <v>1061</v>
      </c>
      <c r="D175" s="11" t="s">
        <v>1061</v>
      </c>
      <c r="E175" s="11" t="s">
        <v>1062</v>
      </c>
      <c r="F175" s="11" t="s">
        <v>1235</v>
      </c>
      <c r="J175" s="11">
        <v>-25.8897304534912</v>
      </c>
      <c r="K175" s="11">
        <v>-4.29007625579834</v>
      </c>
      <c r="L175" s="11" t="s">
        <v>1061</v>
      </c>
      <c r="M175" s="11" t="s">
        <v>1061</v>
      </c>
      <c r="N175" s="11" t="s">
        <v>1062</v>
      </c>
      <c r="O175" s="11" t="s">
        <v>1235</v>
      </c>
    </row>
    <row r="176">
      <c r="A176" s="11">
        <v>-3.25044226646423</v>
      </c>
      <c r="B176" s="11">
        <v>31.7151412963867</v>
      </c>
      <c r="C176" s="11" t="s">
        <v>1061</v>
      </c>
      <c r="D176" s="11" t="s">
        <v>1061</v>
      </c>
      <c r="E176" s="11" t="s">
        <v>1062</v>
      </c>
      <c r="F176" s="11" t="s">
        <v>1236</v>
      </c>
      <c r="J176" s="11">
        <v>-13.4907102584838</v>
      </c>
      <c r="K176" s="11">
        <v>19.6477012634277</v>
      </c>
      <c r="L176" s="11" t="s">
        <v>1061</v>
      </c>
      <c r="M176" s="11" t="s">
        <v>1061</v>
      </c>
      <c r="N176" s="11" t="s">
        <v>1062</v>
      </c>
      <c r="O176" s="11" t="s">
        <v>1236</v>
      </c>
    </row>
    <row r="177">
      <c r="A177" s="11">
        <v>-22.6860446929931</v>
      </c>
      <c r="B177" s="11">
        <v>69.2089614868164</v>
      </c>
      <c r="C177" s="11" t="s">
        <v>1061</v>
      </c>
      <c r="D177" s="11" t="s">
        <v>1061</v>
      </c>
      <c r="E177" s="11" t="s">
        <v>1062</v>
      </c>
      <c r="F177" s="11" t="s">
        <v>1237</v>
      </c>
      <c r="J177" s="11">
        <v>27.4557590484619</v>
      </c>
      <c r="K177" s="11">
        <v>-4.31344652175903</v>
      </c>
      <c r="L177" s="11" t="s">
        <v>1061</v>
      </c>
      <c r="M177" s="11" t="s">
        <v>1061</v>
      </c>
      <c r="N177" s="11" t="s">
        <v>1062</v>
      </c>
      <c r="O177" s="11" t="s">
        <v>1237</v>
      </c>
    </row>
    <row r="178">
      <c r="A178" s="11">
        <v>38.996280670166</v>
      </c>
      <c r="B178" s="11">
        <v>12.27561378479</v>
      </c>
      <c r="C178" s="11" t="s">
        <v>1061</v>
      </c>
      <c r="D178" s="11" t="s">
        <v>1061</v>
      </c>
      <c r="E178" s="11" t="s">
        <v>1062</v>
      </c>
      <c r="F178" s="11" t="s">
        <v>1238</v>
      </c>
      <c r="J178" s="11">
        <v>-24.8423404693603</v>
      </c>
      <c r="K178" s="11">
        <v>11.3425006866455</v>
      </c>
      <c r="L178" s="11" t="s">
        <v>1061</v>
      </c>
      <c r="M178" s="11" t="s">
        <v>1061</v>
      </c>
      <c r="N178" s="11" t="s">
        <v>1062</v>
      </c>
      <c r="O178" s="11" t="s">
        <v>1238</v>
      </c>
    </row>
    <row r="179">
      <c r="A179" s="11">
        <v>-4.92935371398925</v>
      </c>
      <c r="B179" s="11">
        <v>20.4262008666992</v>
      </c>
      <c r="C179" s="11" t="s">
        <v>1061</v>
      </c>
      <c r="D179" s="11" t="s">
        <v>1061</v>
      </c>
      <c r="E179" s="11" t="s">
        <v>1062</v>
      </c>
      <c r="F179" s="11" t="s">
        <v>1239</v>
      </c>
      <c r="J179" s="11">
        <v>37.1253433227539</v>
      </c>
      <c r="K179" s="11">
        <v>0.185697928071022</v>
      </c>
      <c r="L179" s="11" t="s">
        <v>1061</v>
      </c>
      <c r="M179" s="11" t="s">
        <v>1061</v>
      </c>
      <c r="N179" s="11" t="s">
        <v>1062</v>
      </c>
      <c r="O179" s="11" t="s">
        <v>1239</v>
      </c>
    </row>
    <row r="180">
      <c r="A180" s="11">
        <v>16.3111591339111</v>
      </c>
      <c r="B180" s="11">
        <v>-4.87831926345825</v>
      </c>
      <c r="C180" s="11" t="s">
        <v>1061</v>
      </c>
      <c r="D180" s="11" t="s">
        <v>1061</v>
      </c>
      <c r="E180" s="11" t="s">
        <v>1062</v>
      </c>
      <c r="F180" s="11" t="s">
        <v>1240</v>
      </c>
      <c r="J180" s="11">
        <v>-4.30162811279296</v>
      </c>
      <c r="K180" s="11">
        <v>8.68943500518798</v>
      </c>
      <c r="L180" s="11" t="s">
        <v>1061</v>
      </c>
      <c r="M180" s="11" t="s">
        <v>1061</v>
      </c>
      <c r="N180" s="11" t="s">
        <v>1062</v>
      </c>
      <c r="O180" s="11" t="s">
        <v>1240</v>
      </c>
    </row>
    <row r="181">
      <c r="A181" s="11">
        <v>20.7906551361084</v>
      </c>
      <c r="B181" s="11">
        <v>24.3872947692871</v>
      </c>
      <c r="C181" s="11" t="s">
        <v>1061</v>
      </c>
      <c r="D181" s="11" t="s">
        <v>1061</v>
      </c>
      <c r="E181" s="11" t="s">
        <v>1062</v>
      </c>
      <c r="F181" s="11" t="s">
        <v>1241</v>
      </c>
      <c r="J181" s="11">
        <v>-16.2261848449707</v>
      </c>
      <c r="K181" s="11">
        <v>15.7661800384521</v>
      </c>
      <c r="L181" s="11" t="s">
        <v>1061</v>
      </c>
      <c r="M181" s="11" t="s">
        <v>1061</v>
      </c>
      <c r="N181" s="11" t="s">
        <v>1062</v>
      </c>
      <c r="O181" s="11" t="s">
        <v>1241</v>
      </c>
    </row>
    <row r="182">
      <c r="A182" s="11">
        <v>44.4119911193847</v>
      </c>
      <c r="B182" s="11">
        <v>23.8994731903076</v>
      </c>
      <c r="C182" s="11" t="s">
        <v>1061</v>
      </c>
      <c r="D182" s="11" t="s">
        <v>1061</v>
      </c>
      <c r="E182" s="11" t="s">
        <v>1062</v>
      </c>
      <c r="F182" s="11" t="s">
        <v>1242</v>
      </c>
      <c r="J182" s="11">
        <v>-32.3110656738281</v>
      </c>
      <c r="K182" s="11">
        <v>22.396915435791</v>
      </c>
      <c r="L182" s="11" t="s">
        <v>1061</v>
      </c>
      <c r="M182" s="11" t="s">
        <v>1061</v>
      </c>
      <c r="N182" s="11" t="s">
        <v>1062</v>
      </c>
      <c r="O182" s="11" t="s">
        <v>1242</v>
      </c>
    </row>
    <row r="183">
      <c r="A183" s="11">
        <v>22.6516036987304</v>
      </c>
      <c r="B183" s="11">
        <v>54.7440376281738</v>
      </c>
      <c r="C183" s="11" t="s">
        <v>1061</v>
      </c>
      <c r="D183" s="11" t="s">
        <v>1061</v>
      </c>
      <c r="E183" s="11" t="s">
        <v>1062</v>
      </c>
      <c r="F183" s="11" t="s">
        <v>1243</v>
      </c>
      <c r="J183" s="11">
        <v>-18.016222000122</v>
      </c>
      <c r="K183" s="11">
        <v>27.5901508331298</v>
      </c>
      <c r="L183" s="11" t="s">
        <v>1061</v>
      </c>
      <c r="M183" s="11" t="s">
        <v>1061</v>
      </c>
      <c r="N183" s="11" t="s">
        <v>1062</v>
      </c>
      <c r="O183" s="11" t="s">
        <v>1243</v>
      </c>
    </row>
    <row r="184">
      <c r="A184" s="11">
        <v>56.8709983825683</v>
      </c>
      <c r="B184" s="11">
        <v>12.6251201629638</v>
      </c>
      <c r="C184" s="11" t="s">
        <v>1061</v>
      </c>
      <c r="D184" s="11" t="s">
        <v>1061</v>
      </c>
      <c r="E184" s="11" t="s">
        <v>1062</v>
      </c>
      <c r="F184" s="11" t="s">
        <v>1244</v>
      </c>
      <c r="J184" s="11">
        <v>-29.6604328155517</v>
      </c>
      <c r="K184" s="11">
        <v>24.858642578125</v>
      </c>
      <c r="L184" s="11" t="s">
        <v>1061</v>
      </c>
      <c r="M184" s="11" t="s">
        <v>1061</v>
      </c>
      <c r="N184" s="11" t="s">
        <v>1062</v>
      </c>
      <c r="O184" s="11" t="s">
        <v>1244</v>
      </c>
    </row>
    <row r="185">
      <c r="A185" s="11">
        <v>-8.19656658172607</v>
      </c>
      <c r="B185" s="11">
        <v>44.4881286621093</v>
      </c>
      <c r="C185" s="11" t="s">
        <v>1061</v>
      </c>
      <c r="D185" s="11" t="s">
        <v>1061</v>
      </c>
      <c r="E185" s="11" t="s">
        <v>1062</v>
      </c>
      <c r="F185" s="11" t="s">
        <v>1245</v>
      </c>
      <c r="J185" s="11">
        <v>50.6474227905273</v>
      </c>
      <c r="K185" s="11">
        <v>-5.44191169738769</v>
      </c>
      <c r="L185" s="11" t="s">
        <v>1061</v>
      </c>
      <c r="M185" s="11" t="s">
        <v>1061</v>
      </c>
      <c r="N185" s="11" t="s">
        <v>1062</v>
      </c>
      <c r="O185" s="11" t="s">
        <v>1245</v>
      </c>
    </row>
    <row r="186">
      <c r="A186" s="11">
        <v>-22.7431774139404</v>
      </c>
      <c r="B186" s="11">
        <v>55.2046775817871</v>
      </c>
      <c r="C186" s="11" t="s">
        <v>1061</v>
      </c>
      <c r="D186" s="11" t="s">
        <v>1061</v>
      </c>
      <c r="E186" s="11" t="s">
        <v>1062</v>
      </c>
      <c r="F186" s="11" t="s">
        <v>1246</v>
      </c>
      <c r="J186" s="11">
        <v>49.593952178955</v>
      </c>
      <c r="K186" s="11">
        <v>-15.6578493118286</v>
      </c>
      <c r="L186" s="11" t="s">
        <v>1061</v>
      </c>
      <c r="M186" s="11" t="s">
        <v>1061</v>
      </c>
      <c r="N186" s="11" t="s">
        <v>1062</v>
      </c>
      <c r="O186" s="11" t="s">
        <v>1246</v>
      </c>
    </row>
    <row r="187">
      <c r="A187" s="11">
        <v>-2.95398187637329</v>
      </c>
      <c r="B187" s="11">
        <v>18.3034896850585</v>
      </c>
      <c r="C187" s="11" t="s">
        <v>1061</v>
      </c>
      <c r="D187" s="11" t="s">
        <v>1061</v>
      </c>
      <c r="E187" s="11" t="s">
        <v>1062</v>
      </c>
      <c r="F187" s="11" t="s">
        <v>1247</v>
      </c>
      <c r="J187" s="11">
        <v>54.45166015625</v>
      </c>
      <c r="K187" s="11">
        <v>-16.9172821044921</v>
      </c>
      <c r="L187" s="11" t="s">
        <v>1061</v>
      </c>
      <c r="M187" s="11" t="s">
        <v>1061</v>
      </c>
      <c r="N187" s="11" t="s">
        <v>1062</v>
      </c>
      <c r="O187" s="11" t="s">
        <v>1247</v>
      </c>
    </row>
    <row r="188">
      <c r="A188" s="11">
        <v>32.1123504638671</v>
      </c>
      <c r="B188" s="11">
        <v>26.5629863739013</v>
      </c>
      <c r="C188" s="11" t="s">
        <v>1061</v>
      </c>
      <c r="D188" s="11" t="s">
        <v>1061</v>
      </c>
      <c r="E188" s="11" t="s">
        <v>1062</v>
      </c>
      <c r="F188" s="11" t="s">
        <v>1248</v>
      </c>
      <c r="J188" s="11">
        <v>-26.6466751098632</v>
      </c>
      <c r="K188" s="11">
        <v>13.998776435852</v>
      </c>
      <c r="L188" s="11" t="s">
        <v>1061</v>
      </c>
      <c r="M188" s="11" t="s">
        <v>1061</v>
      </c>
      <c r="N188" s="11" t="s">
        <v>1062</v>
      </c>
      <c r="O188" s="11" t="s">
        <v>1248</v>
      </c>
    </row>
    <row r="189">
      <c r="A189" s="11">
        <v>-14.9233503341674</v>
      </c>
      <c r="B189" s="11">
        <v>50.9048805236816</v>
      </c>
      <c r="C189" s="11" t="s">
        <v>1061</v>
      </c>
      <c r="D189" s="11" t="s">
        <v>1061</v>
      </c>
      <c r="E189" s="11" t="s">
        <v>1062</v>
      </c>
      <c r="F189" s="11" t="s">
        <v>1249</v>
      </c>
      <c r="J189" s="11">
        <v>38.3876953125</v>
      </c>
      <c r="K189" s="11">
        <v>-14.0754213333129</v>
      </c>
      <c r="L189" s="11" t="s">
        <v>1061</v>
      </c>
      <c r="M189" s="11" t="s">
        <v>1061</v>
      </c>
      <c r="N189" s="11" t="s">
        <v>1062</v>
      </c>
      <c r="O189" s="11" t="s">
        <v>1249</v>
      </c>
    </row>
    <row r="190">
      <c r="A190" s="11">
        <v>-1.64704227447509</v>
      </c>
      <c r="B190" s="11">
        <v>28.6868019104003</v>
      </c>
      <c r="C190" s="11" t="s">
        <v>1061</v>
      </c>
      <c r="D190" s="11" t="s">
        <v>1061</v>
      </c>
      <c r="E190" s="11" t="s">
        <v>1062</v>
      </c>
      <c r="F190" s="11" t="s">
        <v>1250</v>
      </c>
      <c r="J190" s="11">
        <v>-12.4073982238769</v>
      </c>
      <c r="K190" s="11">
        <v>17.9773406982421</v>
      </c>
      <c r="L190" s="11" t="s">
        <v>1061</v>
      </c>
      <c r="M190" s="11" t="s">
        <v>1061</v>
      </c>
      <c r="N190" s="11" t="s">
        <v>1062</v>
      </c>
      <c r="O190" s="11" t="s">
        <v>1250</v>
      </c>
    </row>
    <row r="191">
      <c r="A191" s="11">
        <v>-3.80039620399475</v>
      </c>
      <c r="B191" s="11">
        <v>10.8003005981445</v>
      </c>
      <c r="C191" s="11" t="s">
        <v>1061</v>
      </c>
      <c r="D191" s="11" t="s">
        <v>1061</v>
      </c>
      <c r="E191" s="11" t="s">
        <v>1062</v>
      </c>
      <c r="F191" s="11" t="s">
        <v>1251</v>
      </c>
      <c r="J191" s="11">
        <v>-0.976743817329406</v>
      </c>
      <c r="K191" s="11">
        <v>-7.86388111114501</v>
      </c>
      <c r="L191" s="11" t="s">
        <v>1061</v>
      </c>
      <c r="M191" s="11" t="s">
        <v>1061</v>
      </c>
      <c r="N191" s="11" t="s">
        <v>1062</v>
      </c>
      <c r="O191" s="11" t="s">
        <v>1251</v>
      </c>
    </row>
    <row r="192">
      <c r="A192" s="11">
        <v>14.8620595932006</v>
      </c>
      <c r="B192" s="11">
        <v>47.317081451416</v>
      </c>
      <c r="C192" s="11" t="s">
        <v>1061</v>
      </c>
      <c r="D192" s="11" t="s">
        <v>1061</v>
      </c>
      <c r="E192" s="11" t="s">
        <v>1062</v>
      </c>
      <c r="F192" s="11" t="s">
        <v>1252</v>
      </c>
      <c r="J192" s="11">
        <v>5.69724893569946</v>
      </c>
      <c r="K192" s="11">
        <v>11.8513069152832</v>
      </c>
      <c r="L192" s="11" t="s">
        <v>1061</v>
      </c>
      <c r="M192" s="11" t="s">
        <v>1061</v>
      </c>
      <c r="N192" s="11" t="s">
        <v>1062</v>
      </c>
      <c r="O192" s="11" t="s">
        <v>1252</v>
      </c>
    </row>
    <row r="193">
      <c r="A193" s="11">
        <v>1.7720558643341</v>
      </c>
      <c r="B193" s="11">
        <v>14.3084735870361</v>
      </c>
      <c r="C193" s="11" t="s">
        <v>1061</v>
      </c>
      <c r="D193" s="11" t="s">
        <v>1061</v>
      </c>
      <c r="E193" s="11" t="s">
        <v>1062</v>
      </c>
      <c r="F193" s="11" t="s">
        <v>1253</v>
      </c>
      <c r="J193" s="11">
        <v>-23.4762458801269</v>
      </c>
      <c r="K193" s="11">
        <v>19.7150173187255</v>
      </c>
      <c r="L193" s="11" t="s">
        <v>1061</v>
      </c>
      <c r="M193" s="11" t="s">
        <v>1061</v>
      </c>
      <c r="N193" s="11" t="s">
        <v>1062</v>
      </c>
      <c r="O193" s="11" t="s">
        <v>1253</v>
      </c>
    </row>
    <row r="194">
      <c r="A194" s="11">
        <v>-4.69170236587524</v>
      </c>
      <c r="B194" s="11">
        <v>60.6937026977539</v>
      </c>
      <c r="C194" s="11" t="s">
        <v>1061</v>
      </c>
      <c r="D194" s="11" t="s">
        <v>1061</v>
      </c>
      <c r="E194" s="11" t="s">
        <v>1062</v>
      </c>
      <c r="F194" s="11" t="s">
        <v>1254</v>
      </c>
      <c r="J194" s="11">
        <v>34.9143447875976</v>
      </c>
      <c r="K194" s="11">
        <v>-6.89185428619384</v>
      </c>
      <c r="L194" s="11" t="s">
        <v>1061</v>
      </c>
      <c r="M194" s="11" t="s">
        <v>1061</v>
      </c>
      <c r="N194" s="11" t="s">
        <v>1062</v>
      </c>
      <c r="O194" s="11" t="s">
        <v>1254</v>
      </c>
    </row>
    <row r="195">
      <c r="A195" s="11">
        <v>57.5719909667968</v>
      </c>
      <c r="B195" s="11">
        <v>12.691572189331</v>
      </c>
      <c r="C195" s="11" t="s">
        <v>1061</v>
      </c>
      <c r="D195" s="11" t="s">
        <v>1061</v>
      </c>
      <c r="E195" s="11" t="s">
        <v>1062</v>
      </c>
      <c r="F195" s="11" t="s">
        <v>1255</v>
      </c>
      <c r="J195" s="11">
        <v>-30.7182273864746</v>
      </c>
      <c r="K195" s="11">
        <v>25.4111824035644</v>
      </c>
      <c r="L195" s="11" t="s">
        <v>1061</v>
      </c>
      <c r="M195" s="11" t="s">
        <v>1061</v>
      </c>
      <c r="N195" s="11" t="s">
        <v>1062</v>
      </c>
      <c r="O195" s="11" t="s">
        <v>1255</v>
      </c>
    </row>
    <row r="196">
      <c r="A196" s="11">
        <v>-0.159494742751121</v>
      </c>
      <c r="B196" s="11">
        <v>16.4464931488037</v>
      </c>
      <c r="C196" s="11" t="s">
        <v>1061</v>
      </c>
      <c r="D196" s="11" t="s">
        <v>1061</v>
      </c>
      <c r="E196" s="11" t="s">
        <v>1062</v>
      </c>
      <c r="F196" s="11" t="s">
        <v>1256</v>
      </c>
      <c r="J196" s="11">
        <v>55.2100791931152</v>
      </c>
      <c r="K196" s="11">
        <v>-19.0720558166503</v>
      </c>
      <c r="L196" s="11" t="s">
        <v>1061</v>
      </c>
      <c r="M196" s="11" t="s">
        <v>1061</v>
      </c>
      <c r="N196" s="11" t="s">
        <v>1062</v>
      </c>
      <c r="O196" s="11" t="s">
        <v>1256</v>
      </c>
    </row>
    <row r="197">
      <c r="A197" s="11">
        <v>12.9228496551513</v>
      </c>
      <c r="B197" s="11">
        <v>4.46584415435791</v>
      </c>
      <c r="C197" s="11" t="s">
        <v>1061</v>
      </c>
      <c r="D197" s="11" t="s">
        <v>1061</v>
      </c>
      <c r="E197" s="11" t="s">
        <v>1062</v>
      </c>
      <c r="F197" s="11" t="s">
        <v>1257</v>
      </c>
      <c r="J197" s="11">
        <v>-29.499189376831</v>
      </c>
      <c r="K197" s="11">
        <v>16.7598705291748</v>
      </c>
      <c r="L197" s="11" t="s">
        <v>1061</v>
      </c>
      <c r="M197" s="11" t="s">
        <v>1061</v>
      </c>
      <c r="N197" s="11" t="s">
        <v>1062</v>
      </c>
      <c r="O197" s="11" t="s">
        <v>1257</v>
      </c>
    </row>
    <row r="198">
      <c r="A198" s="11">
        <v>83.7941360473632</v>
      </c>
      <c r="B198" s="11">
        <v>-14.8437700271606</v>
      </c>
      <c r="C198" s="11" t="s">
        <v>1061</v>
      </c>
      <c r="D198" s="11" t="s">
        <v>1061</v>
      </c>
      <c r="E198" s="11" t="s">
        <v>1062</v>
      </c>
      <c r="F198" s="11" t="s">
        <v>1258</v>
      </c>
      <c r="J198" s="11">
        <v>-37.2085800170898</v>
      </c>
      <c r="K198" s="11">
        <v>30.6907062530517</v>
      </c>
      <c r="L198" s="11" t="s">
        <v>1061</v>
      </c>
      <c r="M198" s="11" t="s">
        <v>1061</v>
      </c>
      <c r="N198" s="11" t="s">
        <v>1062</v>
      </c>
      <c r="O198" s="11" t="s">
        <v>1258</v>
      </c>
    </row>
    <row r="199">
      <c r="A199" s="11">
        <v>8.66108512878418</v>
      </c>
      <c r="B199" s="11">
        <v>37.4271240234375</v>
      </c>
      <c r="C199" s="11" t="s">
        <v>1061</v>
      </c>
      <c r="D199" s="11" t="s">
        <v>1061</v>
      </c>
      <c r="E199" s="11" t="s">
        <v>1062</v>
      </c>
      <c r="F199" s="11" t="s">
        <v>1259</v>
      </c>
      <c r="J199" s="11">
        <v>-11.9494276046752</v>
      </c>
      <c r="K199" s="11">
        <v>14.357325553894</v>
      </c>
      <c r="L199" s="11" t="s">
        <v>1061</v>
      </c>
      <c r="M199" s="11" t="s">
        <v>1061</v>
      </c>
      <c r="N199" s="11" t="s">
        <v>1062</v>
      </c>
      <c r="O199" s="11" t="s">
        <v>1259</v>
      </c>
    </row>
    <row r="200">
      <c r="A200" s="11">
        <v>17.2109069824218</v>
      </c>
      <c r="B200" s="11">
        <v>55.137825012207</v>
      </c>
      <c r="C200" s="11" t="s">
        <v>1061</v>
      </c>
      <c r="D200" s="11" t="s">
        <v>1061</v>
      </c>
      <c r="E200" s="11" t="s">
        <v>1062</v>
      </c>
      <c r="F200" s="11" t="s">
        <v>1260</v>
      </c>
      <c r="J200" s="11">
        <v>-15.4347867965698</v>
      </c>
      <c r="K200" s="11">
        <v>32.010196685791</v>
      </c>
      <c r="L200" s="11" t="s">
        <v>1061</v>
      </c>
      <c r="M200" s="11" t="s">
        <v>1061</v>
      </c>
      <c r="N200" s="11" t="s">
        <v>1062</v>
      </c>
      <c r="O200" s="11" t="s">
        <v>1260</v>
      </c>
    </row>
    <row r="201">
      <c r="A201" s="11">
        <v>57.5719909667968</v>
      </c>
      <c r="B201" s="11">
        <v>12.691572189331</v>
      </c>
      <c r="C201" s="11" t="s">
        <v>1061</v>
      </c>
      <c r="D201" s="11" t="s">
        <v>1061</v>
      </c>
      <c r="E201" s="11" t="s">
        <v>1062</v>
      </c>
      <c r="F201" s="11" t="s">
        <v>1261</v>
      </c>
      <c r="J201" s="11">
        <v>-30.7181148529052</v>
      </c>
      <c r="K201" s="11">
        <v>25.4175777435302</v>
      </c>
      <c r="L201" s="11" t="s">
        <v>1061</v>
      </c>
      <c r="M201" s="11" t="s">
        <v>1061</v>
      </c>
      <c r="N201" s="11" t="s">
        <v>1062</v>
      </c>
      <c r="O201" s="11" t="s">
        <v>1261</v>
      </c>
    </row>
    <row r="202">
      <c r="A202" s="11">
        <v>51.5538330078125</v>
      </c>
      <c r="B202" s="11">
        <v>14.4153747558593</v>
      </c>
      <c r="C202" s="11" t="s">
        <v>1061</v>
      </c>
      <c r="D202" s="11" t="s">
        <v>1061</v>
      </c>
      <c r="E202" s="11" t="s">
        <v>1062</v>
      </c>
      <c r="F202" s="11" t="s">
        <v>1262</v>
      </c>
      <c r="J202" s="11">
        <v>-29.2851219177246</v>
      </c>
      <c r="K202" s="11">
        <v>22.908634185791</v>
      </c>
      <c r="L202" s="11" t="s">
        <v>1061</v>
      </c>
      <c r="M202" s="11" t="s">
        <v>1061</v>
      </c>
      <c r="N202" s="11" t="s">
        <v>1062</v>
      </c>
      <c r="O202" s="11" t="s">
        <v>1262</v>
      </c>
    </row>
    <row r="203">
      <c r="A203" s="11">
        <v>-5.65697431564331</v>
      </c>
      <c r="B203" s="11">
        <v>16.5355567932128</v>
      </c>
      <c r="C203" s="11" t="s">
        <v>1061</v>
      </c>
      <c r="D203" s="11" t="s">
        <v>1061</v>
      </c>
      <c r="E203" s="11" t="s">
        <v>1062</v>
      </c>
      <c r="F203" s="11" t="s">
        <v>1263</v>
      </c>
      <c r="J203" s="11">
        <v>48.3922729492187</v>
      </c>
      <c r="K203" s="11">
        <v>-19.8598194122314</v>
      </c>
      <c r="L203" s="11" t="s">
        <v>1061</v>
      </c>
      <c r="M203" s="11" t="s">
        <v>1061</v>
      </c>
      <c r="N203" s="11" t="s">
        <v>1062</v>
      </c>
      <c r="O203" s="11" t="s">
        <v>1263</v>
      </c>
    </row>
    <row r="204">
      <c r="A204" s="11">
        <v>9.45714569091796</v>
      </c>
      <c r="B204" s="11">
        <v>44.1894493103027</v>
      </c>
      <c r="C204" s="11" t="s">
        <v>1061</v>
      </c>
      <c r="D204" s="11" t="s">
        <v>1061</v>
      </c>
      <c r="E204" s="11" t="s">
        <v>1062</v>
      </c>
      <c r="F204" s="11" t="s">
        <v>1264</v>
      </c>
      <c r="J204" s="11">
        <v>-14.0649242401123</v>
      </c>
      <c r="K204" s="11">
        <v>-3.22625160217285</v>
      </c>
      <c r="L204" s="11" t="s">
        <v>1061</v>
      </c>
      <c r="M204" s="11" t="s">
        <v>1061</v>
      </c>
      <c r="N204" s="11" t="s">
        <v>1062</v>
      </c>
      <c r="O204" s="11" t="s">
        <v>1264</v>
      </c>
    </row>
    <row r="205">
      <c r="A205" s="11">
        <v>11.5140485763549</v>
      </c>
      <c r="B205" s="11">
        <v>11.0619134902954</v>
      </c>
      <c r="C205" s="11" t="s">
        <v>1061</v>
      </c>
      <c r="D205" s="11" t="s">
        <v>1061</v>
      </c>
      <c r="E205" s="11" t="s">
        <v>1062</v>
      </c>
      <c r="F205" s="11" t="s">
        <v>1265</v>
      </c>
      <c r="J205" s="11">
        <v>-23.0483417510986</v>
      </c>
      <c r="K205" s="11">
        <v>-0.2015360891819</v>
      </c>
      <c r="L205" s="11" t="s">
        <v>1061</v>
      </c>
      <c r="M205" s="11" t="s">
        <v>1061</v>
      </c>
      <c r="N205" s="11" t="s">
        <v>1062</v>
      </c>
      <c r="O205" s="11" t="s">
        <v>1265</v>
      </c>
    </row>
    <row r="206">
      <c r="A206" s="11">
        <v>42.1879119873046</v>
      </c>
      <c r="B206" s="11">
        <v>17.6425323486328</v>
      </c>
      <c r="C206" s="11" t="s">
        <v>1061</v>
      </c>
      <c r="D206" s="11" t="s">
        <v>1061</v>
      </c>
      <c r="E206" s="11" t="s">
        <v>1062</v>
      </c>
      <c r="F206" s="11" t="s">
        <v>1266</v>
      </c>
      <c r="J206" s="11">
        <v>-24.8858699798584</v>
      </c>
      <c r="K206" s="11">
        <v>26.8195304870605</v>
      </c>
      <c r="L206" s="11" t="s">
        <v>1061</v>
      </c>
      <c r="M206" s="11" t="s">
        <v>1061</v>
      </c>
      <c r="N206" s="11" t="s">
        <v>1062</v>
      </c>
      <c r="O206" s="11" t="s">
        <v>1266</v>
      </c>
    </row>
    <row r="207">
      <c r="A207" s="11">
        <v>0.260282188653945</v>
      </c>
      <c r="B207" s="11">
        <v>10.8380336761474</v>
      </c>
      <c r="C207" s="11" t="s">
        <v>1061</v>
      </c>
      <c r="D207" s="11" t="s">
        <v>1061</v>
      </c>
      <c r="E207" s="11" t="s">
        <v>1062</v>
      </c>
      <c r="F207" s="11" t="s">
        <v>1267</v>
      </c>
      <c r="J207" s="11">
        <v>0.373024255037307</v>
      </c>
      <c r="K207" s="11">
        <v>9.93168449401855</v>
      </c>
      <c r="L207" s="11" t="s">
        <v>1061</v>
      </c>
      <c r="M207" s="11" t="s">
        <v>1061</v>
      </c>
      <c r="N207" s="11" t="s">
        <v>1062</v>
      </c>
      <c r="O207" s="11" t="s">
        <v>1267</v>
      </c>
    </row>
    <row r="208">
      <c r="A208" s="11">
        <v>46.3579444885253</v>
      </c>
      <c r="B208" s="11">
        <v>14.5709705352783</v>
      </c>
      <c r="C208" s="11" t="s">
        <v>1061</v>
      </c>
      <c r="D208" s="11" t="s">
        <v>1061</v>
      </c>
      <c r="E208" s="11" t="s">
        <v>1062</v>
      </c>
      <c r="F208" s="11" t="s">
        <v>1268</v>
      </c>
      <c r="J208" s="11">
        <v>-28.1244297027587</v>
      </c>
      <c r="K208" s="11">
        <v>28.944480895996</v>
      </c>
      <c r="L208" s="11" t="s">
        <v>1061</v>
      </c>
      <c r="M208" s="11" t="s">
        <v>1061</v>
      </c>
      <c r="N208" s="11" t="s">
        <v>1062</v>
      </c>
      <c r="O208" s="11" t="s">
        <v>1268</v>
      </c>
    </row>
    <row r="209">
      <c r="A209" s="11">
        <v>36.002758026123</v>
      </c>
      <c r="B209" s="11">
        <v>29.5991668701171</v>
      </c>
      <c r="C209" s="11" t="s">
        <v>1061</v>
      </c>
      <c r="D209" s="11" t="s">
        <v>1061</v>
      </c>
      <c r="E209" s="11" t="s">
        <v>1062</v>
      </c>
      <c r="F209" s="11" t="s">
        <v>1269</v>
      </c>
      <c r="J209" s="11">
        <v>-9.60969448089599</v>
      </c>
      <c r="K209" s="11">
        <v>33.2275924682617</v>
      </c>
      <c r="L209" s="11" t="s">
        <v>1061</v>
      </c>
      <c r="M209" s="11" t="s">
        <v>1061</v>
      </c>
      <c r="N209" s="11" t="s">
        <v>1062</v>
      </c>
      <c r="O209" s="11" t="s">
        <v>1269</v>
      </c>
    </row>
    <row r="210">
      <c r="A210" s="11">
        <v>2.57732367515563</v>
      </c>
      <c r="B210" s="11">
        <v>9.12212467193603</v>
      </c>
      <c r="C210" s="11" t="s">
        <v>1061</v>
      </c>
      <c r="D210" s="11" t="s">
        <v>1061</v>
      </c>
      <c r="E210" s="11" t="s">
        <v>1062</v>
      </c>
      <c r="F210" s="11" t="s">
        <v>1270</v>
      </c>
      <c r="J210" s="11">
        <v>-19.7144584655761</v>
      </c>
      <c r="K210" s="11">
        <v>-2.2094657421112</v>
      </c>
      <c r="L210" s="11" t="s">
        <v>1061</v>
      </c>
      <c r="M210" s="11" t="s">
        <v>1061</v>
      </c>
      <c r="N210" s="11" t="s">
        <v>1062</v>
      </c>
      <c r="O210" s="11" t="s">
        <v>1270</v>
      </c>
    </row>
    <row r="211">
      <c r="A211" s="11">
        <v>45.4944152832031</v>
      </c>
      <c r="B211" s="11">
        <v>23.9071769714355</v>
      </c>
      <c r="C211" s="11" t="s">
        <v>1061</v>
      </c>
      <c r="D211" s="11" t="s">
        <v>1061</v>
      </c>
      <c r="E211" s="11" t="s">
        <v>1062</v>
      </c>
      <c r="F211" s="11" t="s">
        <v>1271</v>
      </c>
      <c r="J211" s="11">
        <v>-32.7564620971679</v>
      </c>
      <c r="K211" s="11">
        <v>21.7367095947265</v>
      </c>
      <c r="L211" s="11" t="s">
        <v>1061</v>
      </c>
      <c r="M211" s="11" t="s">
        <v>1061</v>
      </c>
      <c r="N211" s="11" t="s">
        <v>1062</v>
      </c>
      <c r="O211" s="11" t="s">
        <v>1271</v>
      </c>
    </row>
    <row r="212">
      <c r="A212" s="11">
        <v>51.8217315673828</v>
      </c>
      <c r="B212" s="11">
        <v>14.5815277099609</v>
      </c>
      <c r="C212" s="11" t="s">
        <v>1061</v>
      </c>
      <c r="D212" s="11" t="s">
        <v>1061</v>
      </c>
      <c r="E212" s="11" t="s">
        <v>1062</v>
      </c>
      <c r="F212" s="11" t="s">
        <v>1272</v>
      </c>
      <c r="J212" s="11">
        <v>-29.5834331512451</v>
      </c>
      <c r="K212" s="11">
        <v>22.8766040802001</v>
      </c>
      <c r="L212" s="11" t="s">
        <v>1061</v>
      </c>
      <c r="M212" s="11" t="s">
        <v>1061</v>
      </c>
      <c r="N212" s="11" t="s">
        <v>1062</v>
      </c>
      <c r="O212" s="11" t="s">
        <v>1272</v>
      </c>
    </row>
    <row r="213">
      <c r="A213" s="11">
        <v>16.9749851226806</v>
      </c>
      <c r="B213" s="11">
        <v>0.651163876056671</v>
      </c>
      <c r="C213" s="11" t="s">
        <v>1061</v>
      </c>
      <c r="D213" s="11" t="s">
        <v>1061</v>
      </c>
      <c r="E213" s="11" t="s">
        <v>1062</v>
      </c>
      <c r="F213" s="11" t="s">
        <v>1273</v>
      </c>
      <c r="J213" s="11">
        <v>-11.5206460952758</v>
      </c>
      <c r="K213" s="11">
        <v>25.1914730072021</v>
      </c>
      <c r="L213" s="11" t="s">
        <v>1061</v>
      </c>
      <c r="M213" s="11" t="s">
        <v>1061</v>
      </c>
      <c r="N213" s="11" t="s">
        <v>1062</v>
      </c>
      <c r="O213" s="11" t="s">
        <v>1273</v>
      </c>
    </row>
    <row r="214">
      <c r="A214" s="11">
        <v>38.3379096984863</v>
      </c>
      <c r="B214" s="11">
        <v>24.7251777648925</v>
      </c>
      <c r="C214" s="11" t="s">
        <v>1061</v>
      </c>
      <c r="D214" s="11" t="s">
        <v>1061</v>
      </c>
      <c r="E214" s="11" t="s">
        <v>1062</v>
      </c>
      <c r="F214" s="11" t="s">
        <v>1274</v>
      </c>
      <c r="J214" s="11">
        <v>-27.9340362548828</v>
      </c>
      <c r="K214" s="11">
        <v>10.2506256103515</v>
      </c>
      <c r="L214" s="11" t="s">
        <v>1061</v>
      </c>
      <c r="M214" s="11" t="s">
        <v>1061</v>
      </c>
      <c r="N214" s="11" t="s">
        <v>1062</v>
      </c>
      <c r="O214" s="11" t="s">
        <v>1274</v>
      </c>
    </row>
    <row r="215">
      <c r="A215" s="11">
        <v>-14.87841796875</v>
      </c>
      <c r="B215" s="11">
        <v>-2.0850224494934</v>
      </c>
      <c r="C215" s="11" t="s">
        <v>1061</v>
      </c>
      <c r="D215" s="11" t="s">
        <v>1061</v>
      </c>
      <c r="E215" s="11" t="s">
        <v>1062</v>
      </c>
      <c r="F215" s="11" t="s">
        <v>1275</v>
      </c>
      <c r="J215" s="11">
        <v>-9.89955043792724</v>
      </c>
      <c r="K215" s="11">
        <v>-7.58747386932373</v>
      </c>
      <c r="L215" s="11" t="s">
        <v>1061</v>
      </c>
      <c r="M215" s="11" t="s">
        <v>1061</v>
      </c>
      <c r="N215" s="11" t="s">
        <v>1062</v>
      </c>
      <c r="O215" s="11" t="s">
        <v>1275</v>
      </c>
    </row>
    <row r="216">
      <c r="A216" s="11">
        <v>17.4869499206542</v>
      </c>
      <c r="B216" s="11">
        <v>21.2769737243652</v>
      </c>
      <c r="C216" s="11" t="s">
        <v>1061</v>
      </c>
      <c r="D216" s="11" t="s">
        <v>1061</v>
      </c>
      <c r="E216" s="11" t="s">
        <v>1062</v>
      </c>
      <c r="F216" s="11" t="s">
        <v>1276</v>
      </c>
      <c r="J216" s="11">
        <v>-4.80484676361084</v>
      </c>
      <c r="K216" s="11">
        <v>30.6726646423339</v>
      </c>
      <c r="L216" s="11" t="s">
        <v>1061</v>
      </c>
      <c r="M216" s="11" t="s">
        <v>1061</v>
      </c>
      <c r="N216" s="11" t="s">
        <v>1062</v>
      </c>
      <c r="O216" s="11" t="s">
        <v>1276</v>
      </c>
    </row>
    <row r="217">
      <c r="A217" s="11">
        <v>83.0661239624023</v>
      </c>
      <c r="B217" s="11">
        <v>-16.5959777832031</v>
      </c>
      <c r="C217" s="11" t="s">
        <v>1061</v>
      </c>
      <c r="D217" s="11" t="s">
        <v>1061</v>
      </c>
      <c r="E217" s="11" t="s">
        <v>1062</v>
      </c>
      <c r="F217" s="11" t="s">
        <v>1277</v>
      </c>
      <c r="J217" s="11">
        <v>-35.6749763488769</v>
      </c>
      <c r="K217" s="11">
        <v>30.1210308074951</v>
      </c>
      <c r="L217" s="11" t="s">
        <v>1061</v>
      </c>
      <c r="M217" s="11" t="s">
        <v>1061</v>
      </c>
      <c r="N217" s="11" t="s">
        <v>1062</v>
      </c>
      <c r="O217" s="11" t="s">
        <v>1277</v>
      </c>
    </row>
    <row r="218">
      <c r="A218" s="11">
        <v>64.7237930297851</v>
      </c>
      <c r="B218" s="11">
        <v>14.4317760467529</v>
      </c>
      <c r="C218" s="11" t="s">
        <v>1061</v>
      </c>
      <c r="D218" s="11" t="s">
        <v>1061</v>
      </c>
      <c r="E218" s="11" t="s">
        <v>1062</v>
      </c>
      <c r="F218" s="11" t="s">
        <v>1278</v>
      </c>
      <c r="J218" s="11">
        <v>-28.2526893615722</v>
      </c>
      <c r="K218" s="11">
        <v>27.2774543762207</v>
      </c>
      <c r="L218" s="11" t="s">
        <v>1061</v>
      </c>
      <c r="M218" s="11" t="s">
        <v>1061</v>
      </c>
      <c r="N218" s="11" t="s">
        <v>1062</v>
      </c>
      <c r="O218" s="11" t="s">
        <v>1278</v>
      </c>
    </row>
    <row r="219">
      <c r="A219" s="11">
        <v>-6.08321523666381</v>
      </c>
      <c r="B219" s="11">
        <v>37.7507514953613</v>
      </c>
      <c r="C219" s="11" t="s">
        <v>1061</v>
      </c>
      <c r="D219" s="11" t="s">
        <v>1061</v>
      </c>
      <c r="E219" s="11" t="s">
        <v>1062</v>
      </c>
      <c r="F219" s="11" t="s">
        <v>1279</v>
      </c>
      <c r="J219" s="11">
        <v>47.4824409484863</v>
      </c>
      <c r="K219" s="11">
        <v>2.03913378715515</v>
      </c>
      <c r="L219" s="11" t="s">
        <v>1061</v>
      </c>
      <c r="M219" s="11" t="s">
        <v>1061</v>
      </c>
      <c r="N219" s="11" t="s">
        <v>1062</v>
      </c>
      <c r="O219" s="11" t="s">
        <v>1279</v>
      </c>
    </row>
    <row r="220">
      <c r="A220" s="11">
        <v>-8.06780910491943</v>
      </c>
      <c r="B220" s="11">
        <v>37.9803962707519</v>
      </c>
      <c r="C220" s="11" t="s">
        <v>1061</v>
      </c>
      <c r="D220" s="11" t="s">
        <v>1061</v>
      </c>
      <c r="E220" s="11" t="s">
        <v>1062</v>
      </c>
      <c r="F220" s="11" t="s">
        <v>1280</v>
      </c>
      <c r="J220" s="11">
        <v>44.3278465270996</v>
      </c>
      <c r="K220" s="11">
        <v>3.29098415374755</v>
      </c>
      <c r="L220" s="11" t="s">
        <v>1061</v>
      </c>
      <c r="M220" s="11" t="s">
        <v>1061</v>
      </c>
      <c r="N220" s="11" t="s">
        <v>1062</v>
      </c>
      <c r="O220" s="11" t="s">
        <v>1280</v>
      </c>
    </row>
    <row r="221">
      <c r="A221" s="11">
        <v>-31.9368629455566</v>
      </c>
      <c r="B221" s="11">
        <v>1.71597397327423</v>
      </c>
      <c r="C221" s="11" t="s">
        <v>1061</v>
      </c>
      <c r="D221" s="11" t="s">
        <v>1061</v>
      </c>
      <c r="E221" s="11" t="s">
        <v>1062</v>
      </c>
      <c r="F221" s="11" t="s">
        <v>1281</v>
      </c>
      <c r="J221" s="11">
        <v>25.3997478485107</v>
      </c>
      <c r="K221" s="11">
        <v>0.517645359039306</v>
      </c>
      <c r="L221" s="11" t="s">
        <v>1061</v>
      </c>
      <c r="M221" s="11" t="s">
        <v>1061</v>
      </c>
      <c r="N221" s="11" t="s">
        <v>1062</v>
      </c>
      <c r="O221" s="11" t="s">
        <v>1281</v>
      </c>
    </row>
    <row r="222">
      <c r="A222" s="11">
        <v>2.14214372634887</v>
      </c>
      <c r="B222" s="11">
        <v>43.1873664855957</v>
      </c>
      <c r="C222" s="11" t="s">
        <v>1061</v>
      </c>
      <c r="D222" s="11" t="s">
        <v>1061</v>
      </c>
      <c r="E222" s="11" t="s">
        <v>1062</v>
      </c>
      <c r="F222" s="11" t="s">
        <v>1282</v>
      </c>
      <c r="J222" s="11">
        <v>-1.25684368610382</v>
      </c>
      <c r="K222" s="11">
        <v>18.1001796722412</v>
      </c>
      <c r="L222" s="11" t="s">
        <v>1061</v>
      </c>
      <c r="M222" s="11" t="s">
        <v>1061</v>
      </c>
      <c r="N222" s="11" t="s">
        <v>1062</v>
      </c>
      <c r="O222" s="11" t="s">
        <v>1282</v>
      </c>
    </row>
    <row r="223">
      <c r="A223" s="11">
        <v>16.5604820251464</v>
      </c>
      <c r="B223" s="11">
        <v>-4.27313518524169</v>
      </c>
      <c r="C223" s="11" t="s">
        <v>1061</v>
      </c>
      <c r="D223" s="11" t="s">
        <v>1061</v>
      </c>
      <c r="E223" s="11" t="s">
        <v>1062</v>
      </c>
      <c r="F223" s="11" t="s">
        <v>1283</v>
      </c>
      <c r="J223" s="11">
        <v>-4.30162811279296</v>
      </c>
      <c r="K223" s="11">
        <v>8.68943500518798</v>
      </c>
      <c r="L223" s="11" t="s">
        <v>1061</v>
      </c>
      <c r="M223" s="11" t="s">
        <v>1061</v>
      </c>
      <c r="N223" s="11" t="s">
        <v>1062</v>
      </c>
      <c r="O223" s="11" t="s">
        <v>1283</v>
      </c>
    </row>
    <row r="224">
      <c r="A224" s="11">
        <v>9.45714569091796</v>
      </c>
      <c r="B224" s="11">
        <v>44.1894493103027</v>
      </c>
      <c r="C224" s="11" t="s">
        <v>1061</v>
      </c>
      <c r="D224" s="11" t="s">
        <v>1061</v>
      </c>
      <c r="E224" s="11" t="s">
        <v>1062</v>
      </c>
      <c r="F224" s="11" t="s">
        <v>1284</v>
      </c>
      <c r="J224" s="11">
        <v>-14.4368886947631</v>
      </c>
      <c r="K224" s="11">
        <v>-2.79243206977844</v>
      </c>
      <c r="L224" s="11" t="s">
        <v>1061</v>
      </c>
      <c r="M224" s="11" t="s">
        <v>1061</v>
      </c>
      <c r="N224" s="11" t="s">
        <v>1062</v>
      </c>
      <c r="O224" s="11" t="s">
        <v>1284</v>
      </c>
    </row>
    <row r="225">
      <c r="A225" s="11">
        <v>4.14668035507202</v>
      </c>
      <c r="B225" s="11">
        <v>27.8594398498535</v>
      </c>
      <c r="C225" s="11" t="s">
        <v>1061</v>
      </c>
      <c r="D225" s="11" t="s">
        <v>1061</v>
      </c>
      <c r="E225" s="11" t="s">
        <v>1062</v>
      </c>
      <c r="F225" s="11" t="s">
        <v>1285</v>
      </c>
      <c r="J225" s="11">
        <v>1.92620587348937</v>
      </c>
      <c r="K225" s="11">
        <v>-1.60621535778045</v>
      </c>
      <c r="L225" s="11" t="s">
        <v>1061</v>
      </c>
      <c r="M225" s="11" t="s">
        <v>1061</v>
      </c>
      <c r="N225" s="11" t="s">
        <v>1062</v>
      </c>
      <c r="O225" s="11" t="s">
        <v>1285</v>
      </c>
    </row>
    <row r="226">
      <c r="A226" s="11">
        <v>-3.7152771949768</v>
      </c>
      <c r="B226" s="11">
        <v>48.1878280639648</v>
      </c>
      <c r="C226" s="11" t="s">
        <v>1061</v>
      </c>
      <c r="D226" s="11" t="s">
        <v>1061</v>
      </c>
      <c r="E226" s="11" t="s">
        <v>1062</v>
      </c>
      <c r="F226" s="11" t="s">
        <v>1286</v>
      </c>
      <c r="J226" s="11">
        <v>33.6289901733398</v>
      </c>
      <c r="K226" s="11">
        <v>6.19868183135986</v>
      </c>
      <c r="L226" s="11" t="s">
        <v>1061</v>
      </c>
      <c r="M226" s="11" t="s">
        <v>1061</v>
      </c>
      <c r="N226" s="11" t="s">
        <v>1062</v>
      </c>
      <c r="O226" s="11" t="s">
        <v>1286</v>
      </c>
    </row>
    <row r="227">
      <c r="A227" s="11">
        <v>-22.7431774139404</v>
      </c>
      <c r="B227" s="11">
        <v>55.2046775817871</v>
      </c>
      <c r="C227" s="11" t="s">
        <v>1061</v>
      </c>
      <c r="D227" s="11" t="s">
        <v>1061</v>
      </c>
      <c r="E227" s="11" t="s">
        <v>1062</v>
      </c>
      <c r="F227" s="11" t="s">
        <v>1287</v>
      </c>
      <c r="J227" s="11">
        <v>49.593952178955</v>
      </c>
      <c r="K227" s="11">
        <v>-15.6578493118286</v>
      </c>
      <c r="L227" s="11" t="s">
        <v>1061</v>
      </c>
      <c r="M227" s="11" t="s">
        <v>1061</v>
      </c>
      <c r="N227" s="11" t="s">
        <v>1062</v>
      </c>
      <c r="O227" s="11" t="s">
        <v>1287</v>
      </c>
    </row>
    <row r="228">
      <c r="A228" s="11">
        <v>22.6516036987304</v>
      </c>
      <c r="B228" s="11">
        <v>54.7440376281738</v>
      </c>
      <c r="C228" s="11" t="s">
        <v>1061</v>
      </c>
      <c r="D228" s="11" t="s">
        <v>1061</v>
      </c>
      <c r="E228" s="11" t="s">
        <v>1062</v>
      </c>
      <c r="F228" s="11" t="s">
        <v>1288</v>
      </c>
      <c r="J228" s="11">
        <v>-18.0164489746093</v>
      </c>
      <c r="K228" s="11">
        <v>27.5910320281982</v>
      </c>
      <c r="L228" s="11" t="s">
        <v>1061</v>
      </c>
      <c r="M228" s="11" t="s">
        <v>1061</v>
      </c>
      <c r="N228" s="11" t="s">
        <v>1062</v>
      </c>
      <c r="O228" s="11" t="s">
        <v>1288</v>
      </c>
    </row>
    <row r="229">
      <c r="A229" s="11">
        <v>41.4625549316406</v>
      </c>
      <c r="B229" s="11">
        <v>17.7085514068603</v>
      </c>
      <c r="C229" s="11" t="s">
        <v>1061</v>
      </c>
      <c r="D229" s="11" t="s">
        <v>1061</v>
      </c>
      <c r="E229" s="11" t="s">
        <v>1062</v>
      </c>
      <c r="F229" s="11" t="s">
        <v>1289</v>
      </c>
      <c r="J229" s="11">
        <v>-23.1273326873779</v>
      </c>
      <c r="K229" s="11">
        <v>27.0072383880615</v>
      </c>
      <c r="L229" s="11" t="s">
        <v>1061</v>
      </c>
      <c r="M229" s="11" t="s">
        <v>1061</v>
      </c>
      <c r="N229" s="11" t="s">
        <v>1062</v>
      </c>
      <c r="O229" s="11" t="s">
        <v>1289</v>
      </c>
    </row>
    <row r="230">
      <c r="A230" s="11">
        <v>0.27108871936798</v>
      </c>
      <c r="B230" s="11">
        <v>25.6748847961425</v>
      </c>
      <c r="C230" s="11" t="s">
        <v>1061</v>
      </c>
      <c r="D230" s="11" t="s">
        <v>1061</v>
      </c>
      <c r="E230" s="11" t="s">
        <v>1062</v>
      </c>
      <c r="F230" s="11" t="s">
        <v>1290</v>
      </c>
      <c r="J230" s="11">
        <v>-1.56571793556213</v>
      </c>
      <c r="K230" s="11">
        <v>2.41308426856994</v>
      </c>
      <c r="L230" s="11" t="s">
        <v>1061</v>
      </c>
      <c r="M230" s="11" t="s">
        <v>1061</v>
      </c>
      <c r="N230" s="11" t="s">
        <v>1062</v>
      </c>
      <c r="O230" s="11" t="s">
        <v>1290</v>
      </c>
    </row>
    <row r="231">
      <c r="A231" s="11">
        <v>3.47831678390502</v>
      </c>
      <c r="B231" s="11">
        <v>28.9011325836181</v>
      </c>
      <c r="C231" s="11" t="s">
        <v>1061</v>
      </c>
      <c r="D231" s="11" t="s">
        <v>1061</v>
      </c>
      <c r="E231" s="11" t="s">
        <v>1062</v>
      </c>
      <c r="F231" s="11" t="s">
        <v>1291</v>
      </c>
      <c r="J231" s="11">
        <v>1.86641919612884</v>
      </c>
      <c r="K231" s="11">
        <v>-0.675928771495819</v>
      </c>
      <c r="L231" s="11" t="s">
        <v>1061</v>
      </c>
      <c r="M231" s="11" t="s">
        <v>1061</v>
      </c>
      <c r="N231" s="11" t="s">
        <v>1062</v>
      </c>
      <c r="O231" s="11" t="s">
        <v>1291</v>
      </c>
    </row>
    <row r="232">
      <c r="A232" s="11">
        <v>33.016258239746</v>
      </c>
      <c r="B232" s="11">
        <v>-2.3358097076416</v>
      </c>
      <c r="C232" s="11" t="s">
        <v>1061</v>
      </c>
      <c r="D232" s="11" t="s">
        <v>1061</v>
      </c>
      <c r="E232" s="11" t="s">
        <v>1062</v>
      </c>
      <c r="F232" s="11" t="s">
        <v>1292</v>
      </c>
      <c r="J232" s="11">
        <v>-24.3145332336425</v>
      </c>
      <c r="K232" s="11">
        <v>29.7495746612548</v>
      </c>
      <c r="L232" s="11" t="s">
        <v>1061</v>
      </c>
      <c r="M232" s="11" t="s">
        <v>1061</v>
      </c>
      <c r="N232" s="11" t="s">
        <v>1062</v>
      </c>
      <c r="O232" s="11" t="s">
        <v>1292</v>
      </c>
    </row>
    <row r="233">
      <c r="A233" s="11">
        <v>43.0106391906738</v>
      </c>
      <c r="B233" s="11">
        <v>11.1603546142578</v>
      </c>
      <c r="C233" s="11" t="s">
        <v>1061</v>
      </c>
      <c r="D233" s="11" t="s">
        <v>1061</v>
      </c>
      <c r="E233" s="11" t="s">
        <v>1062</v>
      </c>
      <c r="F233" s="11" t="s">
        <v>1293</v>
      </c>
      <c r="J233" s="11">
        <v>-21.0601177215576</v>
      </c>
      <c r="K233" s="11">
        <v>2.23498797416687</v>
      </c>
      <c r="L233" s="11" t="s">
        <v>1061</v>
      </c>
      <c r="M233" s="11" t="s">
        <v>1061</v>
      </c>
      <c r="N233" s="11" t="s">
        <v>1062</v>
      </c>
      <c r="O233" s="11" t="s">
        <v>1293</v>
      </c>
    </row>
    <row r="234">
      <c r="A234" s="11">
        <v>7.81215095520019</v>
      </c>
      <c r="B234" s="11">
        <v>1.03121900558471</v>
      </c>
      <c r="C234" s="11" t="s">
        <v>1061</v>
      </c>
      <c r="D234" s="11" t="s">
        <v>1061</v>
      </c>
      <c r="E234" s="11" t="s">
        <v>1062</v>
      </c>
      <c r="F234" s="11" t="s">
        <v>1294</v>
      </c>
      <c r="J234" s="11">
        <v>-13.4158020019531</v>
      </c>
      <c r="K234" s="11">
        <v>28.0837860107421</v>
      </c>
      <c r="L234" s="11" t="s">
        <v>1061</v>
      </c>
      <c r="M234" s="11" t="s">
        <v>1061</v>
      </c>
      <c r="N234" s="11" t="s">
        <v>1062</v>
      </c>
      <c r="O234" s="11" t="s">
        <v>1294</v>
      </c>
    </row>
    <row r="235">
      <c r="A235" s="11">
        <v>6.68084478378295</v>
      </c>
      <c r="B235" s="11">
        <v>5.60127925872802</v>
      </c>
      <c r="C235" s="11" t="s">
        <v>1061</v>
      </c>
      <c r="D235" s="11" t="s">
        <v>1061</v>
      </c>
      <c r="E235" s="11" t="s">
        <v>1062</v>
      </c>
      <c r="F235" s="11" t="s">
        <v>1295</v>
      </c>
      <c r="J235" s="11">
        <v>-1.90383720397949</v>
      </c>
      <c r="K235" s="11">
        <v>-1.36190056800842</v>
      </c>
      <c r="L235" s="11" t="s">
        <v>1061</v>
      </c>
      <c r="M235" s="11" t="s">
        <v>1061</v>
      </c>
      <c r="N235" s="11" t="s">
        <v>1062</v>
      </c>
      <c r="O235" s="11" t="s">
        <v>1295</v>
      </c>
    </row>
    <row r="236">
      <c r="A236" s="11">
        <v>-14.9957904815673</v>
      </c>
      <c r="B236" s="11">
        <v>48.0666847229003</v>
      </c>
      <c r="C236" s="11" t="s">
        <v>1061</v>
      </c>
      <c r="D236" s="11" t="s">
        <v>1061</v>
      </c>
      <c r="E236" s="11" t="s">
        <v>1062</v>
      </c>
      <c r="F236" s="11" t="s">
        <v>1296</v>
      </c>
      <c r="J236" s="11">
        <v>39.9432296752929</v>
      </c>
      <c r="K236" s="11">
        <v>-13.6332206726074</v>
      </c>
      <c r="L236" s="11" t="s">
        <v>1061</v>
      </c>
      <c r="M236" s="11" t="s">
        <v>1061</v>
      </c>
      <c r="N236" s="11" t="s">
        <v>1062</v>
      </c>
      <c r="O236" s="11" t="s">
        <v>1296</v>
      </c>
    </row>
    <row r="237">
      <c r="A237" s="11">
        <v>14.8625755310058</v>
      </c>
      <c r="B237" s="11">
        <v>47.3170509338378</v>
      </c>
      <c r="C237" s="11" t="s">
        <v>1061</v>
      </c>
      <c r="D237" s="11" t="s">
        <v>1061</v>
      </c>
      <c r="E237" s="11" t="s">
        <v>1062</v>
      </c>
      <c r="F237" s="11" t="s">
        <v>1297</v>
      </c>
      <c r="J237" s="11">
        <v>5.71621704101562</v>
      </c>
      <c r="K237" s="11">
        <v>11.8457260131835</v>
      </c>
      <c r="L237" s="11" t="s">
        <v>1061</v>
      </c>
      <c r="M237" s="11" t="s">
        <v>1061</v>
      </c>
      <c r="N237" s="11" t="s">
        <v>1062</v>
      </c>
      <c r="O237" s="11" t="s">
        <v>1297</v>
      </c>
    </row>
    <row r="238">
      <c r="A238" s="11">
        <v>9.45714569091796</v>
      </c>
      <c r="B238" s="11">
        <v>44.1894493103027</v>
      </c>
      <c r="C238" s="11" t="s">
        <v>1061</v>
      </c>
      <c r="D238" s="11" t="s">
        <v>1061</v>
      </c>
      <c r="E238" s="11" t="s">
        <v>1062</v>
      </c>
      <c r="F238" s="11" t="s">
        <v>1298</v>
      </c>
      <c r="J238" s="11">
        <v>-14.4368886947631</v>
      </c>
      <c r="K238" s="11">
        <v>-2.79243206977844</v>
      </c>
      <c r="L238" s="11" t="s">
        <v>1061</v>
      </c>
      <c r="M238" s="11" t="s">
        <v>1061</v>
      </c>
      <c r="N238" s="11" t="s">
        <v>1062</v>
      </c>
      <c r="O238" s="11" t="s">
        <v>1298</v>
      </c>
    </row>
    <row r="239">
      <c r="A239" s="11">
        <v>0.430993527173995</v>
      </c>
      <c r="B239" s="11">
        <v>26.3217105865478</v>
      </c>
      <c r="C239" s="11" t="s">
        <v>1061</v>
      </c>
      <c r="D239" s="11" t="s">
        <v>1061</v>
      </c>
      <c r="E239" s="11" t="s">
        <v>1062</v>
      </c>
      <c r="F239" s="11" t="s">
        <v>1299</v>
      </c>
      <c r="J239" s="11">
        <v>-1.56571793556213</v>
      </c>
      <c r="K239" s="11">
        <v>2.41308426856994</v>
      </c>
      <c r="L239" s="11" t="s">
        <v>1061</v>
      </c>
      <c r="M239" s="11" t="s">
        <v>1061</v>
      </c>
      <c r="N239" s="11" t="s">
        <v>1062</v>
      </c>
      <c r="O239" s="11" t="s">
        <v>1299</v>
      </c>
    </row>
    <row r="240">
      <c r="A240" s="11">
        <v>-6.13297271728515</v>
      </c>
      <c r="B240" s="11">
        <v>34.5111427307128</v>
      </c>
      <c r="C240" s="11" t="s">
        <v>1061</v>
      </c>
      <c r="D240" s="11" t="s">
        <v>1061</v>
      </c>
      <c r="E240" s="11" t="s">
        <v>1062</v>
      </c>
      <c r="F240" s="11" t="s">
        <v>1300</v>
      </c>
      <c r="J240" s="11">
        <v>-15.2696676254272</v>
      </c>
      <c r="K240" s="11">
        <v>19.5336475372314</v>
      </c>
      <c r="L240" s="11" t="s">
        <v>1061</v>
      </c>
      <c r="M240" s="11" t="s">
        <v>1061</v>
      </c>
      <c r="N240" s="11" t="s">
        <v>1062</v>
      </c>
      <c r="O240" s="11" t="s">
        <v>1300</v>
      </c>
    </row>
    <row r="241">
      <c r="A241" s="11">
        <v>51.7735252380371</v>
      </c>
      <c r="B241" s="11">
        <v>14.8301038742065</v>
      </c>
      <c r="C241" s="11" t="s">
        <v>1061</v>
      </c>
      <c r="D241" s="11" t="s">
        <v>1061</v>
      </c>
      <c r="E241" s="11" t="s">
        <v>1062</v>
      </c>
      <c r="F241" s="11" t="s">
        <v>1301</v>
      </c>
      <c r="J241" s="11">
        <v>-29.5825443267822</v>
      </c>
      <c r="K241" s="11">
        <v>22.856330871582</v>
      </c>
      <c r="L241" s="11" t="s">
        <v>1061</v>
      </c>
      <c r="M241" s="11" t="s">
        <v>1061</v>
      </c>
      <c r="N241" s="11" t="s">
        <v>1062</v>
      </c>
      <c r="O241" s="11" t="s">
        <v>1301</v>
      </c>
    </row>
    <row r="242">
      <c r="A242" s="11">
        <v>-21.2721633911132</v>
      </c>
      <c r="B242" s="11">
        <v>56.0002250671386</v>
      </c>
      <c r="C242" s="11" t="s">
        <v>1061</v>
      </c>
      <c r="D242" s="11" t="s">
        <v>1061</v>
      </c>
      <c r="E242" s="11" t="s">
        <v>1062</v>
      </c>
      <c r="F242" s="11" t="s">
        <v>1302</v>
      </c>
      <c r="J242" s="11">
        <v>48.1256980895996</v>
      </c>
      <c r="K242" s="11">
        <v>-15.4191408157348</v>
      </c>
      <c r="L242" s="11" t="s">
        <v>1061</v>
      </c>
      <c r="M242" s="11" t="s">
        <v>1061</v>
      </c>
      <c r="N242" s="11" t="s">
        <v>1062</v>
      </c>
      <c r="O242" s="11" t="s">
        <v>1302</v>
      </c>
    </row>
    <row r="243">
      <c r="A243" s="11">
        <v>11.1751670837402</v>
      </c>
      <c r="B243" s="11">
        <v>20.0589084625244</v>
      </c>
      <c r="C243" s="11" t="s">
        <v>1061</v>
      </c>
      <c r="D243" s="11" t="s">
        <v>1061</v>
      </c>
      <c r="E243" s="11" t="s">
        <v>1062</v>
      </c>
      <c r="F243" s="11" t="s">
        <v>1303</v>
      </c>
      <c r="J243" s="11">
        <v>-16.6090679168701</v>
      </c>
      <c r="K243" s="11">
        <v>4.2885684967041</v>
      </c>
      <c r="L243" s="11" t="s">
        <v>1061</v>
      </c>
      <c r="M243" s="11" t="s">
        <v>1061</v>
      </c>
      <c r="N243" s="11" t="s">
        <v>1062</v>
      </c>
      <c r="O243" s="11" t="s">
        <v>1303</v>
      </c>
    </row>
    <row r="244">
      <c r="A244" s="11">
        <v>73.6315155029296</v>
      </c>
      <c r="B244" s="11">
        <v>-12.5273513793945</v>
      </c>
      <c r="C244" s="11" t="s">
        <v>1061</v>
      </c>
      <c r="D244" s="11" t="s">
        <v>1061</v>
      </c>
      <c r="E244" s="11" t="s">
        <v>1062</v>
      </c>
      <c r="F244" s="11" t="s">
        <v>1304</v>
      </c>
      <c r="J244" s="11">
        <v>-30.2936897277832</v>
      </c>
      <c r="K244" s="11">
        <v>30.5388565063476</v>
      </c>
      <c r="L244" s="11" t="s">
        <v>1061</v>
      </c>
      <c r="M244" s="11" t="s">
        <v>1061</v>
      </c>
      <c r="N244" s="11" t="s">
        <v>1062</v>
      </c>
      <c r="O244" s="11" t="s">
        <v>1304</v>
      </c>
    </row>
    <row r="245">
      <c r="A245" s="11">
        <v>19.40474319458</v>
      </c>
      <c r="B245" s="11">
        <v>31.1223602294921</v>
      </c>
      <c r="C245" s="11" t="s">
        <v>1061</v>
      </c>
      <c r="D245" s="11" t="s">
        <v>1061</v>
      </c>
      <c r="E245" s="11" t="s">
        <v>1062</v>
      </c>
      <c r="F245" s="11" t="s">
        <v>1305</v>
      </c>
      <c r="J245" s="11">
        <v>-4.47241592407226</v>
      </c>
      <c r="K245" s="11">
        <v>21.2112216949462</v>
      </c>
      <c r="L245" s="11" t="s">
        <v>1061</v>
      </c>
      <c r="M245" s="11" t="s">
        <v>1061</v>
      </c>
      <c r="N245" s="11" t="s">
        <v>1062</v>
      </c>
      <c r="O245" s="11" t="s">
        <v>1305</v>
      </c>
    </row>
    <row r="246">
      <c r="A246" s="11">
        <v>-3.40764594078063</v>
      </c>
      <c r="B246" s="11">
        <v>11.0976543426513</v>
      </c>
      <c r="C246" s="11" t="s">
        <v>1061</v>
      </c>
      <c r="D246" s="11" t="s">
        <v>1061</v>
      </c>
      <c r="E246" s="11" t="s">
        <v>1062</v>
      </c>
      <c r="F246" s="11" t="s">
        <v>1306</v>
      </c>
      <c r="J246" s="11">
        <v>-0.840692341327667</v>
      </c>
      <c r="K246" s="11">
        <v>-7.60740232467651</v>
      </c>
      <c r="L246" s="11" t="s">
        <v>1061</v>
      </c>
      <c r="M246" s="11" t="s">
        <v>1061</v>
      </c>
      <c r="N246" s="11" t="s">
        <v>1062</v>
      </c>
      <c r="O246" s="11" t="s">
        <v>1306</v>
      </c>
    </row>
    <row r="247">
      <c r="A247" s="11">
        <v>9.45714569091796</v>
      </c>
      <c r="B247" s="11">
        <v>44.1894493103027</v>
      </c>
      <c r="C247" s="11" t="s">
        <v>1061</v>
      </c>
      <c r="D247" s="11" t="s">
        <v>1061</v>
      </c>
      <c r="E247" s="11" t="s">
        <v>1062</v>
      </c>
      <c r="F247" s="11" t="s">
        <v>1307</v>
      </c>
      <c r="J247" s="11">
        <v>-14.6317358016967</v>
      </c>
      <c r="K247" s="11">
        <v>-3.3361005783081</v>
      </c>
      <c r="L247" s="11" t="s">
        <v>1061</v>
      </c>
      <c r="M247" s="11" t="s">
        <v>1061</v>
      </c>
      <c r="N247" s="11" t="s">
        <v>1062</v>
      </c>
      <c r="O247" s="11" t="s">
        <v>1307</v>
      </c>
    </row>
    <row r="248">
      <c r="A248" s="11">
        <v>53.4895362854003</v>
      </c>
      <c r="B248" s="11">
        <v>-0.3748140335083</v>
      </c>
      <c r="C248" s="11" t="s">
        <v>1061</v>
      </c>
      <c r="D248" s="11" t="s">
        <v>1061</v>
      </c>
      <c r="E248" s="11" t="s">
        <v>1062</v>
      </c>
      <c r="F248" s="11" t="s">
        <v>1308</v>
      </c>
      <c r="J248" s="11">
        <v>-32.7808723449707</v>
      </c>
      <c r="K248" s="11">
        <v>32.9932823181152</v>
      </c>
      <c r="L248" s="11" t="s">
        <v>1061</v>
      </c>
      <c r="M248" s="11" t="s">
        <v>1061</v>
      </c>
      <c r="N248" s="11" t="s">
        <v>1062</v>
      </c>
      <c r="O248" s="11" t="s">
        <v>1308</v>
      </c>
    </row>
    <row r="249">
      <c r="A249" s="11">
        <v>7.80725812911987</v>
      </c>
      <c r="B249" s="11">
        <v>23.1204776763916</v>
      </c>
      <c r="C249" s="11" t="s">
        <v>1061</v>
      </c>
      <c r="D249" s="11" t="s">
        <v>1061</v>
      </c>
      <c r="E249" s="11" t="s">
        <v>1062</v>
      </c>
      <c r="F249" s="11" t="s">
        <v>1309</v>
      </c>
      <c r="J249" s="11">
        <v>7.05991744995117</v>
      </c>
      <c r="K249" s="11">
        <v>-20.7560214996337</v>
      </c>
      <c r="L249" s="11" t="s">
        <v>1061</v>
      </c>
      <c r="M249" s="11" t="s">
        <v>1061</v>
      </c>
      <c r="N249" s="11" t="s">
        <v>1062</v>
      </c>
      <c r="O249" s="11" t="s">
        <v>1309</v>
      </c>
    </row>
    <row r="250">
      <c r="A250" s="11">
        <v>34.2311248779296</v>
      </c>
      <c r="B250" s="11">
        <v>21.1476802825927</v>
      </c>
      <c r="C250" s="11" t="s">
        <v>1061</v>
      </c>
      <c r="D250" s="11" t="s">
        <v>1061</v>
      </c>
      <c r="E250" s="11" t="s">
        <v>1062</v>
      </c>
      <c r="F250" s="11" t="s">
        <v>1310</v>
      </c>
      <c r="J250" s="11">
        <v>-29.9845752716064</v>
      </c>
      <c r="K250" s="11">
        <v>12.6494417190551</v>
      </c>
      <c r="L250" s="11" t="s">
        <v>1061</v>
      </c>
      <c r="M250" s="11" t="s">
        <v>1061</v>
      </c>
      <c r="N250" s="11" t="s">
        <v>1062</v>
      </c>
      <c r="O250" s="11" t="s">
        <v>1310</v>
      </c>
    </row>
    <row r="251">
      <c r="A251" s="11">
        <v>8.76234531402587</v>
      </c>
      <c r="B251" s="11">
        <v>26.4436912536621</v>
      </c>
      <c r="C251" s="11" t="s">
        <v>1061</v>
      </c>
      <c r="D251" s="11" t="s">
        <v>1061</v>
      </c>
      <c r="E251" s="11" t="s">
        <v>1062</v>
      </c>
      <c r="F251" s="11" t="s">
        <v>1311</v>
      </c>
      <c r="J251" s="11">
        <v>-11.7733497619628</v>
      </c>
      <c r="K251" s="11">
        <v>4.01797723770141</v>
      </c>
      <c r="L251" s="11" t="s">
        <v>1061</v>
      </c>
      <c r="M251" s="11" t="s">
        <v>1061</v>
      </c>
      <c r="N251" s="11" t="s">
        <v>1062</v>
      </c>
      <c r="O251" s="11" t="s">
        <v>1311</v>
      </c>
    </row>
    <row r="252">
      <c r="A252" s="11">
        <v>27.01416015625</v>
      </c>
      <c r="B252" s="11">
        <v>-12.4215354919433</v>
      </c>
      <c r="C252" s="11" t="s">
        <v>1061</v>
      </c>
      <c r="D252" s="11" t="s">
        <v>1061</v>
      </c>
      <c r="E252" s="11" t="s">
        <v>1062</v>
      </c>
      <c r="F252" s="11" t="s">
        <v>1312</v>
      </c>
      <c r="J252" s="11">
        <v>-19.079116821289</v>
      </c>
      <c r="K252" s="11">
        <v>23.7195777893066</v>
      </c>
      <c r="L252" s="11" t="s">
        <v>1061</v>
      </c>
      <c r="M252" s="11" t="s">
        <v>1061</v>
      </c>
      <c r="N252" s="11" t="s">
        <v>1062</v>
      </c>
      <c r="O252" s="11" t="s">
        <v>1312</v>
      </c>
    </row>
    <row r="253">
      <c r="A253" s="11">
        <v>18.2753543853759</v>
      </c>
      <c r="B253" s="11">
        <v>20.9847316741943</v>
      </c>
      <c r="C253" s="11" t="s">
        <v>1061</v>
      </c>
      <c r="D253" s="11" t="s">
        <v>1061</v>
      </c>
      <c r="E253" s="11" t="s">
        <v>1062</v>
      </c>
      <c r="F253" s="11" t="s">
        <v>1313</v>
      </c>
      <c r="J253" s="11">
        <v>-4.77044820785522</v>
      </c>
      <c r="K253" s="11">
        <v>30.8443565368652</v>
      </c>
      <c r="L253" s="11" t="s">
        <v>1061</v>
      </c>
      <c r="M253" s="11" t="s">
        <v>1061</v>
      </c>
      <c r="N253" s="11" t="s">
        <v>1062</v>
      </c>
      <c r="O253" s="11" t="s">
        <v>1313</v>
      </c>
    </row>
    <row r="254">
      <c r="A254" s="11">
        <v>-3.76858854293823</v>
      </c>
      <c r="B254" s="11">
        <v>47.4830017089843</v>
      </c>
      <c r="C254" s="11" t="s">
        <v>1061</v>
      </c>
      <c r="D254" s="11" t="s">
        <v>1061</v>
      </c>
      <c r="E254" s="11" t="s">
        <v>1062</v>
      </c>
      <c r="F254" s="11" t="s">
        <v>1314</v>
      </c>
      <c r="J254" s="11">
        <v>34.202823638916</v>
      </c>
      <c r="K254" s="11">
        <v>5.72321557998657</v>
      </c>
      <c r="L254" s="11" t="s">
        <v>1061</v>
      </c>
      <c r="M254" s="11" t="s">
        <v>1061</v>
      </c>
      <c r="N254" s="11" t="s">
        <v>1062</v>
      </c>
      <c r="O254" s="11" t="s">
        <v>1314</v>
      </c>
    </row>
    <row r="255">
      <c r="A255" s="11">
        <v>73.6315155029296</v>
      </c>
      <c r="B255" s="11">
        <v>-12.5273513793945</v>
      </c>
      <c r="C255" s="11" t="s">
        <v>1061</v>
      </c>
      <c r="D255" s="11" t="s">
        <v>1061</v>
      </c>
      <c r="E255" s="11" t="s">
        <v>1062</v>
      </c>
      <c r="F255" s="11" t="s">
        <v>1315</v>
      </c>
      <c r="J255" s="11">
        <v>-30.2949962615966</v>
      </c>
      <c r="K255" s="11">
        <v>30.5391254425048</v>
      </c>
      <c r="L255" s="11" t="s">
        <v>1061</v>
      </c>
      <c r="M255" s="11" t="s">
        <v>1061</v>
      </c>
      <c r="N255" s="11" t="s">
        <v>1062</v>
      </c>
      <c r="O255" s="11" t="s">
        <v>1315</v>
      </c>
    </row>
    <row r="256">
      <c r="A256" s="11">
        <v>-6.01621294021606</v>
      </c>
      <c r="B256" s="11">
        <v>29.7548313140869</v>
      </c>
      <c r="C256" s="11" t="s">
        <v>1061</v>
      </c>
      <c r="D256" s="11" t="s">
        <v>1061</v>
      </c>
      <c r="E256" s="11" t="s">
        <v>1062</v>
      </c>
      <c r="F256" s="11" t="s">
        <v>1316</v>
      </c>
      <c r="J256" s="11">
        <v>-14.044093132019</v>
      </c>
      <c r="K256" s="11">
        <v>20.1333484649658</v>
      </c>
      <c r="L256" s="11" t="s">
        <v>1061</v>
      </c>
      <c r="M256" s="11" t="s">
        <v>1061</v>
      </c>
      <c r="N256" s="11" t="s">
        <v>1062</v>
      </c>
      <c r="O256" s="11" t="s">
        <v>1316</v>
      </c>
    </row>
    <row r="257">
      <c r="A257" s="11">
        <v>15.7785949707031</v>
      </c>
      <c r="B257" s="11">
        <v>40.5846366882324</v>
      </c>
      <c r="C257" s="11" t="s">
        <v>1061</v>
      </c>
      <c r="D257" s="11" t="s">
        <v>1061</v>
      </c>
      <c r="E257" s="11" t="s">
        <v>1062</v>
      </c>
      <c r="F257" s="11" t="s">
        <v>1317</v>
      </c>
      <c r="J257" s="11">
        <v>2.66812252998352</v>
      </c>
      <c r="K257" s="11">
        <v>14.6662464141845</v>
      </c>
      <c r="L257" s="11" t="s">
        <v>1061</v>
      </c>
      <c r="M257" s="11" t="s">
        <v>1061</v>
      </c>
      <c r="N257" s="11" t="s">
        <v>1062</v>
      </c>
      <c r="O257" s="11" t="s">
        <v>1317</v>
      </c>
    </row>
    <row r="258">
      <c r="A258" s="11">
        <v>36.002758026123</v>
      </c>
      <c r="B258" s="11">
        <v>29.5991668701171</v>
      </c>
      <c r="C258" s="11" t="s">
        <v>1061</v>
      </c>
      <c r="D258" s="11" t="s">
        <v>1061</v>
      </c>
      <c r="E258" s="11" t="s">
        <v>1062</v>
      </c>
      <c r="F258" s="11" t="s">
        <v>1318</v>
      </c>
      <c r="J258" s="11">
        <v>-9.60969448089599</v>
      </c>
      <c r="K258" s="11">
        <v>33.2275924682617</v>
      </c>
      <c r="L258" s="11" t="s">
        <v>1061</v>
      </c>
      <c r="M258" s="11" t="s">
        <v>1061</v>
      </c>
      <c r="N258" s="11" t="s">
        <v>1062</v>
      </c>
      <c r="O258" s="11" t="s">
        <v>1318</v>
      </c>
    </row>
    <row r="259">
      <c r="A259" s="11">
        <v>34.1459274291992</v>
      </c>
      <c r="B259" s="11">
        <v>21.722951889038</v>
      </c>
      <c r="C259" s="11" t="s">
        <v>1061</v>
      </c>
      <c r="D259" s="11" t="s">
        <v>1061</v>
      </c>
      <c r="E259" s="11" t="s">
        <v>1062</v>
      </c>
      <c r="F259" s="11" t="s">
        <v>1319</v>
      </c>
      <c r="J259" s="11">
        <v>-30.2038173675537</v>
      </c>
      <c r="K259" s="11">
        <v>12.5065307617187</v>
      </c>
      <c r="L259" s="11" t="s">
        <v>1061</v>
      </c>
      <c r="M259" s="11" t="s">
        <v>1061</v>
      </c>
      <c r="N259" s="11" t="s">
        <v>1062</v>
      </c>
      <c r="O259" s="11" t="s">
        <v>1319</v>
      </c>
    </row>
    <row r="260">
      <c r="A260" s="11">
        <v>3.77493476867675</v>
      </c>
      <c r="B260" s="11">
        <v>16.9059562683105</v>
      </c>
      <c r="C260" s="11" t="s">
        <v>1061</v>
      </c>
      <c r="D260" s="11" t="s">
        <v>1061</v>
      </c>
      <c r="E260" s="11" t="s">
        <v>1062</v>
      </c>
      <c r="F260" s="11" t="s">
        <v>1320</v>
      </c>
      <c r="J260" s="11">
        <v>-14.4929046630859</v>
      </c>
      <c r="K260" s="11">
        <v>8.95209121704101</v>
      </c>
      <c r="L260" s="11" t="s">
        <v>1061</v>
      </c>
      <c r="M260" s="11" t="s">
        <v>1061</v>
      </c>
      <c r="N260" s="11" t="s">
        <v>1062</v>
      </c>
      <c r="O260" s="11" t="s">
        <v>1320</v>
      </c>
    </row>
    <row r="261">
      <c r="A261" s="11">
        <v>-9.84426975250244</v>
      </c>
      <c r="B261" s="11">
        <v>40.5303153991699</v>
      </c>
      <c r="C261" s="11" t="s">
        <v>1061</v>
      </c>
      <c r="D261" s="11" t="s">
        <v>1061</v>
      </c>
      <c r="E261" s="11" t="s">
        <v>1062</v>
      </c>
      <c r="F261" s="11" t="s">
        <v>1321</v>
      </c>
      <c r="J261" s="11">
        <v>43.5031242370605</v>
      </c>
      <c r="K261" s="11">
        <v>4.10616731643676</v>
      </c>
      <c r="L261" s="11" t="s">
        <v>1061</v>
      </c>
      <c r="M261" s="11" t="s">
        <v>1061</v>
      </c>
      <c r="N261" s="11" t="s">
        <v>1062</v>
      </c>
      <c r="O261" s="11" t="s">
        <v>1321</v>
      </c>
    </row>
    <row r="262">
      <c r="A262" s="11">
        <v>-1.20897221565246</v>
      </c>
      <c r="B262" s="11">
        <v>21.6269435882568</v>
      </c>
      <c r="C262" s="11" t="s">
        <v>1061</v>
      </c>
      <c r="D262" s="11" t="s">
        <v>1061</v>
      </c>
      <c r="E262" s="11" t="s">
        <v>1062</v>
      </c>
      <c r="F262" s="11" t="s">
        <v>1322</v>
      </c>
      <c r="J262" s="11">
        <v>-14.7628479003906</v>
      </c>
      <c r="K262" s="11">
        <v>20.5519886016845</v>
      </c>
      <c r="L262" s="11" t="s">
        <v>1061</v>
      </c>
      <c r="M262" s="11" t="s">
        <v>1061</v>
      </c>
      <c r="N262" s="11" t="s">
        <v>1062</v>
      </c>
      <c r="O262" s="11" t="s">
        <v>1322</v>
      </c>
    </row>
    <row r="263">
      <c r="A263" s="11">
        <v>57.3006935119628</v>
      </c>
      <c r="B263" s="11">
        <v>12.0604457855224</v>
      </c>
      <c r="C263" s="11" t="s">
        <v>1061</v>
      </c>
      <c r="D263" s="11" t="s">
        <v>1061</v>
      </c>
      <c r="E263" s="11" t="s">
        <v>1062</v>
      </c>
      <c r="F263" s="11" t="s">
        <v>1323</v>
      </c>
      <c r="J263" s="11">
        <v>-30.7390365600585</v>
      </c>
      <c r="K263" s="11">
        <v>25.378942489624</v>
      </c>
      <c r="L263" s="11" t="s">
        <v>1061</v>
      </c>
      <c r="M263" s="11" t="s">
        <v>1061</v>
      </c>
      <c r="N263" s="11" t="s">
        <v>1062</v>
      </c>
      <c r="O263" s="11" t="s">
        <v>1323</v>
      </c>
    </row>
    <row r="264">
      <c r="A264" s="11">
        <v>27.6071186065673</v>
      </c>
      <c r="B264" s="11">
        <v>23.8569107055664</v>
      </c>
      <c r="C264" s="11" t="s">
        <v>1061</v>
      </c>
      <c r="D264" s="11" t="s">
        <v>1061</v>
      </c>
      <c r="E264" s="11" t="s">
        <v>1062</v>
      </c>
      <c r="F264" s="11" t="s">
        <v>1324</v>
      </c>
      <c r="J264" s="11">
        <v>-23.4750900268554</v>
      </c>
      <c r="K264" s="11">
        <v>14.4776525497436</v>
      </c>
      <c r="L264" s="11" t="s">
        <v>1061</v>
      </c>
      <c r="M264" s="11" t="s">
        <v>1061</v>
      </c>
      <c r="N264" s="11" t="s">
        <v>1062</v>
      </c>
      <c r="O264" s="11" t="s">
        <v>1324</v>
      </c>
    </row>
    <row r="265">
      <c r="A265" s="11">
        <v>20.3158359527587</v>
      </c>
      <c r="B265" s="11">
        <v>14.7116270065307</v>
      </c>
      <c r="C265" s="11" t="s">
        <v>1061</v>
      </c>
      <c r="D265" s="11" t="s">
        <v>1061</v>
      </c>
      <c r="E265" s="11" t="s">
        <v>1062</v>
      </c>
      <c r="F265" s="11" t="s">
        <v>1325</v>
      </c>
      <c r="J265" s="11">
        <v>-9.13114547729492</v>
      </c>
      <c r="K265" s="11">
        <v>-3.11155986785888</v>
      </c>
      <c r="L265" s="11" t="s">
        <v>1061</v>
      </c>
      <c r="M265" s="11" t="s">
        <v>1061</v>
      </c>
      <c r="N265" s="11" t="s">
        <v>1062</v>
      </c>
      <c r="O265" s="11" t="s">
        <v>1325</v>
      </c>
    </row>
    <row r="266">
      <c r="A266" s="11">
        <v>13.0761241912841</v>
      </c>
      <c r="B266" s="11">
        <v>24.3737392425537</v>
      </c>
      <c r="C266" s="11" t="s">
        <v>1061</v>
      </c>
      <c r="D266" s="11" t="s">
        <v>1061</v>
      </c>
      <c r="E266" s="11" t="s">
        <v>1062</v>
      </c>
      <c r="F266" s="11" t="s">
        <v>1326</v>
      </c>
      <c r="J266" s="11">
        <v>11.2596473693847</v>
      </c>
      <c r="K266" s="11">
        <v>3.85483765602111</v>
      </c>
      <c r="L266" s="11" t="s">
        <v>1061</v>
      </c>
      <c r="M266" s="11" t="s">
        <v>1061</v>
      </c>
      <c r="N266" s="11" t="s">
        <v>1062</v>
      </c>
      <c r="O266" s="11" t="s">
        <v>1326</v>
      </c>
    </row>
    <row r="267">
      <c r="A267" s="11">
        <v>-14.9912052154541</v>
      </c>
      <c r="B267" s="11">
        <v>49.0439453125</v>
      </c>
      <c r="C267" s="11" t="s">
        <v>1061</v>
      </c>
      <c r="D267" s="11" t="s">
        <v>1061</v>
      </c>
      <c r="E267" s="11" t="s">
        <v>1062</v>
      </c>
      <c r="F267" s="11" t="s">
        <v>1327</v>
      </c>
      <c r="J267" s="11">
        <v>40.0499038696289</v>
      </c>
      <c r="K267" s="11">
        <v>-14.5228309631347</v>
      </c>
      <c r="L267" s="11" t="s">
        <v>1061</v>
      </c>
      <c r="M267" s="11" t="s">
        <v>1061</v>
      </c>
      <c r="N267" s="11" t="s">
        <v>1062</v>
      </c>
      <c r="O267" s="11" t="s">
        <v>1327</v>
      </c>
    </row>
    <row r="268">
      <c r="A268" s="11">
        <v>-9.34829902648925</v>
      </c>
      <c r="B268" s="11">
        <v>18.4571743011474</v>
      </c>
      <c r="C268" s="11" t="s">
        <v>1061</v>
      </c>
      <c r="D268" s="11" t="s">
        <v>1061</v>
      </c>
      <c r="E268" s="11" t="s">
        <v>1062</v>
      </c>
      <c r="F268" s="11" t="s">
        <v>1328</v>
      </c>
      <c r="J268" s="11">
        <v>-3.02661371231079</v>
      </c>
      <c r="K268" s="11">
        <v>-10.0538072586059</v>
      </c>
      <c r="L268" s="11" t="s">
        <v>1061</v>
      </c>
      <c r="M268" s="11" t="s">
        <v>1061</v>
      </c>
      <c r="N268" s="11" t="s">
        <v>1062</v>
      </c>
      <c r="O268" s="11" t="s">
        <v>1328</v>
      </c>
    </row>
    <row r="269">
      <c r="A269" s="11">
        <v>-8.66792964935302</v>
      </c>
      <c r="B269" s="11">
        <v>42.691722869873</v>
      </c>
      <c r="C269" s="11" t="s">
        <v>1061</v>
      </c>
      <c r="D269" s="11" t="s">
        <v>1061</v>
      </c>
      <c r="E269" s="11" t="s">
        <v>1062</v>
      </c>
      <c r="F269" s="11" t="s">
        <v>1329</v>
      </c>
      <c r="J269" s="11">
        <v>50.1439628601074</v>
      </c>
      <c r="K269" s="11">
        <v>-3.57462334632873</v>
      </c>
      <c r="L269" s="11" t="s">
        <v>1061</v>
      </c>
      <c r="M269" s="11" t="s">
        <v>1061</v>
      </c>
      <c r="N269" s="11" t="s">
        <v>1062</v>
      </c>
      <c r="O269" s="11" t="s">
        <v>1329</v>
      </c>
    </row>
    <row r="270">
      <c r="A270" s="11">
        <v>26.3397979736328</v>
      </c>
      <c r="B270" s="11">
        <v>34.8427429199218</v>
      </c>
      <c r="C270" s="11" t="s">
        <v>1061</v>
      </c>
      <c r="D270" s="11" t="s">
        <v>1061</v>
      </c>
      <c r="E270" s="11" t="s">
        <v>1062</v>
      </c>
      <c r="F270" s="11" t="s">
        <v>1330</v>
      </c>
      <c r="J270" s="11">
        <v>-20.2544155120849</v>
      </c>
      <c r="K270" s="11">
        <v>30.9371433258056</v>
      </c>
      <c r="L270" s="11" t="s">
        <v>1061</v>
      </c>
      <c r="M270" s="11" t="s">
        <v>1061</v>
      </c>
      <c r="N270" s="11" t="s">
        <v>1062</v>
      </c>
      <c r="O270" s="11" t="s">
        <v>1330</v>
      </c>
    </row>
    <row r="271">
      <c r="A271" s="11">
        <v>14.4695425033569</v>
      </c>
      <c r="B271" s="11">
        <v>8.51905441284179</v>
      </c>
      <c r="C271" s="11" t="s">
        <v>1061</v>
      </c>
      <c r="D271" s="11" t="s">
        <v>1061</v>
      </c>
      <c r="E271" s="11" t="s">
        <v>1062</v>
      </c>
      <c r="F271" s="11" t="s">
        <v>1331</v>
      </c>
      <c r="J271" s="11">
        <v>-28.772216796875</v>
      </c>
      <c r="K271" s="11">
        <v>1.10098922252655</v>
      </c>
      <c r="L271" s="11" t="s">
        <v>1061</v>
      </c>
      <c r="M271" s="11" t="s">
        <v>1061</v>
      </c>
      <c r="N271" s="11" t="s">
        <v>1062</v>
      </c>
      <c r="O271" s="11" t="s">
        <v>1331</v>
      </c>
    </row>
    <row r="272">
      <c r="A272" s="11">
        <v>2.58839535713195</v>
      </c>
      <c r="B272" s="11">
        <v>23.0018978118896</v>
      </c>
      <c r="C272" s="11" t="s">
        <v>1061</v>
      </c>
      <c r="D272" s="11" t="s">
        <v>1061</v>
      </c>
      <c r="E272" s="11" t="s">
        <v>1062</v>
      </c>
      <c r="F272" s="11" t="s">
        <v>1332</v>
      </c>
      <c r="J272" s="11">
        <v>-4.74595880508422</v>
      </c>
      <c r="K272" s="11">
        <v>3.54374599456787</v>
      </c>
      <c r="L272" s="11" t="s">
        <v>1061</v>
      </c>
      <c r="M272" s="11" t="s">
        <v>1061</v>
      </c>
      <c r="N272" s="11" t="s">
        <v>1062</v>
      </c>
      <c r="O272" s="11" t="s">
        <v>1332</v>
      </c>
    </row>
    <row r="273">
      <c r="A273" s="11">
        <v>41.4625549316406</v>
      </c>
      <c r="B273" s="11">
        <v>17.7085514068603</v>
      </c>
      <c r="C273" s="11" t="s">
        <v>1061</v>
      </c>
      <c r="D273" s="11" t="s">
        <v>1061</v>
      </c>
      <c r="E273" s="11" t="s">
        <v>1062</v>
      </c>
      <c r="F273" s="11" t="s">
        <v>1333</v>
      </c>
      <c r="J273" s="11">
        <v>-23.1273326873779</v>
      </c>
      <c r="K273" s="11">
        <v>27.0072383880615</v>
      </c>
      <c r="L273" s="11" t="s">
        <v>1061</v>
      </c>
      <c r="M273" s="11" t="s">
        <v>1061</v>
      </c>
      <c r="N273" s="11" t="s">
        <v>1062</v>
      </c>
      <c r="O273" s="11" t="s">
        <v>1333</v>
      </c>
    </row>
    <row r="274">
      <c r="A274" s="11">
        <v>-14.9233503341674</v>
      </c>
      <c r="B274" s="11">
        <v>50.9048805236816</v>
      </c>
      <c r="C274" s="11" t="s">
        <v>1061</v>
      </c>
      <c r="D274" s="11" t="s">
        <v>1061</v>
      </c>
      <c r="E274" s="11" t="s">
        <v>1062</v>
      </c>
      <c r="F274" s="11" t="s">
        <v>1334</v>
      </c>
      <c r="J274" s="11">
        <v>38.7245445251464</v>
      </c>
      <c r="K274" s="11">
        <v>-13.2517251968383</v>
      </c>
      <c r="L274" s="11" t="s">
        <v>1061</v>
      </c>
      <c r="M274" s="11" t="s">
        <v>1061</v>
      </c>
      <c r="N274" s="11" t="s">
        <v>1062</v>
      </c>
      <c r="O274" s="11" t="s">
        <v>1334</v>
      </c>
    </row>
    <row r="275">
      <c r="A275" s="11">
        <v>60.9542427062988</v>
      </c>
      <c r="B275" s="11">
        <v>9.39791011810302</v>
      </c>
      <c r="C275" s="11" t="s">
        <v>1061</v>
      </c>
      <c r="D275" s="11" t="s">
        <v>1061</v>
      </c>
      <c r="E275" s="11" t="s">
        <v>1062</v>
      </c>
      <c r="F275" s="11" t="s">
        <v>1335</v>
      </c>
      <c r="J275" s="11">
        <v>-29.4646492004394</v>
      </c>
      <c r="K275" s="11">
        <v>25.9936447143554</v>
      </c>
      <c r="L275" s="11" t="s">
        <v>1061</v>
      </c>
      <c r="M275" s="11" t="s">
        <v>1061</v>
      </c>
      <c r="N275" s="11" t="s">
        <v>1062</v>
      </c>
      <c r="O275" s="11" t="s">
        <v>1335</v>
      </c>
    </row>
    <row r="276">
      <c r="A276" s="11">
        <v>-30.7950420379638</v>
      </c>
      <c r="B276" s="11">
        <v>2.07628965377807</v>
      </c>
      <c r="C276" s="11" t="s">
        <v>1061</v>
      </c>
      <c r="D276" s="11" t="s">
        <v>1061</v>
      </c>
      <c r="E276" s="11" t="s">
        <v>1062</v>
      </c>
      <c r="F276" s="11" t="s">
        <v>1336</v>
      </c>
      <c r="J276" s="11">
        <v>25.8615112304687</v>
      </c>
      <c r="K276" s="11">
        <v>0.109545402228832</v>
      </c>
      <c r="L276" s="11" t="s">
        <v>1061</v>
      </c>
      <c r="M276" s="11" t="s">
        <v>1061</v>
      </c>
      <c r="N276" s="11" t="s">
        <v>1062</v>
      </c>
      <c r="O276" s="11" t="s">
        <v>1336</v>
      </c>
    </row>
    <row r="277">
      <c r="A277" s="11">
        <v>17.8721160888671</v>
      </c>
      <c r="B277" s="11">
        <v>35.6914749145507</v>
      </c>
      <c r="C277" s="11" t="s">
        <v>1061</v>
      </c>
      <c r="D277" s="11" t="s">
        <v>1061</v>
      </c>
      <c r="E277" s="11" t="s">
        <v>1062</v>
      </c>
      <c r="F277" s="11" t="s">
        <v>1337</v>
      </c>
      <c r="J277" s="11">
        <v>-14.9075059890747</v>
      </c>
      <c r="K277" s="11">
        <v>12.3529748916625</v>
      </c>
      <c r="L277" s="11" t="s">
        <v>1061</v>
      </c>
      <c r="M277" s="11" t="s">
        <v>1061</v>
      </c>
      <c r="N277" s="11" t="s">
        <v>1062</v>
      </c>
      <c r="O277" s="11" t="s">
        <v>1337</v>
      </c>
    </row>
    <row r="278">
      <c r="A278" s="11">
        <v>0.319967865943908</v>
      </c>
      <c r="B278" s="11">
        <v>16.4345035552978</v>
      </c>
      <c r="C278" s="11" t="s">
        <v>1061</v>
      </c>
      <c r="D278" s="11" t="s">
        <v>1061</v>
      </c>
      <c r="E278" s="11" t="s">
        <v>1062</v>
      </c>
      <c r="F278" s="11" t="s">
        <v>1338</v>
      </c>
      <c r="J278" s="11">
        <v>54.6708869934082</v>
      </c>
      <c r="K278" s="11">
        <v>-19.464672088623</v>
      </c>
      <c r="L278" s="11" t="s">
        <v>1061</v>
      </c>
      <c r="M278" s="11" t="s">
        <v>1061</v>
      </c>
      <c r="N278" s="11" t="s">
        <v>1062</v>
      </c>
      <c r="O278" s="11" t="s">
        <v>1338</v>
      </c>
    </row>
    <row r="279">
      <c r="A279" s="11">
        <v>-12.324119567871</v>
      </c>
      <c r="B279" s="11">
        <v>39.8033142089843</v>
      </c>
      <c r="C279" s="11" t="s">
        <v>1061</v>
      </c>
      <c r="D279" s="11" t="s">
        <v>1061</v>
      </c>
      <c r="E279" s="11" t="s">
        <v>1062</v>
      </c>
      <c r="F279" s="11" t="s">
        <v>1339</v>
      </c>
      <c r="J279" s="11">
        <v>44.9954566955566</v>
      </c>
      <c r="K279" s="11">
        <v>6.10930967330932</v>
      </c>
      <c r="L279" s="11" t="s">
        <v>1061</v>
      </c>
      <c r="M279" s="11" t="s">
        <v>1061</v>
      </c>
      <c r="N279" s="11" t="s">
        <v>1062</v>
      </c>
      <c r="O279" s="11" t="s">
        <v>1339</v>
      </c>
    </row>
    <row r="280">
      <c r="A280" s="11">
        <v>6.57968950271606</v>
      </c>
      <c r="B280" s="11">
        <v>4.95806264877319</v>
      </c>
      <c r="C280" s="11" t="s">
        <v>1061</v>
      </c>
      <c r="D280" s="11" t="s">
        <v>1061</v>
      </c>
      <c r="E280" s="11" t="s">
        <v>1062</v>
      </c>
      <c r="F280" s="11" t="s">
        <v>1340</v>
      </c>
      <c r="J280" s="11">
        <v>-2.03631067276</v>
      </c>
      <c r="K280" s="11">
        <v>-1.98403620719909</v>
      </c>
      <c r="L280" s="11" t="s">
        <v>1061</v>
      </c>
      <c r="M280" s="11" t="s">
        <v>1061</v>
      </c>
      <c r="N280" s="11" t="s">
        <v>1062</v>
      </c>
      <c r="O280" s="11" t="s">
        <v>1340</v>
      </c>
    </row>
    <row r="281">
      <c r="A281" s="11">
        <v>44.4119911193847</v>
      </c>
      <c r="B281" s="11">
        <v>23.8994731903076</v>
      </c>
      <c r="C281" s="11" t="s">
        <v>1061</v>
      </c>
      <c r="D281" s="11" t="s">
        <v>1061</v>
      </c>
      <c r="E281" s="11" t="s">
        <v>1062</v>
      </c>
      <c r="F281" s="11" t="s">
        <v>1341</v>
      </c>
      <c r="J281" s="11">
        <v>-32.8819961547851</v>
      </c>
      <c r="K281" s="11">
        <v>22.5708484649658</v>
      </c>
      <c r="L281" s="11" t="s">
        <v>1061</v>
      </c>
      <c r="M281" s="11" t="s">
        <v>1061</v>
      </c>
      <c r="N281" s="11" t="s">
        <v>1062</v>
      </c>
      <c r="O281" s="11" t="s">
        <v>1341</v>
      </c>
    </row>
    <row r="282">
      <c r="A282" s="11">
        <v>82.0471954345703</v>
      </c>
      <c r="B282" s="11">
        <v>-16.37327003479</v>
      </c>
      <c r="C282" s="11" t="s">
        <v>1061</v>
      </c>
      <c r="D282" s="11" t="s">
        <v>1061</v>
      </c>
      <c r="E282" s="11" t="s">
        <v>1062</v>
      </c>
      <c r="F282" s="11" t="s">
        <v>1342</v>
      </c>
      <c r="J282" s="11">
        <v>-37.1183891296386</v>
      </c>
      <c r="K282" s="11">
        <v>29.8424949645996</v>
      </c>
      <c r="L282" s="11" t="s">
        <v>1061</v>
      </c>
      <c r="M282" s="11" t="s">
        <v>1061</v>
      </c>
      <c r="N282" s="11" t="s">
        <v>1062</v>
      </c>
      <c r="O282" s="11" t="s">
        <v>1342</v>
      </c>
    </row>
    <row r="283">
      <c r="A283" s="11">
        <v>-9.24129581451416</v>
      </c>
      <c r="B283" s="11">
        <v>43.9191703796386</v>
      </c>
      <c r="C283" s="11" t="s">
        <v>1061</v>
      </c>
      <c r="D283" s="11" t="s">
        <v>1061</v>
      </c>
      <c r="E283" s="11" t="s">
        <v>1062</v>
      </c>
      <c r="F283" s="11" t="s">
        <v>1343</v>
      </c>
      <c r="J283" s="11">
        <v>50.0010795593261</v>
      </c>
      <c r="K283" s="11">
        <v>-5.08196115493774</v>
      </c>
      <c r="L283" s="11" t="s">
        <v>1061</v>
      </c>
      <c r="M283" s="11" t="s">
        <v>1061</v>
      </c>
      <c r="N283" s="11" t="s">
        <v>1062</v>
      </c>
      <c r="O283" s="11" t="s">
        <v>1343</v>
      </c>
    </row>
    <row r="284">
      <c r="A284" s="11">
        <v>-0.772371530532836</v>
      </c>
      <c r="B284" s="11">
        <v>12.8661708831787</v>
      </c>
      <c r="C284" s="11" t="s">
        <v>1061</v>
      </c>
      <c r="D284" s="11" t="s">
        <v>1061</v>
      </c>
      <c r="E284" s="11" t="s">
        <v>1062</v>
      </c>
      <c r="F284" s="11" t="s">
        <v>1344</v>
      </c>
      <c r="J284" s="11">
        <v>-2.97808170318603</v>
      </c>
      <c r="K284" s="11">
        <v>-5.97358179092407</v>
      </c>
      <c r="L284" s="11" t="s">
        <v>1061</v>
      </c>
      <c r="M284" s="11" t="s">
        <v>1061</v>
      </c>
      <c r="N284" s="11" t="s">
        <v>1062</v>
      </c>
      <c r="O284" s="11" t="s">
        <v>1344</v>
      </c>
    </row>
    <row r="285">
      <c r="A285" s="11">
        <v>84.7103576660156</v>
      </c>
      <c r="B285" s="11">
        <v>-17.8172950744628</v>
      </c>
      <c r="C285" s="11" t="s">
        <v>1061</v>
      </c>
      <c r="D285" s="11" t="s">
        <v>1061</v>
      </c>
      <c r="E285" s="11" t="s">
        <v>1062</v>
      </c>
      <c r="F285" s="11" t="s">
        <v>1345</v>
      </c>
      <c r="J285" s="11">
        <v>-36.7200698852539</v>
      </c>
      <c r="K285" s="11">
        <v>31.1969394683837</v>
      </c>
      <c r="L285" s="11" t="s">
        <v>1061</v>
      </c>
      <c r="M285" s="11" t="s">
        <v>1061</v>
      </c>
      <c r="N285" s="11" t="s">
        <v>1062</v>
      </c>
      <c r="O285" s="11" t="s">
        <v>1345</v>
      </c>
    </row>
    <row r="286">
      <c r="A286" s="11">
        <v>-6.0181713104248</v>
      </c>
      <c r="B286" s="11">
        <v>29.7498302459716</v>
      </c>
      <c r="C286" s="11" t="s">
        <v>1061</v>
      </c>
      <c r="D286" s="11" t="s">
        <v>1061</v>
      </c>
      <c r="E286" s="11" t="s">
        <v>1062</v>
      </c>
      <c r="F286" s="11" t="s">
        <v>1346</v>
      </c>
      <c r="J286" s="11">
        <v>-14.2525663375854</v>
      </c>
      <c r="K286" s="11">
        <v>20.2344207763671</v>
      </c>
      <c r="L286" s="11" t="s">
        <v>1061</v>
      </c>
      <c r="M286" s="11" t="s">
        <v>1061</v>
      </c>
      <c r="N286" s="11" t="s">
        <v>1062</v>
      </c>
      <c r="O286" s="11" t="s">
        <v>1346</v>
      </c>
    </row>
    <row r="287">
      <c r="A287" s="11">
        <v>4.64862442016601</v>
      </c>
      <c r="B287" s="11">
        <v>28.8516502380371</v>
      </c>
      <c r="C287" s="11" t="s">
        <v>1061</v>
      </c>
      <c r="D287" s="11" t="s">
        <v>1061</v>
      </c>
      <c r="E287" s="11" t="s">
        <v>1062</v>
      </c>
      <c r="F287" s="11" t="s">
        <v>1347</v>
      </c>
      <c r="J287" s="11">
        <v>2.43324184417724</v>
      </c>
      <c r="K287" s="11">
        <v>-1.17140102386474</v>
      </c>
      <c r="L287" s="11" t="s">
        <v>1061</v>
      </c>
      <c r="M287" s="11" t="s">
        <v>1061</v>
      </c>
      <c r="N287" s="11" t="s">
        <v>1062</v>
      </c>
      <c r="O287" s="11" t="s">
        <v>1347</v>
      </c>
    </row>
    <row r="288">
      <c r="A288" s="11">
        <v>7.7370319366455</v>
      </c>
      <c r="B288" s="11">
        <v>11.5491495132446</v>
      </c>
      <c r="C288" s="11" t="s">
        <v>1061</v>
      </c>
      <c r="D288" s="11" t="s">
        <v>1061</v>
      </c>
      <c r="E288" s="11" t="s">
        <v>1062</v>
      </c>
      <c r="F288" s="11" t="s">
        <v>1348</v>
      </c>
      <c r="J288" s="11">
        <v>-18.4852962493896</v>
      </c>
      <c r="K288" s="11">
        <v>0.498480945825576</v>
      </c>
      <c r="L288" s="11" t="s">
        <v>1061</v>
      </c>
      <c r="M288" s="11" t="s">
        <v>1061</v>
      </c>
      <c r="N288" s="11" t="s">
        <v>1062</v>
      </c>
      <c r="O288" s="11" t="s">
        <v>1348</v>
      </c>
    </row>
    <row r="289">
      <c r="A289" s="11">
        <v>36.3699684143066</v>
      </c>
      <c r="B289" s="11">
        <v>29.0518474578857</v>
      </c>
      <c r="C289" s="11" t="s">
        <v>1061</v>
      </c>
      <c r="D289" s="11" t="s">
        <v>1061</v>
      </c>
      <c r="E289" s="11" t="s">
        <v>1062</v>
      </c>
      <c r="F289" s="11" t="s">
        <v>1349</v>
      </c>
      <c r="J289" s="11">
        <v>-9.8323745727539</v>
      </c>
      <c r="K289" s="11">
        <v>33.0589065551757</v>
      </c>
      <c r="L289" s="11" t="s">
        <v>1061</v>
      </c>
      <c r="M289" s="11" t="s">
        <v>1061</v>
      </c>
      <c r="N289" s="11" t="s">
        <v>1062</v>
      </c>
      <c r="O289" s="11" t="s">
        <v>1349</v>
      </c>
    </row>
    <row r="290">
      <c r="A290" s="11">
        <v>2.14214372634887</v>
      </c>
      <c r="B290" s="11">
        <v>43.1873664855957</v>
      </c>
      <c r="C290" s="11" t="s">
        <v>1061</v>
      </c>
      <c r="D290" s="11" t="s">
        <v>1061</v>
      </c>
      <c r="E290" s="11" t="s">
        <v>1062</v>
      </c>
      <c r="F290" s="11" t="s">
        <v>1350</v>
      </c>
      <c r="J290" s="11">
        <v>-1.25684368610382</v>
      </c>
      <c r="K290" s="11">
        <v>18.1001796722412</v>
      </c>
      <c r="L290" s="11" t="s">
        <v>1061</v>
      </c>
      <c r="M290" s="11" t="s">
        <v>1061</v>
      </c>
      <c r="N290" s="11" t="s">
        <v>1062</v>
      </c>
      <c r="O290" s="11" t="s">
        <v>1350</v>
      </c>
    </row>
    <row r="291">
      <c r="A291" s="11">
        <v>40.5447082519531</v>
      </c>
      <c r="B291" s="11">
        <v>44.1331329345703</v>
      </c>
      <c r="C291" s="11" t="s">
        <v>1061</v>
      </c>
      <c r="D291" s="11" t="s">
        <v>1061</v>
      </c>
      <c r="E291" s="11" t="s">
        <v>1062</v>
      </c>
      <c r="F291" s="11" t="s">
        <v>1351</v>
      </c>
      <c r="J291" s="11">
        <v>-21.699068069458</v>
      </c>
      <c r="K291" s="11">
        <v>17.4893569946289</v>
      </c>
      <c r="L291" s="11" t="s">
        <v>1061</v>
      </c>
      <c r="M291" s="11" t="s">
        <v>1061</v>
      </c>
      <c r="N291" s="11" t="s">
        <v>1062</v>
      </c>
      <c r="O291" s="11" t="s">
        <v>1351</v>
      </c>
    </row>
    <row r="292">
      <c r="A292" s="11">
        <v>-3.03963541984558</v>
      </c>
      <c r="B292" s="11">
        <v>10.6855640411376</v>
      </c>
      <c r="C292" s="11" t="s">
        <v>1061</v>
      </c>
      <c r="D292" s="11" t="s">
        <v>1061</v>
      </c>
      <c r="E292" s="11" t="s">
        <v>1062</v>
      </c>
      <c r="F292" s="11" t="s">
        <v>1352</v>
      </c>
      <c r="J292" s="11">
        <v>-0.976743817329406</v>
      </c>
      <c r="K292" s="11">
        <v>-7.86388111114501</v>
      </c>
      <c r="L292" s="11" t="s">
        <v>1061</v>
      </c>
      <c r="M292" s="11" t="s">
        <v>1061</v>
      </c>
      <c r="N292" s="11" t="s">
        <v>1062</v>
      </c>
      <c r="O292" s="11" t="s">
        <v>1352</v>
      </c>
    </row>
    <row r="293">
      <c r="A293" s="11">
        <v>42.1449928283691</v>
      </c>
      <c r="B293" s="11">
        <v>4.02955198287963</v>
      </c>
      <c r="C293" s="11" t="s">
        <v>1061</v>
      </c>
      <c r="D293" s="11" t="s">
        <v>1061</v>
      </c>
      <c r="E293" s="11" t="s">
        <v>1062</v>
      </c>
      <c r="F293" s="11" t="s">
        <v>1353</v>
      </c>
      <c r="J293" s="11">
        <v>-33.9958763122558</v>
      </c>
      <c r="K293" s="11">
        <v>18.7103233337402</v>
      </c>
      <c r="L293" s="11" t="s">
        <v>1061</v>
      </c>
      <c r="M293" s="11" t="s">
        <v>1061</v>
      </c>
      <c r="N293" s="11" t="s">
        <v>1062</v>
      </c>
      <c r="O293" s="11" t="s">
        <v>1353</v>
      </c>
    </row>
    <row r="294">
      <c r="A294" s="11">
        <v>74.3815460205078</v>
      </c>
      <c r="B294" s="11">
        <v>-14.2095527648925</v>
      </c>
      <c r="C294" s="11" t="s">
        <v>1061</v>
      </c>
      <c r="D294" s="11" t="s">
        <v>1061</v>
      </c>
      <c r="E294" s="11" t="s">
        <v>1062</v>
      </c>
      <c r="F294" s="11" t="s">
        <v>1354</v>
      </c>
      <c r="J294" s="11">
        <v>-27.3778209686279</v>
      </c>
      <c r="K294" s="11">
        <v>32.9285774230957</v>
      </c>
      <c r="L294" s="11" t="s">
        <v>1061</v>
      </c>
      <c r="M294" s="11" t="s">
        <v>1061</v>
      </c>
      <c r="N294" s="11" t="s">
        <v>1062</v>
      </c>
      <c r="O294" s="11" t="s">
        <v>1354</v>
      </c>
    </row>
    <row r="295">
      <c r="A295" s="11">
        <v>-22.6860446929931</v>
      </c>
      <c r="B295" s="11">
        <v>69.2089614868164</v>
      </c>
      <c r="C295" s="11" t="s">
        <v>1061</v>
      </c>
      <c r="D295" s="11" t="s">
        <v>1061</v>
      </c>
      <c r="E295" s="11" t="s">
        <v>1062</v>
      </c>
      <c r="F295" s="11" t="s">
        <v>1355</v>
      </c>
      <c r="J295" s="11">
        <v>27.4557590484619</v>
      </c>
      <c r="K295" s="11">
        <v>-4.31344652175903</v>
      </c>
      <c r="L295" s="11" t="s">
        <v>1061</v>
      </c>
      <c r="M295" s="11" t="s">
        <v>1061</v>
      </c>
      <c r="N295" s="11" t="s">
        <v>1062</v>
      </c>
      <c r="O295" s="11" t="s">
        <v>1355</v>
      </c>
    </row>
    <row r="296">
      <c r="A296" s="11">
        <v>8.66108512878418</v>
      </c>
      <c r="B296" s="11">
        <v>37.4271240234375</v>
      </c>
      <c r="C296" s="11" t="s">
        <v>1061</v>
      </c>
      <c r="D296" s="11" t="s">
        <v>1061</v>
      </c>
      <c r="E296" s="11" t="s">
        <v>1062</v>
      </c>
      <c r="F296" s="11" t="s">
        <v>1356</v>
      </c>
      <c r="J296" s="11">
        <v>-11.4639158248901</v>
      </c>
      <c r="K296" s="11">
        <v>14.1875133514404</v>
      </c>
      <c r="L296" s="11" t="s">
        <v>1061</v>
      </c>
      <c r="M296" s="11" t="s">
        <v>1061</v>
      </c>
      <c r="N296" s="11" t="s">
        <v>1062</v>
      </c>
      <c r="O296" s="11" t="s">
        <v>1356</v>
      </c>
    </row>
    <row r="297">
      <c r="A297" s="11">
        <v>9.376953125</v>
      </c>
      <c r="B297" s="11">
        <v>14.1601085662841</v>
      </c>
      <c r="C297" s="11" t="s">
        <v>1061</v>
      </c>
      <c r="D297" s="11" t="s">
        <v>1061</v>
      </c>
      <c r="E297" s="11" t="s">
        <v>1062</v>
      </c>
      <c r="F297" s="11" t="s">
        <v>1357</v>
      </c>
      <c r="J297" s="11">
        <v>-6.24468183517456</v>
      </c>
      <c r="K297" s="11">
        <v>-6.4467282295227</v>
      </c>
      <c r="L297" s="11" t="s">
        <v>1061</v>
      </c>
      <c r="M297" s="11" t="s">
        <v>1061</v>
      </c>
      <c r="N297" s="11" t="s">
        <v>1062</v>
      </c>
      <c r="O297" s="11" t="s">
        <v>1357</v>
      </c>
    </row>
    <row r="298">
      <c r="A298" s="11">
        <v>-8.66792964935302</v>
      </c>
      <c r="B298" s="11">
        <v>42.691722869873</v>
      </c>
      <c r="C298" s="11" t="s">
        <v>1061</v>
      </c>
      <c r="D298" s="11" t="s">
        <v>1061</v>
      </c>
      <c r="E298" s="11" t="s">
        <v>1062</v>
      </c>
      <c r="F298" s="11" t="s">
        <v>1358</v>
      </c>
      <c r="J298" s="11">
        <v>51.2727966308593</v>
      </c>
      <c r="K298" s="11">
        <v>-4.03987884521484</v>
      </c>
      <c r="L298" s="11" t="s">
        <v>1061</v>
      </c>
      <c r="M298" s="11" t="s">
        <v>1061</v>
      </c>
      <c r="N298" s="11" t="s">
        <v>1062</v>
      </c>
      <c r="O298" s="11" t="s">
        <v>1358</v>
      </c>
    </row>
    <row r="299">
      <c r="A299" s="11">
        <v>2.57786750793457</v>
      </c>
      <c r="B299" s="11">
        <v>9.13679981231689</v>
      </c>
      <c r="C299" s="11" t="s">
        <v>1061</v>
      </c>
      <c r="D299" s="11" t="s">
        <v>1061</v>
      </c>
      <c r="E299" s="11" t="s">
        <v>1062</v>
      </c>
      <c r="F299" s="11" t="s">
        <v>1359</v>
      </c>
      <c r="J299" s="11">
        <v>-19.7134532928466</v>
      </c>
      <c r="K299" s="11">
        <v>-2.21532917022705</v>
      </c>
      <c r="L299" s="11" t="s">
        <v>1061</v>
      </c>
      <c r="M299" s="11" t="s">
        <v>1061</v>
      </c>
      <c r="N299" s="11" t="s">
        <v>1062</v>
      </c>
      <c r="O299" s="11" t="s">
        <v>1359</v>
      </c>
    </row>
    <row r="300">
      <c r="A300" s="11">
        <v>29.8371791839599</v>
      </c>
      <c r="B300" s="11">
        <v>13.6645174026489</v>
      </c>
      <c r="C300" s="11" t="s">
        <v>1061</v>
      </c>
      <c r="D300" s="11" t="s">
        <v>1061</v>
      </c>
      <c r="E300" s="11" t="s">
        <v>1062</v>
      </c>
      <c r="F300" s="11" t="s">
        <v>1360</v>
      </c>
      <c r="J300" s="11">
        <v>-15.5510892868042</v>
      </c>
      <c r="K300" s="11">
        <v>24.6065158843994</v>
      </c>
      <c r="L300" s="11" t="s">
        <v>1061</v>
      </c>
      <c r="M300" s="11" t="s">
        <v>1061</v>
      </c>
      <c r="N300" s="11" t="s">
        <v>1062</v>
      </c>
      <c r="O300" s="11" t="s">
        <v>1360</v>
      </c>
    </row>
    <row r="301">
      <c r="A301" s="11">
        <v>27.6072254180908</v>
      </c>
      <c r="B301" s="11">
        <v>23.8568134307861</v>
      </c>
      <c r="C301" s="11" t="s">
        <v>1061</v>
      </c>
      <c r="D301" s="11" t="s">
        <v>1061</v>
      </c>
      <c r="E301" s="11" t="s">
        <v>1062</v>
      </c>
      <c r="F301" s="11" t="s">
        <v>1361</v>
      </c>
      <c r="J301" s="11">
        <v>-23.4732570648193</v>
      </c>
      <c r="K301" s="11">
        <v>14.4745569229125</v>
      </c>
      <c r="L301" s="11" t="s">
        <v>1061</v>
      </c>
      <c r="M301" s="11" t="s">
        <v>1061</v>
      </c>
      <c r="N301" s="11" t="s">
        <v>1062</v>
      </c>
      <c r="O301" s="11" t="s">
        <v>1361</v>
      </c>
    </row>
    <row r="302">
      <c r="A302" s="11">
        <v>-13.895803451538</v>
      </c>
      <c r="B302" s="11">
        <v>30.86789894104</v>
      </c>
      <c r="C302" s="11" t="s">
        <v>1061</v>
      </c>
      <c r="D302" s="11" t="s">
        <v>1061</v>
      </c>
      <c r="E302" s="11" t="s">
        <v>1062</v>
      </c>
      <c r="F302" s="11" t="s">
        <v>1362</v>
      </c>
      <c r="J302" s="11">
        <v>10.1040601730346</v>
      </c>
      <c r="K302" s="11">
        <v>8.41381359100341</v>
      </c>
      <c r="L302" s="11" t="s">
        <v>1061</v>
      </c>
      <c r="M302" s="11" t="s">
        <v>1061</v>
      </c>
      <c r="N302" s="11" t="s">
        <v>1062</v>
      </c>
      <c r="O302" s="11" t="s">
        <v>1362</v>
      </c>
    </row>
    <row r="303">
      <c r="A303" s="11">
        <v>16.0887088775634</v>
      </c>
      <c r="B303" s="11">
        <v>12.5472421646118</v>
      </c>
      <c r="C303" s="11" t="s">
        <v>1061</v>
      </c>
      <c r="D303" s="11" t="s">
        <v>1061</v>
      </c>
      <c r="E303" s="11" t="s">
        <v>1062</v>
      </c>
      <c r="F303" s="11" t="s">
        <v>1363</v>
      </c>
      <c r="J303" s="11">
        <v>-12.5807695388793</v>
      </c>
      <c r="K303" s="11">
        <v>-9.62657165527343</v>
      </c>
      <c r="L303" s="11" t="s">
        <v>1061</v>
      </c>
      <c r="M303" s="11" t="s">
        <v>1061</v>
      </c>
      <c r="N303" s="11" t="s">
        <v>1062</v>
      </c>
      <c r="O303" s="11" t="s">
        <v>1363</v>
      </c>
    </row>
    <row r="304">
      <c r="A304" s="11">
        <v>-13.895803451538</v>
      </c>
      <c r="B304" s="11">
        <v>30.86789894104</v>
      </c>
      <c r="C304" s="11" t="s">
        <v>1061</v>
      </c>
      <c r="D304" s="11" t="s">
        <v>1061</v>
      </c>
      <c r="E304" s="11" t="s">
        <v>1062</v>
      </c>
      <c r="F304" s="11" t="s">
        <v>1364</v>
      </c>
      <c r="J304" s="11">
        <v>10.1040601730346</v>
      </c>
      <c r="K304" s="11">
        <v>8.41381359100341</v>
      </c>
      <c r="L304" s="11" t="s">
        <v>1061</v>
      </c>
      <c r="M304" s="11" t="s">
        <v>1061</v>
      </c>
      <c r="N304" s="11" t="s">
        <v>1062</v>
      </c>
      <c r="O304" s="11" t="s">
        <v>1364</v>
      </c>
    </row>
    <row r="305">
      <c r="A305" s="11">
        <v>3.42083311080932</v>
      </c>
      <c r="B305" s="11">
        <v>7.6325831413269</v>
      </c>
      <c r="C305" s="11" t="s">
        <v>1061</v>
      </c>
      <c r="D305" s="11" t="s">
        <v>1061</v>
      </c>
      <c r="E305" s="11" t="s">
        <v>1062</v>
      </c>
      <c r="F305" s="11" t="s">
        <v>1365</v>
      </c>
      <c r="J305" s="11">
        <v>-20.0142936706542</v>
      </c>
      <c r="K305" s="11">
        <v>15.3611536026</v>
      </c>
      <c r="L305" s="11" t="s">
        <v>1061</v>
      </c>
      <c r="M305" s="11" t="s">
        <v>1061</v>
      </c>
      <c r="N305" s="11" t="s">
        <v>1062</v>
      </c>
      <c r="O305" s="11" t="s">
        <v>1365</v>
      </c>
    </row>
    <row r="306">
      <c r="A306" s="11">
        <v>13.0761241912841</v>
      </c>
      <c r="B306" s="11">
        <v>24.3737392425537</v>
      </c>
      <c r="C306" s="11" t="s">
        <v>1061</v>
      </c>
      <c r="D306" s="11" t="s">
        <v>1061</v>
      </c>
      <c r="E306" s="11" t="s">
        <v>1062</v>
      </c>
      <c r="F306" s="11" t="s">
        <v>1366</v>
      </c>
      <c r="J306" s="11">
        <v>10.9028930664062</v>
      </c>
      <c r="K306" s="11">
        <v>4.06673526763916</v>
      </c>
      <c r="L306" s="11" t="s">
        <v>1061</v>
      </c>
      <c r="M306" s="11" t="s">
        <v>1061</v>
      </c>
      <c r="N306" s="11" t="s">
        <v>1062</v>
      </c>
      <c r="O306" s="11" t="s">
        <v>1366</v>
      </c>
    </row>
    <row r="307">
      <c r="A307" s="11">
        <v>83.6805801391601</v>
      </c>
      <c r="B307" s="11">
        <v>-18.8493614196777</v>
      </c>
      <c r="C307" s="11" t="s">
        <v>1061</v>
      </c>
      <c r="D307" s="11" t="s">
        <v>1061</v>
      </c>
      <c r="E307" s="11" t="s">
        <v>1062</v>
      </c>
      <c r="F307" s="11" t="s">
        <v>1367</v>
      </c>
      <c r="J307" s="11">
        <v>-38.8525009155273</v>
      </c>
      <c r="K307" s="11">
        <v>31.8676452636718</v>
      </c>
      <c r="L307" s="11" t="s">
        <v>1061</v>
      </c>
      <c r="M307" s="11" t="s">
        <v>1061</v>
      </c>
      <c r="N307" s="11" t="s">
        <v>1062</v>
      </c>
      <c r="O307" s="11" t="s">
        <v>1367</v>
      </c>
    </row>
    <row r="308">
      <c r="A308" s="11">
        <v>5.43507719039917</v>
      </c>
      <c r="B308" s="11">
        <v>12.7212696075439</v>
      </c>
      <c r="C308" s="11" t="s">
        <v>1061</v>
      </c>
      <c r="D308" s="11" t="s">
        <v>1061</v>
      </c>
      <c r="E308" s="11" t="s">
        <v>1062</v>
      </c>
      <c r="F308" s="11" t="s">
        <v>1368</v>
      </c>
      <c r="J308" s="11">
        <v>-34.1994743347168</v>
      </c>
      <c r="K308" s="11">
        <v>14.8796339035034</v>
      </c>
      <c r="L308" s="11" t="s">
        <v>1061</v>
      </c>
      <c r="M308" s="11" t="s">
        <v>1061</v>
      </c>
      <c r="N308" s="11" t="s">
        <v>1062</v>
      </c>
      <c r="O308" s="11" t="s">
        <v>1368</v>
      </c>
    </row>
    <row r="309">
      <c r="A309" s="11">
        <v>5.57041978836059</v>
      </c>
      <c r="B309" s="11">
        <v>5.54185533523559</v>
      </c>
      <c r="C309" s="11" t="s">
        <v>1061</v>
      </c>
      <c r="D309" s="11" t="s">
        <v>1061</v>
      </c>
      <c r="E309" s="11" t="s">
        <v>1062</v>
      </c>
      <c r="F309" s="11" t="s">
        <v>1369</v>
      </c>
      <c r="J309" s="11">
        <v>-2.03631067276</v>
      </c>
      <c r="K309" s="11">
        <v>-1.98403620719909</v>
      </c>
      <c r="L309" s="11" t="s">
        <v>1061</v>
      </c>
      <c r="M309" s="11" t="s">
        <v>1061</v>
      </c>
      <c r="N309" s="11" t="s">
        <v>1062</v>
      </c>
      <c r="O309" s="11" t="s">
        <v>1369</v>
      </c>
    </row>
    <row r="310">
      <c r="A310" s="11">
        <v>22.4552040100097</v>
      </c>
      <c r="B310" s="11">
        <v>54.0348205566406</v>
      </c>
      <c r="C310" s="11" t="s">
        <v>1061</v>
      </c>
      <c r="D310" s="11" t="s">
        <v>1061</v>
      </c>
      <c r="E310" s="11" t="s">
        <v>1062</v>
      </c>
      <c r="F310" s="11" t="s">
        <v>1370</v>
      </c>
      <c r="J310" s="11">
        <v>-17.2262287139892</v>
      </c>
      <c r="K310" s="11">
        <v>27.4921112060546</v>
      </c>
      <c r="L310" s="11" t="s">
        <v>1061</v>
      </c>
      <c r="M310" s="11" t="s">
        <v>1061</v>
      </c>
      <c r="N310" s="11" t="s">
        <v>1062</v>
      </c>
      <c r="O310" s="11" t="s">
        <v>1370</v>
      </c>
    </row>
    <row r="311">
      <c r="A311" s="11">
        <v>64.7237930297851</v>
      </c>
      <c r="B311" s="11">
        <v>14.4317760467529</v>
      </c>
      <c r="C311" s="11" t="s">
        <v>1061</v>
      </c>
      <c r="D311" s="11" t="s">
        <v>1061</v>
      </c>
      <c r="E311" s="11" t="s">
        <v>1062</v>
      </c>
      <c r="F311" s="11" t="s">
        <v>1371</v>
      </c>
      <c r="J311" s="11">
        <v>-28.2528171539306</v>
      </c>
      <c r="K311" s="11">
        <v>27.2777023315429</v>
      </c>
      <c r="L311" s="11" t="s">
        <v>1061</v>
      </c>
      <c r="M311" s="11" t="s">
        <v>1061</v>
      </c>
      <c r="N311" s="11" t="s">
        <v>1062</v>
      </c>
      <c r="O311" s="11" t="s">
        <v>1371</v>
      </c>
    </row>
    <row r="312">
      <c r="A312" s="11">
        <v>34.4230766296386</v>
      </c>
      <c r="B312" s="11">
        <v>16.8843383789062</v>
      </c>
      <c r="C312" s="11" t="s">
        <v>1061</v>
      </c>
      <c r="D312" s="11" t="s">
        <v>1061</v>
      </c>
      <c r="E312" s="11" t="s">
        <v>1062</v>
      </c>
      <c r="F312" s="11" t="s">
        <v>1372</v>
      </c>
      <c r="J312" s="11">
        <v>-24.0869998931884</v>
      </c>
      <c r="K312" s="11">
        <v>5.73732233047485</v>
      </c>
      <c r="L312" s="11" t="s">
        <v>1061</v>
      </c>
      <c r="M312" s="11" t="s">
        <v>1061</v>
      </c>
      <c r="N312" s="11" t="s">
        <v>1062</v>
      </c>
      <c r="O312" s="11" t="s">
        <v>1372</v>
      </c>
    </row>
    <row r="313">
      <c r="A313" s="11">
        <v>1.1049438714981</v>
      </c>
      <c r="B313" s="11">
        <v>26.4521770477294</v>
      </c>
      <c r="C313" s="11" t="s">
        <v>1061</v>
      </c>
      <c r="D313" s="11" t="s">
        <v>1061</v>
      </c>
      <c r="E313" s="11" t="s">
        <v>1062</v>
      </c>
      <c r="F313" s="11" t="s">
        <v>1373</v>
      </c>
      <c r="J313" s="11">
        <v>-1.35452485084533</v>
      </c>
      <c r="K313" s="11">
        <v>3.27176213264465</v>
      </c>
      <c r="L313" s="11" t="s">
        <v>1061</v>
      </c>
      <c r="M313" s="11" t="s">
        <v>1061</v>
      </c>
      <c r="N313" s="11" t="s">
        <v>1062</v>
      </c>
      <c r="O313" s="11" t="s">
        <v>1373</v>
      </c>
    </row>
    <row r="314">
      <c r="A314" s="11">
        <v>52.5279731750488</v>
      </c>
      <c r="B314" s="11">
        <v>10.7550201416015</v>
      </c>
      <c r="C314" s="11" t="s">
        <v>1061</v>
      </c>
      <c r="D314" s="11" t="s">
        <v>1061</v>
      </c>
      <c r="E314" s="11" t="s">
        <v>1062</v>
      </c>
      <c r="F314" s="11" t="s">
        <v>1374</v>
      </c>
      <c r="J314" s="11">
        <v>-27.6322689056396</v>
      </c>
      <c r="K314" s="11">
        <v>23.9977378845214</v>
      </c>
      <c r="L314" s="11" t="s">
        <v>1061</v>
      </c>
      <c r="M314" s="11" t="s">
        <v>1061</v>
      </c>
      <c r="N314" s="11" t="s">
        <v>1062</v>
      </c>
      <c r="O314" s="11" t="s">
        <v>1374</v>
      </c>
    </row>
    <row r="315">
      <c r="A315" s="11">
        <v>-15.5687923431396</v>
      </c>
      <c r="B315" s="11">
        <v>48.9314727783203</v>
      </c>
      <c r="C315" s="11" t="s">
        <v>1061</v>
      </c>
      <c r="D315" s="11" t="s">
        <v>1061</v>
      </c>
      <c r="E315" s="11" t="s">
        <v>1062</v>
      </c>
      <c r="F315" s="11" t="s">
        <v>1375</v>
      </c>
      <c r="J315" s="11">
        <v>40.0456962585449</v>
      </c>
      <c r="K315" s="11">
        <v>-14.5238285064697</v>
      </c>
      <c r="L315" s="11" t="s">
        <v>1061</v>
      </c>
      <c r="M315" s="11" t="s">
        <v>1061</v>
      </c>
      <c r="N315" s="11" t="s">
        <v>1062</v>
      </c>
      <c r="O315" s="11" t="s">
        <v>1375</v>
      </c>
    </row>
    <row r="316">
      <c r="A316" s="11">
        <v>16.5506610870361</v>
      </c>
      <c r="B316" s="11">
        <v>32.1207008361816</v>
      </c>
      <c r="C316" s="11" t="s">
        <v>1061</v>
      </c>
      <c r="D316" s="11" t="s">
        <v>1061</v>
      </c>
      <c r="E316" s="11" t="s">
        <v>1062</v>
      </c>
      <c r="F316" s="11" t="s">
        <v>1376</v>
      </c>
      <c r="J316" s="11">
        <v>-26.8004207611084</v>
      </c>
      <c r="K316" s="11">
        <v>21.9233779907226</v>
      </c>
      <c r="L316" s="11" t="s">
        <v>1061</v>
      </c>
      <c r="M316" s="11" t="s">
        <v>1061</v>
      </c>
      <c r="N316" s="11" t="s">
        <v>1062</v>
      </c>
      <c r="O316" s="11" t="s">
        <v>1376</v>
      </c>
    </row>
    <row r="317">
      <c r="A317" s="11">
        <v>12.867335319519</v>
      </c>
      <c r="B317" s="11">
        <v>5.03124713897705</v>
      </c>
      <c r="C317" s="11" t="s">
        <v>1061</v>
      </c>
      <c r="D317" s="11" t="s">
        <v>1061</v>
      </c>
      <c r="E317" s="11" t="s">
        <v>1062</v>
      </c>
      <c r="F317" s="11" t="s">
        <v>1377</v>
      </c>
      <c r="J317" s="11">
        <v>-29.8395061492919</v>
      </c>
      <c r="K317" s="11">
        <v>16.7529239654541</v>
      </c>
      <c r="L317" s="11" t="s">
        <v>1061</v>
      </c>
      <c r="M317" s="11" t="s">
        <v>1061</v>
      </c>
      <c r="N317" s="11" t="s">
        <v>1062</v>
      </c>
      <c r="O317" s="11" t="s">
        <v>1377</v>
      </c>
    </row>
    <row r="318">
      <c r="A318" s="11">
        <v>-6.12587642669677</v>
      </c>
      <c r="B318" s="11">
        <v>34.4545707702636</v>
      </c>
      <c r="C318" s="11" t="s">
        <v>1061</v>
      </c>
      <c r="D318" s="11" t="s">
        <v>1061</v>
      </c>
      <c r="E318" s="11" t="s">
        <v>1062</v>
      </c>
      <c r="F318" s="11" t="s">
        <v>1378</v>
      </c>
      <c r="J318" s="11">
        <v>54.0180015563964</v>
      </c>
      <c r="K318" s="11">
        <v>-23.122444152832</v>
      </c>
      <c r="L318" s="11" t="s">
        <v>1061</v>
      </c>
      <c r="M318" s="11" t="s">
        <v>1061</v>
      </c>
      <c r="N318" s="11" t="s">
        <v>1062</v>
      </c>
      <c r="O318" s="11" t="s">
        <v>1378</v>
      </c>
    </row>
    <row r="319">
      <c r="A319" s="11">
        <v>-1.23034691810607</v>
      </c>
      <c r="B319" s="11">
        <v>13.3328504562377</v>
      </c>
      <c r="C319" s="11" t="s">
        <v>1061</v>
      </c>
      <c r="D319" s="11" t="s">
        <v>1061</v>
      </c>
      <c r="E319" s="11" t="s">
        <v>1062</v>
      </c>
      <c r="F319" s="11" t="s">
        <v>1379</v>
      </c>
      <c r="J319" s="11">
        <v>-3.13654899597167</v>
      </c>
      <c r="K319" s="11">
        <v>-6.23199605941772</v>
      </c>
      <c r="L319" s="11" t="s">
        <v>1061</v>
      </c>
      <c r="M319" s="11" t="s">
        <v>1061</v>
      </c>
      <c r="N319" s="11" t="s">
        <v>1062</v>
      </c>
      <c r="O319" s="11" t="s">
        <v>1379</v>
      </c>
    </row>
    <row r="320">
      <c r="A320" s="11">
        <v>3.77493476867675</v>
      </c>
      <c r="B320" s="11">
        <v>16.9059562683105</v>
      </c>
      <c r="C320" s="11" t="s">
        <v>1061</v>
      </c>
      <c r="D320" s="11" t="s">
        <v>1061</v>
      </c>
      <c r="E320" s="11" t="s">
        <v>1062</v>
      </c>
      <c r="F320" s="11" t="s">
        <v>1380</v>
      </c>
      <c r="J320" s="11">
        <v>-14.4924955368042</v>
      </c>
      <c r="K320" s="11">
        <v>8.95242118835449</v>
      </c>
      <c r="L320" s="11" t="s">
        <v>1061</v>
      </c>
      <c r="M320" s="11" t="s">
        <v>1061</v>
      </c>
      <c r="N320" s="11" t="s">
        <v>1062</v>
      </c>
      <c r="O320" s="11" t="s">
        <v>1380</v>
      </c>
    </row>
    <row r="321">
      <c r="A321" s="11">
        <v>-4.81824731826782</v>
      </c>
      <c r="B321" s="11">
        <v>23.5961971282959</v>
      </c>
      <c r="C321" s="11" t="s">
        <v>1061</v>
      </c>
      <c r="D321" s="11" t="s">
        <v>1061</v>
      </c>
      <c r="E321" s="11" t="s">
        <v>1062</v>
      </c>
      <c r="F321" s="11" t="s">
        <v>1381</v>
      </c>
      <c r="J321" s="11">
        <v>0.0902453735470771</v>
      </c>
      <c r="K321" s="11">
        <v>22.3254871368408</v>
      </c>
      <c r="L321" s="11" t="s">
        <v>1061</v>
      </c>
      <c r="M321" s="11" t="s">
        <v>1061</v>
      </c>
      <c r="N321" s="11" t="s">
        <v>1062</v>
      </c>
      <c r="O321" s="11" t="s">
        <v>1381</v>
      </c>
    </row>
    <row r="322">
      <c r="A322" s="11">
        <v>-4.59228229522705</v>
      </c>
      <c r="B322" s="11">
        <v>-7.4959750175476</v>
      </c>
      <c r="C322" s="11" t="s">
        <v>1061</v>
      </c>
      <c r="D322" s="11" t="s">
        <v>1061</v>
      </c>
      <c r="E322" s="11" t="s">
        <v>1062</v>
      </c>
      <c r="F322" s="11" t="s">
        <v>1382</v>
      </c>
      <c r="J322" s="11">
        <v>-25.8897304534912</v>
      </c>
      <c r="K322" s="11">
        <v>-4.29007625579834</v>
      </c>
      <c r="L322" s="11" t="s">
        <v>1061</v>
      </c>
      <c r="M322" s="11" t="s">
        <v>1061</v>
      </c>
      <c r="N322" s="11" t="s">
        <v>1062</v>
      </c>
      <c r="O322" s="11" t="s">
        <v>1382</v>
      </c>
    </row>
    <row r="323">
      <c r="A323" s="11">
        <v>73.6315155029296</v>
      </c>
      <c r="B323" s="11">
        <v>-12.5273513793945</v>
      </c>
      <c r="C323" s="11" t="s">
        <v>1061</v>
      </c>
      <c r="D323" s="11" t="s">
        <v>1061</v>
      </c>
      <c r="E323" s="11" t="s">
        <v>1062</v>
      </c>
      <c r="F323" s="11" t="s">
        <v>1383</v>
      </c>
      <c r="J323" s="11">
        <v>-30.2949123382568</v>
      </c>
      <c r="K323" s="11">
        <v>30.5411281585693</v>
      </c>
      <c r="L323" s="11" t="s">
        <v>1061</v>
      </c>
      <c r="M323" s="11" t="s">
        <v>1061</v>
      </c>
      <c r="N323" s="11" t="s">
        <v>1062</v>
      </c>
      <c r="O323" s="11" t="s">
        <v>1383</v>
      </c>
    </row>
    <row r="324">
      <c r="A324" s="11">
        <v>16.8007946014404</v>
      </c>
      <c r="B324" s="11">
        <v>-5.29892110824585</v>
      </c>
      <c r="C324" s="11" t="s">
        <v>1061</v>
      </c>
      <c r="D324" s="11" t="s">
        <v>1061</v>
      </c>
      <c r="E324" s="11" t="s">
        <v>1062</v>
      </c>
      <c r="F324" s="11" t="s">
        <v>1385</v>
      </c>
      <c r="J324" s="11">
        <v>-4.30162811279296</v>
      </c>
      <c r="K324" s="11">
        <v>8.68943500518798</v>
      </c>
      <c r="L324" s="11" t="s">
        <v>1061</v>
      </c>
      <c r="M324" s="11" t="s">
        <v>1061</v>
      </c>
      <c r="N324" s="11" t="s">
        <v>1062</v>
      </c>
      <c r="O324" s="11" t="s">
        <v>1385</v>
      </c>
    </row>
    <row r="325">
      <c r="A325" s="11">
        <v>20.3158359527587</v>
      </c>
      <c r="B325" s="11">
        <v>14.7116270065307</v>
      </c>
      <c r="C325" s="11" t="s">
        <v>1061</v>
      </c>
      <c r="D325" s="11" t="s">
        <v>1061</v>
      </c>
      <c r="E325" s="11" t="s">
        <v>1062</v>
      </c>
      <c r="F325" s="11" t="s">
        <v>1388</v>
      </c>
      <c r="J325" s="11">
        <v>-9.13114547729492</v>
      </c>
      <c r="K325" s="11">
        <v>-3.11155986785888</v>
      </c>
      <c r="L325" s="11" t="s">
        <v>1061</v>
      </c>
      <c r="M325" s="11" t="s">
        <v>1061</v>
      </c>
      <c r="N325" s="11" t="s">
        <v>1062</v>
      </c>
      <c r="O325" s="11" t="s">
        <v>1388</v>
      </c>
    </row>
    <row r="326">
      <c r="A326" s="11">
        <v>-36.3453674316406</v>
      </c>
      <c r="B326" s="11">
        <v>57.4246215820312</v>
      </c>
      <c r="C326" s="11" t="s">
        <v>1061</v>
      </c>
      <c r="D326" s="11" t="s">
        <v>1061</v>
      </c>
      <c r="E326" s="11" t="s">
        <v>1062</v>
      </c>
      <c r="F326" s="11" t="s">
        <v>1389</v>
      </c>
      <c r="J326" s="11">
        <v>28.8771915435791</v>
      </c>
      <c r="K326" s="11">
        <v>7.38306474685668</v>
      </c>
      <c r="L326" s="11" t="s">
        <v>1061</v>
      </c>
      <c r="M326" s="11" t="s">
        <v>1061</v>
      </c>
      <c r="N326" s="11" t="s">
        <v>1062</v>
      </c>
      <c r="O326" s="11" t="s">
        <v>1389</v>
      </c>
    </row>
    <row r="327">
      <c r="A327" s="11">
        <v>33.8406562805175</v>
      </c>
      <c r="B327" s="11">
        <v>16.1842041015625</v>
      </c>
      <c r="C327" s="11" t="s">
        <v>1061</v>
      </c>
      <c r="D327" s="11" t="s">
        <v>1061</v>
      </c>
      <c r="E327" s="11" t="s">
        <v>1062</v>
      </c>
      <c r="F327" s="11" t="s">
        <v>1392</v>
      </c>
      <c r="J327" s="11">
        <v>-24.8882179260253</v>
      </c>
      <c r="K327" s="11">
        <v>5.71578311920166</v>
      </c>
      <c r="L327" s="11" t="s">
        <v>1061</v>
      </c>
      <c r="M327" s="11" t="s">
        <v>1061</v>
      </c>
      <c r="N327" s="11" t="s">
        <v>1062</v>
      </c>
      <c r="O327" s="11" t="s">
        <v>1392</v>
      </c>
    </row>
    <row r="328">
      <c r="A328" s="11">
        <v>-19.8319206237792</v>
      </c>
      <c r="B328" s="11">
        <v>12.4070692062377</v>
      </c>
      <c r="C328" s="11" t="s">
        <v>1061</v>
      </c>
      <c r="D328" s="11" t="s">
        <v>1061</v>
      </c>
      <c r="E328" s="11" t="s">
        <v>1062</v>
      </c>
      <c r="F328" s="11" t="s">
        <v>1395</v>
      </c>
      <c r="J328" s="11">
        <v>-7.05793762207031</v>
      </c>
      <c r="K328" s="11">
        <v>44.0193862915039</v>
      </c>
      <c r="L328" s="11" t="s">
        <v>1061</v>
      </c>
      <c r="M328" s="11" t="s">
        <v>1061</v>
      </c>
      <c r="N328" s="11" t="s">
        <v>1062</v>
      </c>
      <c r="O328" s="11" t="s">
        <v>1395</v>
      </c>
    </row>
    <row r="329">
      <c r="A329" s="11">
        <v>1.28233778476715</v>
      </c>
      <c r="B329" s="11">
        <v>42.8525276184082</v>
      </c>
      <c r="C329" s="11" t="s">
        <v>1061</v>
      </c>
      <c r="D329" s="11" t="s">
        <v>1061</v>
      </c>
      <c r="E329" s="11" t="s">
        <v>1062</v>
      </c>
      <c r="F329" s="11" t="s">
        <v>1396</v>
      </c>
      <c r="J329" s="11">
        <v>-1.60423052310943</v>
      </c>
      <c r="K329" s="11">
        <v>17.6142139434814</v>
      </c>
      <c r="L329" s="11" t="s">
        <v>1061</v>
      </c>
      <c r="M329" s="11" t="s">
        <v>1061</v>
      </c>
      <c r="N329" s="11" t="s">
        <v>1062</v>
      </c>
      <c r="O329" s="11" t="s">
        <v>1396</v>
      </c>
    </row>
    <row r="330">
      <c r="A330" s="11">
        <v>7.81012058258056</v>
      </c>
      <c r="B330" s="11">
        <v>23.1185474395751</v>
      </c>
      <c r="C330" s="11" t="s">
        <v>1061</v>
      </c>
      <c r="D330" s="11" t="s">
        <v>1061</v>
      </c>
      <c r="E330" s="11" t="s">
        <v>1062</v>
      </c>
      <c r="F330" s="11" t="s">
        <v>1398</v>
      </c>
      <c r="J330" s="11">
        <v>7.05896520614624</v>
      </c>
      <c r="K330" s="11">
        <v>-20.7561454772949</v>
      </c>
      <c r="L330" s="11" t="s">
        <v>1061</v>
      </c>
      <c r="M330" s="11" t="s">
        <v>1061</v>
      </c>
      <c r="N330" s="11" t="s">
        <v>1062</v>
      </c>
      <c r="O330" s="11" t="s">
        <v>1398</v>
      </c>
    </row>
    <row r="331">
      <c r="A331" s="11">
        <v>16.0131378173828</v>
      </c>
      <c r="B331" s="11">
        <v>31.0167064666748</v>
      </c>
      <c r="C331" s="11" t="s">
        <v>1061</v>
      </c>
      <c r="D331" s="11" t="s">
        <v>1061</v>
      </c>
      <c r="E331" s="11" t="s">
        <v>1062</v>
      </c>
      <c r="F331" s="11" t="s">
        <v>1400</v>
      </c>
      <c r="J331" s="11">
        <v>-27.7182464599609</v>
      </c>
      <c r="K331" s="11">
        <v>20.7707290649414</v>
      </c>
      <c r="L331" s="11" t="s">
        <v>1061</v>
      </c>
      <c r="M331" s="11" t="s">
        <v>1061</v>
      </c>
      <c r="N331" s="11" t="s">
        <v>1062</v>
      </c>
      <c r="O331" s="11" t="s">
        <v>1400</v>
      </c>
    </row>
    <row r="332">
      <c r="A332" s="11">
        <v>2.76035857200622</v>
      </c>
      <c r="B332" s="11">
        <v>23.6318626403808</v>
      </c>
      <c r="C332" s="11" t="s">
        <v>1061</v>
      </c>
      <c r="D332" s="11" t="s">
        <v>1061</v>
      </c>
      <c r="E332" s="11" t="s">
        <v>1062</v>
      </c>
      <c r="F332" s="11" t="s">
        <v>1402</v>
      </c>
      <c r="J332" s="11">
        <v>-4.83954620361328</v>
      </c>
      <c r="K332" s="11">
        <v>3.95097064971923</v>
      </c>
      <c r="L332" s="11" t="s">
        <v>1061</v>
      </c>
      <c r="M332" s="11" t="s">
        <v>1061</v>
      </c>
      <c r="N332" s="11" t="s">
        <v>1062</v>
      </c>
      <c r="O332" s="11" t="s">
        <v>1402</v>
      </c>
    </row>
    <row r="333">
      <c r="A333" s="11">
        <v>-4.81729173660278</v>
      </c>
      <c r="B333" s="11">
        <v>38.3403587341308</v>
      </c>
      <c r="C333" s="11" t="s">
        <v>1061</v>
      </c>
      <c r="D333" s="11" t="s">
        <v>1061</v>
      </c>
      <c r="E333" s="11" t="s">
        <v>1062</v>
      </c>
      <c r="F333" s="11" t="s">
        <v>1404</v>
      </c>
      <c r="J333" s="11">
        <v>-7.15566730499267</v>
      </c>
      <c r="K333" s="11">
        <v>11.2337703704833</v>
      </c>
      <c r="L333" s="11" t="s">
        <v>1061</v>
      </c>
      <c r="M333" s="11" t="s">
        <v>1061</v>
      </c>
      <c r="N333" s="11" t="s">
        <v>1062</v>
      </c>
      <c r="O333" s="11" t="s">
        <v>1404</v>
      </c>
    </row>
    <row r="334">
      <c r="A334" s="11">
        <v>-22.6860446929931</v>
      </c>
      <c r="B334" s="11">
        <v>69.2089614868164</v>
      </c>
      <c r="C334" s="11" t="s">
        <v>1061</v>
      </c>
      <c r="D334" s="11" t="s">
        <v>1061</v>
      </c>
      <c r="E334" s="11" t="s">
        <v>1062</v>
      </c>
      <c r="F334" s="11" t="s">
        <v>1406</v>
      </c>
      <c r="J334" s="11">
        <v>27.4557590484619</v>
      </c>
      <c r="K334" s="11">
        <v>-4.31344652175903</v>
      </c>
      <c r="L334" s="11" t="s">
        <v>1061</v>
      </c>
      <c r="M334" s="11" t="s">
        <v>1061</v>
      </c>
      <c r="N334" s="11" t="s">
        <v>1062</v>
      </c>
      <c r="O334" s="11" t="s">
        <v>1406</v>
      </c>
    </row>
    <row r="335">
      <c r="A335" s="11">
        <v>64.3397445678711</v>
      </c>
      <c r="B335" s="11">
        <v>13.8532495498657</v>
      </c>
      <c r="C335" s="11" t="s">
        <v>1061</v>
      </c>
      <c r="D335" s="11" t="s">
        <v>1061</v>
      </c>
      <c r="E335" s="11" t="s">
        <v>1062</v>
      </c>
      <c r="F335" s="11" t="s">
        <v>1408</v>
      </c>
      <c r="J335" s="11">
        <v>-28.2678546905517</v>
      </c>
      <c r="K335" s="11">
        <v>27.3004570007324</v>
      </c>
      <c r="L335" s="11" t="s">
        <v>1061</v>
      </c>
      <c r="M335" s="11" t="s">
        <v>1061</v>
      </c>
      <c r="N335" s="11" t="s">
        <v>1062</v>
      </c>
      <c r="O335" s="11" t="s">
        <v>1408</v>
      </c>
    </row>
    <row r="336">
      <c r="A336" s="11">
        <v>-10.8142957687377</v>
      </c>
      <c r="B336" s="11">
        <v>35.1382369995117</v>
      </c>
      <c r="C336" s="11" t="s">
        <v>1061</v>
      </c>
      <c r="D336" s="11" t="s">
        <v>1061</v>
      </c>
      <c r="E336" s="11" t="s">
        <v>1062</v>
      </c>
      <c r="F336" s="11" t="s">
        <v>1410</v>
      </c>
      <c r="J336" s="11">
        <v>-1.71781027317047</v>
      </c>
      <c r="K336" s="11">
        <v>12.2184009552001</v>
      </c>
      <c r="L336" s="11" t="s">
        <v>1061</v>
      </c>
      <c r="M336" s="11" t="s">
        <v>1061</v>
      </c>
      <c r="N336" s="11" t="s">
        <v>1062</v>
      </c>
      <c r="O336" s="11" t="s">
        <v>1410</v>
      </c>
    </row>
    <row r="337">
      <c r="A337" s="11">
        <v>8.35590839385986</v>
      </c>
      <c r="B337" s="11">
        <v>31.089635848999</v>
      </c>
      <c r="C337" s="11" t="s">
        <v>1061</v>
      </c>
      <c r="D337" s="11" t="s">
        <v>1061</v>
      </c>
      <c r="E337" s="11" t="s">
        <v>1062</v>
      </c>
      <c r="F337" s="11" t="s">
        <v>1412</v>
      </c>
      <c r="J337" s="11">
        <v>-4.46159410476684</v>
      </c>
      <c r="K337" s="11">
        <v>15.3366813659667</v>
      </c>
      <c r="L337" s="11" t="s">
        <v>1061</v>
      </c>
      <c r="M337" s="11" t="s">
        <v>1061</v>
      </c>
      <c r="N337" s="11" t="s">
        <v>1062</v>
      </c>
      <c r="O337" s="11" t="s">
        <v>1412</v>
      </c>
    </row>
    <row r="338">
      <c r="A338" s="11">
        <v>8.92824459075927</v>
      </c>
      <c r="B338" s="11">
        <v>14.5255107879638</v>
      </c>
      <c r="C338" s="11" t="s">
        <v>1061</v>
      </c>
      <c r="D338" s="11" t="s">
        <v>1061</v>
      </c>
      <c r="E338" s="11" t="s">
        <v>1062</v>
      </c>
      <c r="F338" s="11" t="s">
        <v>1413</v>
      </c>
      <c r="J338" s="11">
        <v>-6.24468183517456</v>
      </c>
      <c r="K338" s="11">
        <v>-6.4467282295227</v>
      </c>
      <c r="L338" s="11" t="s">
        <v>1061</v>
      </c>
      <c r="M338" s="11" t="s">
        <v>1061</v>
      </c>
      <c r="N338" s="11" t="s">
        <v>1062</v>
      </c>
      <c r="O338" s="11" t="s">
        <v>1413</v>
      </c>
    </row>
    <row r="339">
      <c r="A339" s="11">
        <v>29.4877490997314</v>
      </c>
      <c r="B339" s="11">
        <v>53.2779884338378</v>
      </c>
      <c r="C339" s="11" t="s">
        <v>1061</v>
      </c>
      <c r="D339" s="11" t="s">
        <v>1061</v>
      </c>
      <c r="E339" s="11" t="s">
        <v>1062</v>
      </c>
      <c r="F339" s="11" t="s">
        <v>1415</v>
      </c>
      <c r="J339" s="11">
        <v>-20.685468673706</v>
      </c>
      <c r="K339" s="11">
        <v>26.7511730194091</v>
      </c>
      <c r="L339" s="11" t="s">
        <v>1061</v>
      </c>
      <c r="M339" s="11" t="s">
        <v>1061</v>
      </c>
      <c r="N339" s="11" t="s">
        <v>1062</v>
      </c>
      <c r="O339" s="11" t="s">
        <v>1415</v>
      </c>
    </row>
    <row r="340">
      <c r="A340" s="11">
        <v>4.34268808364868</v>
      </c>
      <c r="B340" s="11">
        <v>11.6920309066772</v>
      </c>
      <c r="C340" s="11" t="s">
        <v>1061</v>
      </c>
      <c r="D340" s="11" t="s">
        <v>1061</v>
      </c>
      <c r="E340" s="11" t="s">
        <v>1062</v>
      </c>
      <c r="F340" s="11" t="s">
        <v>1417</v>
      </c>
      <c r="J340" s="11">
        <v>-33.7118377685546</v>
      </c>
      <c r="K340" s="11">
        <v>13.4969930648803</v>
      </c>
      <c r="L340" s="11" t="s">
        <v>1061</v>
      </c>
      <c r="M340" s="11" t="s">
        <v>1061</v>
      </c>
      <c r="N340" s="11" t="s">
        <v>1062</v>
      </c>
      <c r="O340" s="11" t="s">
        <v>1417</v>
      </c>
    </row>
    <row r="341">
      <c r="A341" s="11">
        <v>80.9401245117187</v>
      </c>
      <c r="B341" s="11">
        <v>-15.8511190414428</v>
      </c>
      <c r="C341" s="11" t="s">
        <v>1061</v>
      </c>
      <c r="D341" s="11" t="s">
        <v>1061</v>
      </c>
      <c r="E341" s="11" t="s">
        <v>1062</v>
      </c>
      <c r="F341" s="11" t="s">
        <v>1419</v>
      </c>
      <c r="J341" s="11">
        <v>-37.1224708557128</v>
      </c>
      <c r="K341" s="11">
        <v>31.8472309112548</v>
      </c>
      <c r="L341" s="11" t="s">
        <v>1061</v>
      </c>
      <c r="M341" s="11" t="s">
        <v>1061</v>
      </c>
      <c r="N341" s="11" t="s">
        <v>1062</v>
      </c>
      <c r="O341" s="11" t="s">
        <v>1419</v>
      </c>
    </row>
    <row r="342">
      <c r="A342" s="11">
        <v>82.5905990600586</v>
      </c>
      <c r="B342" s="11">
        <v>-13.7382106781005</v>
      </c>
      <c r="C342" s="11" t="s">
        <v>1061</v>
      </c>
      <c r="D342" s="11" t="s">
        <v>1061</v>
      </c>
      <c r="E342" s="11" t="s">
        <v>1062</v>
      </c>
      <c r="F342" s="11" t="s">
        <v>1421</v>
      </c>
      <c r="J342" s="11">
        <v>-34.9686737060546</v>
      </c>
      <c r="K342" s="11">
        <v>32.4403114318847</v>
      </c>
      <c r="L342" s="11" t="s">
        <v>1061</v>
      </c>
      <c r="M342" s="11" t="s">
        <v>1061</v>
      </c>
      <c r="N342" s="11" t="s">
        <v>1062</v>
      </c>
      <c r="O342" s="11" t="s">
        <v>1421</v>
      </c>
    </row>
    <row r="343">
      <c r="A343" s="11">
        <v>12.5550994873046</v>
      </c>
      <c r="B343" s="11">
        <v>-1.18683016300201</v>
      </c>
      <c r="C343" s="11" t="s">
        <v>1061</v>
      </c>
      <c r="D343" s="11" t="s">
        <v>1061</v>
      </c>
      <c r="E343" s="11" t="s">
        <v>1062</v>
      </c>
      <c r="F343" s="11" t="s">
        <v>1423</v>
      </c>
      <c r="J343" s="11">
        <v>-18.7360382080078</v>
      </c>
      <c r="K343" s="11">
        <v>5.72831010818481</v>
      </c>
      <c r="L343" s="11" t="s">
        <v>1061</v>
      </c>
      <c r="M343" s="11" t="s">
        <v>1061</v>
      </c>
      <c r="N343" s="11" t="s">
        <v>1062</v>
      </c>
      <c r="O343" s="11" t="s">
        <v>1423</v>
      </c>
    </row>
    <row r="344">
      <c r="A344" s="11">
        <v>81.5054168701171</v>
      </c>
      <c r="B344" s="11">
        <v>-14.4617958068847</v>
      </c>
      <c r="C344" s="11" t="s">
        <v>1061</v>
      </c>
      <c r="D344" s="11" t="s">
        <v>1061</v>
      </c>
      <c r="E344" s="11" t="s">
        <v>1062</v>
      </c>
      <c r="F344" s="11" t="s">
        <v>1425</v>
      </c>
      <c r="J344" s="11">
        <v>-35.4865684509277</v>
      </c>
      <c r="K344" s="11">
        <v>30.9402618408203</v>
      </c>
      <c r="L344" s="11" t="s">
        <v>1061</v>
      </c>
      <c r="M344" s="11" t="s">
        <v>1061</v>
      </c>
      <c r="N344" s="11" t="s">
        <v>1062</v>
      </c>
      <c r="O344" s="11" t="s">
        <v>1425</v>
      </c>
    </row>
    <row r="345">
      <c r="A345" s="11">
        <v>-22.3723945617675</v>
      </c>
      <c r="B345" s="11">
        <v>56.4904594421386</v>
      </c>
      <c r="C345" s="11" t="s">
        <v>1061</v>
      </c>
      <c r="D345" s="11" t="s">
        <v>1061</v>
      </c>
      <c r="E345" s="11" t="s">
        <v>1062</v>
      </c>
      <c r="F345" s="11" t="s">
        <v>1426</v>
      </c>
      <c r="J345" s="11">
        <v>48.6316986083984</v>
      </c>
      <c r="K345" s="11">
        <v>-14.7120370864868</v>
      </c>
      <c r="L345" s="11" t="s">
        <v>1061</v>
      </c>
      <c r="M345" s="11" t="s">
        <v>1061</v>
      </c>
      <c r="N345" s="11" t="s">
        <v>1062</v>
      </c>
      <c r="O345" s="11" t="s">
        <v>1426</v>
      </c>
    </row>
    <row r="346">
      <c r="A346" s="11">
        <v>17.3748397827148</v>
      </c>
      <c r="B346" s="11">
        <v>54.4253311157226</v>
      </c>
      <c r="C346" s="11" t="s">
        <v>1061</v>
      </c>
      <c r="D346" s="11" t="s">
        <v>1061</v>
      </c>
      <c r="E346" s="11" t="s">
        <v>1062</v>
      </c>
      <c r="F346" s="11" t="s">
        <v>1428</v>
      </c>
      <c r="J346" s="11">
        <v>-15.6752824783325</v>
      </c>
      <c r="K346" s="11">
        <v>31.2965602874755</v>
      </c>
      <c r="L346" s="11" t="s">
        <v>1061</v>
      </c>
      <c r="M346" s="11" t="s">
        <v>1061</v>
      </c>
      <c r="N346" s="11" t="s">
        <v>1062</v>
      </c>
      <c r="O346" s="11" t="s">
        <v>1428</v>
      </c>
    </row>
    <row r="347">
      <c r="A347" s="11">
        <v>34.8685913085937</v>
      </c>
      <c r="B347" s="11">
        <v>15.7149944305419</v>
      </c>
      <c r="C347" s="11" t="s">
        <v>1061</v>
      </c>
      <c r="D347" s="11" t="s">
        <v>1061</v>
      </c>
      <c r="E347" s="11" t="s">
        <v>1062</v>
      </c>
      <c r="F347" s="11" t="s">
        <v>1430</v>
      </c>
      <c r="J347" s="11">
        <v>-24.8882179260253</v>
      </c>
      <c r="K347" s="11">
        <v>5.71578311920166</v>
      </c>
      <c r="L347" s="11" t="s">
        <v>1061</v>
      </c>
      <c r="M347" s="11" t="s">
        <v>1061</v>
      </c>
      <c r="N347" s="11" t="s">
        <v>1062</v>
      </c>
      <c r="O347" s="11" t="s">
        <v>1430</v>
      </c>
    </row>
    <row r="348">
      <c r="A348" s="11">
        <v>16.5365772247314</v>
      </c>
      <c r="B348" s="11">
        <v>62.3146743774414</v>
      </c>
      <c r="C348" s="11" t="s">
        <v>1061</v>
      </c>
      <c r="D348" s="11" t="s">
        <v>1061</v>
      </c>
      <c r="E348" s="11" t="s">
        <v>1062</v>
      </c>
      <c r="F348" s="11" t="s">
        <v>1432</v>
      </c>
      <c r="J348" s="11">
        <v>53.9995307922363</v>
      </c>
      <c r="K348" s="11">
        <v>-23.1545333862304</v>
      </c>
      <c r="L348" s="11" t="s">
        <v>1061</v>
      </c>
      <c r="M348" s="11" t="s">
        <v>1061</v>
      </c>
      <c r="N348" s="11" t="s">
        <v>1062</v>
      </c>
      <c r="O348" s="11" t="s">
        <v>1432</v>
      </c>
    </row>
    <row r="349">
      <c r="A349" s="11">
        <v>-1.56048429012298</v>
      </c>
      <c r="B349" s="11">
        <v>12.9427022933959</v>
      </c>
      <c r="C349" s="11" t="s">
        <v>1061</v>
      </c>
      <c r="D349" s="11" t="s">
        <v>1061</v>
      </c>
      <c r="E349" s="11" t="s">
        <v>1062</v>
      </c>
      <c r="F349" s="11" t="s">
        <v>1434</v>
      </c>
      <c r="J349" s="11">
        <v>-2.97808170318603</v>
      </c>
      <c r="K349" s="11">
        <v>-5.97358179092407</v>
      </c>
      <c r="L349" s="11" t="s">
        <v>1061</v>
      </c>
      <c r="M349" s="11" t="s">
        <v>1061</v>
      </c>
      <c r="N349" s="11" t="s">
        <v>1062</v>
      </c>
      <c r="O349" s="11" t="s">
        <v>1434</v>
      </c>
    </row>
    <row r="350">
      <c r="A350" s="11">
        <v>31.9620990753173</v>
      </c>
      <c r="B350" s="11">
        <v>-0.0813601240515708</v>
      </c>
      <c r="C350" s="11" t="s">
        <v>1061</v>
      </c>
      <c r="D350" s="11" t="s">
        <v>1061</v>
      </c>
      <c r="E350" s="11" t="s">
        <v>1062</v>
      </c>
      <c r="F350" s="11" t="s">
        <v>1436</v>
      </c>
      <c r="J350" s="11">
        <v>-27.0615291595459</v>
      </c>
      <c r="K350" s="11">
        <v>18.6396827697753</v>
      </c>
      <c r="L350" s="11" t="s">
        <v>1061</v>
      </c>
      <c r="M350" s="11" t="s">
        <v>1061</v>
      </c>
      <c r="N350" s="11" t="s">
        <v>1062</v>
      </c>
      <c r="O350" s="11" t="s">
        <v>1436</v>
      </c>
    </row>
    <row r="351">
      <c r="A351" s="11">
        <v>26.3397979736328</v>
      </c>
      <c r="B351" s="11">
        <v>34.8427429199218</v>
      </c>
      <c r="C351" s="11" t="s">
        <v>1061</v>
      </c>
      <c r="D351" s="11" t="s">
        <v>1061</v>
      </c>
      <c r="E351" s="11" t="s">
        <v>1062</v>
      </c>
      <c r="F351" s="11" t="s">
        <v>1438</v>
      </c>
      <c r="J351" s="11">
        <v>-20.4812984466552</v>
      </c>
      <c r="K351" s="11">
        <v>31.5664310455322</v>
      </c>
      <c r="L351" s="11" t="s">
        <v>1061</v>
      </c>
      <c r="M351" s="11" t="s">
        <v>1061</v>
      </c>
      <c r="N351" s="11" t="s">
        <v>1062</v>
      </c>
      <c r="O351" s="11" t="s">
        <v>1438</v>
      </c>
    </row>
    <row r="352">
      <c r="A352" s="11">
        <v>-14.878173828125</v>
      </c>
      <c r="B352" s="11">
        <v>-2.08499789237976</v>
      </c>
      <c r="C352" s="11" t="s">
        <v>1061</v>
      </c>
      <c r="D352" s="11" t="s">
        <v>1061</v>
      </c>
      <c r="E352" s="11" t="s">
        <v>1062</v>
      </c>
      <c r="F352" s="11" t="s">
        <v>1439</v>
      </c>
      <c r="J352" s="11">
        <v>-9.89955043792724</v>
      </c>
      <c r="K352" s="11">
        <v>-7.58747386932373</v>
      </c>
      <c r="L352" s="11" t="s">
        <v>1061</v>
      </c>
      <c r="M352" s="11" t="s">
        <v>1061</v>
      </c>
      <c r="N352" s="11" t="s">
        <v>1062</v>
      </c>
      <c r="O352" s="11" t="s">
        <v>1439</v>
      </c>
    </row>
    <row r="353">
      <c r="A353" s="11">
        <v>-22.3723945617675</v>
      </c>
      <c r="B353" s="11">
        <v>56.4904594421386</v>
      </c>
      <c r="C353" s="11" t="s">
        <v>1061</v>
      </c>
      <c r="D353" s="11" t="s">
        <v>1061</v>
      </c>
      <c r="E353" s="11" t="s">
        <v>1062</v>
      </c>
      <c r="F353" s="11" t="s">
        <v>1441</v>
      </c>
      <c r="J353" s="11">
        <v>48.5632247924804</v>
      </c>
      <c r="K353" s="11">
        <v>-15.7036418914794</v>
      </c>
      <c r="L353" s="11" t="s">
        <v>1061</v>
      </c>
      <c r="M353" s="11" t="s">
        <v>1061</v>
      </c>
      <c r="N353" s="11" t="s">
        <v>1062</v>
      </c>
      <c r="O353" s="11" t="s">
        <v>1441</v>
      </c>
    </row>
    <row r="354">
      <c r="A354" s="11">
        <v>2.00218653678894</v>
      </c>
      <c r="B354" s="11">
        <v>42.2942352294921</v>
      </c>
      <c r="C354" s="11" t="s">
        <v>1061</v>
      </c>
      <c r="D354" s="11" t="s">
        <v>1061</v>
      </c>
      <c r="E354" s="11" t="s">
        <v>1062</v>
      </c>
      <c r="F354" s="11" t="s">
        <v>1442</v>
      </c>
      <c r="J354" s="11">
        <v>-1.82597267627716</v>
      </c>
      <c r="K354" s="11">
        <v>18.2472705841064</v>
      </c>
      <c r="L354" s="11" t="s">
        <v>1061</v>
      </c>
      <c r="M354" s="11" t="s">
        <v>1061</v>
      </c>
      <c r="N354" s="11" t="s">
        <v>1062</v>
      </c>
      <c r="O354" s="11" t="s">
        <v>1442</v>
      </c>
    </row>
    <row r="355">
      <c r="A355" s="11">
        <v>42.1879119873046</v>
      </c>
      <c r="B355" s="11">
        <v>17.6425323486328</v>
      </c>
      <c r="C355" s="11" t="s">
        <v>1061</v>
      </c>
      <c r="D355" s="11" t="s">
        <v>1061</v>
      </c>
      <c r="E355" s="11" t="s">
        <v>1062</v>
      </c>
      <c r="F355" s="11" t="s">
        <v>1445</v>
      </c>
      <c r="J355" s="11">
        <v>-24.8858528137207</v>
      </c>
      <c r="K355" s="11">
        <v>26.8196277618408</v>
      </c>
      <c r="L355" s="11" t="s">
        <v>1061</v>
      </c>
      <c r="M355" s="11" t="s">
        <v>1061</v>
      </c>
      <c r="N355" s="11" t="s">
        <v>1062</v>
      </c>
      <c r="O355" s="11" t="s">
        <v>1445</v>
      </c>
    </row>
    <row r="356">
      <c r="A356" s="11">
        <v>-1.5363780260086</v>
      </c>
      <c r="B356" s="11">
        <v>18.0951061248779</v>
      </c>
      <c r="C356" s="11" t="s">
        <v>1061</v>
      </c>
      <c r="D356" s="11" t="s">
        <v>1061</v>
      </c>
      <c r="E356" s="11" t="s">
        <v>1062</v>
      </c>
      <c r="F356" s="11" t="s">
        <v>1446</v>
      </c>
      <c r="J356" s="11">
        <v>54.4151535034179</v>
      </c>
      <c r="K356" s="11">
        <v>-18.3921680450439</v>
      </c>
      <c r="L356" s="11" t="s">
        <v>1061</v>
      </c>
      <c r="M356" s="11" t="s">
        <v>1061</v>
      </c>
      <c r="N356" s="11" t="s">
        <v>1062</v>
      </c>
      <c r="O356" s="11" t="s">
        <v>1446</v>
      </c>
    </row>
    <row r="357">
      <c r="A357" s="11">
        <v>29.8341751098632</v>
      </c>
      <c r="B357" s="11">
        <v>13.6605672836303</v>
      </c>
      <c r="C357" s="11" t="s">
        <v>1061</v>
      </c>
      <c r="D357" s="11" t="s">
        <v>1061</v>
      </c>
      <c r="E357" s="11" t="s">
        <v>1062</v>
      </c>
      <c r="F357" s="11" t="s">
        <v>1447</v>
      </c>
      <c r="J357" s="11">
        <v>-15.556092262268</v>
      </c>
      <c r="K357" s="11">
        <v>24.5902843475341</v>
      </c>
      <c r="L357" s="11" t="s">
        <v>1061</v>
      </c>
      <c r="M357" s="11" t="s">
        <v>1061</v>
      </c>
      <c r="N357" s="11" t="s">
        <v>1062</v>
      </c>
      <c r="O357" s="11" t="s">
        <v>1447</v>
      </c>
    </row>
    <row r="358">
      <c r="A358" s="11">
        <v>-7.48039579391479</v>
      </c>
      <c r="B358" s="11">
        <v>42.8325119018554</v>
      </c>
      <c r="C358" s="11" t="s">
        <v>1061</v>
      </c>
      <c r="D358" s="11" t="s">
        <v>1061</v>
      </c>
      <c r="E358" s="11" t="s">
        <v>1062</v>
      </c>
      <c r="F358" s="11" t="s">
        <v>1448</v>
      </c>
      <c r="J358" s="11">
        <v>50.6860923767089</v>
      </c>
      <c r="K358" s="11">
        <v>-4.09845399856567</v>
      </c>
      <c r="L358" s="11" t="s">
        <v>1061</v>
      </c>
      <c r="M358" s="11" t="s">
        <v>1061</v>
      </c>
      <c r="N358" s="11" t="s">
        <v>1062</v>
      </c>
      <c r="O358" s="11" t="s">
        <v>1448</v>
      </c>
    </row>
    <row r="359">
      <c r="A359" s="11">
        <v>17.1377849578857</v>
      </c>
      <c r="B359" s="11">
        <v>41.9687919616699</v>
      </c>
      <c r="C359" s="11" t="s">
        <v>1061</v>
      </c>
      <c r="D359" s="11" t="s">
        <v>1061</v>
      </c>
      <c r="E359" s="11" t="s">
        <v>1062</v>
      </c>
      <c r="F359" s="11" t="s">
        <v>1450</v>
      </c>
      <c r="J359" s="11">
        <v>1.40094494819641</v>
      </c>
      <c r="K359" s="11">
        <v>10.2971458435058</v>
      </c>
      <c r="L359" s="11" t="s">
        <v>1061</v>
      </c>
      <c r="M359" s="11" t="s">
        <v>1061</v>
      </c>
      <c r="N359" s="11" t="s">
        <v>1062</v>
      </c>
      <c r="O359" s="11" t="s">
        <v>1450</v>
      </c>
    </row>
    <row r="360">
      <c r="A360" s="11">
        <v>81.2682647705078</v>
      </c>
      <c r="B360" s="11">
        <v>-17.1576805114746</v>
      </c>
      <c r="C360" s="11" t="s">
        <v>1061</v>
      </c>
      <c r="D360" s="11" t="s">
        <v>1061</v>
      </c>
      <c r="E360" s="11" t="s">
        <v>1062</v>
      </c>
      <c r="F360" s="11" t="s">
        <v>1452</v>
      </c>
      <c r="J360" s="11">
        <v>-34.1684188842773</v>
      </c>
      <c r="K360" s="11">
        <v>30.2506885528564</v>
      </c>
      <c r="L360" s="11" t="s">
        <v>1061</v>
      </c>
      <c r="M360" s="11" t="s">
        <v>1061</v>
      </c>
      <c r="N360" s="11" t="s">
        <v>1062</v>
      </c>
      <c r="O360" s="11" t="s">
        <v>1452</v>
      </c>
    </row>
    <row r="361">
      <c r="A361" s="11">
        <v>20.7906551361084</v>
      </c>
      <c r="B361" s="11">
        <v>24.3872947692871</v>
      </c>
      <c r="C361" s="11" t="s">
        <v>1061</v>
      </c>
      <c r="D361" s="11" t="s">
        <v>1061</v>
      </c>
      <c r="E361" s="11" t="s">
        <v>1062</v>
      </c>
      <c r="F361" s="11" t="s">
        <v>1453</v>
      </c>
      <c r="J361" s="11">
        <v>-16.2268295288085</v>
      </c>
      <c r="K361" s="11">
        <v>15.7671775817871</v>
      </c>
      <c r="L361" s="11" t="s">
        <v>1061</v>
      </c>
      <c r="M361" s="11" t="s">
        <v>1061</v>
      </c>
      <c r="N361" s="11" t="s">
        <v>1062</v>
      </c>
      <c r="O361" s="11" t="s">
        <v>1453</v>
      </c>
    </row>
    <row r="362">
      <c r="A362" s="11">
        <v>-7.04525423049926</v>
      </c>
      <c r="B362" s="11">
        <v>39.00634765625</v>
      </c>
      <c r="C362" s="11" t="s">
        <v>1061</v>
      </c>
      <c r="D362" s="11" t="s">
        <v>1061</v>
      </c>
      <c r="E362" s="11" t="s">
        <v>1062</v>
      </c>
      <c r="F362" s="11" t="s">
        <v>1455</v>
      </c>
      <c r="J362" s="11">
        <v>41.5532913208007</v>
      </c>
      <c r="K362" s="11">
        <v>4.96196126937866</v>
      </c>
      <c r="L362" s="11" t="s">
        <v>1061</v>
      </c>
      <c r="M362" s="11" t="s">
        <v>1061</v>
      </c>
      <c r="N362" s="11" t="s">
        <v>1062</v>
      </c>
      <c r="O362" s="11" t="s">
        <v>1455</v>
      </c>
    </row>
    <row r="363">
      <c r="A363" s="11">
        <v>8.66108512878418</v>
      </c>
      <c r="B363" s="11">
        <v>37.4271240234375</v>
      </c>
      <c r="C363" s="11" t="s">
        <v>1061</v>
      </c>
      <c r="D363" s="11" t="s">
        <v>1061</v>
      </c>
      <c r="E363" s="11" t="s">
        <v>1062</v>
      </c>
      <c r="F363" s="11" t="s">
        <v>1457</v>
      </c>
      <c r="J363" s="11">
        <v>-11.7575569152832</v>
      </c>
      <c r="K363" s="11">
        <v>14.8316383361816</v>
      </c>
      <c r="L363" s="11" t="s">
        <v>1061</v>
      </c>
      <c r="M363" s="11" t="s">
        <v>1061</v>
      </c>
      <c r="N363" s="11" t="s">
        <v>1062</v>
      </c>
      <c r="O363" s="11" t="s">
        <v>1457</v>
      </c>
    </row>
    <row r="364">
      <c r="A364" s="11">
        <v>-8.66792964935302</v>
      </c>
      <c r="B364" s="11">
        <v>42.691722869873</v>
      </c>
      <c r="C364" s="11" t="s">
        <v>1061</v>
      </c>
      <c r="D364" s="11" t="s">
        <v>1061</v>
      </c>
      <c r="E364" s="11" t="s">
        <v>1062</v>
      </c>
      <c r="F364" s="11" t="s">
        <v>1459</v>
      </c>
      <c r="J364" s="11">
        <v>50.6860923767089</v>
      </c>
      <c r="K364" s="11">
        <v>-4.09845399856567</v>
      </c>
      <c r="L364" s="11" t="s">
        <v>1061</v>
      </c>
      <c r="M364" s="11" t="s">
        <v>1061</v>
      </c>
      <c r="N364" s="11" t="s">
        <v>1062</v>
      </c>
      <c r="O364" s="11" t="s">
        <v>1459</v>
      </c>
    </row>
    <row r="365">
      <c r="A365" s="11">
        <v>17.1552238464355</v>
      </c>
      <c r="B365" s="11">
        <v>4.70272731781005</v>
      </c>
      <c r="C365" s="11" t="s">
        <v>1061</v>
      </c>
      <c r="D365" s="11" t="s">
        <v>1061</v>
      </c>
      <c r="E365" s="11" t="s">
        <v>1062</v>
      </c>
      <c r="F365" s="11" t="s">
        <v>1461</v>
      </c>
      <c r="J365" s="11">
        <v>-19.8601379394531</v>
      </c>
      <c r="K365" s="11">
        <v>11.8042240142822</v>
      </c>
      <c r="L365" s="11" t="s">
        <v>1061</v>
      </c>
      <c r="M365" s="11" t="s">
        <v>1061</v>
      </c>
      <c r="N365" s="11" t="s">
        <v>1062</v>
      </c>
      <c r="O365" s="11" t="s">
        <v>1461</v>
      </c>
    </row>
    <row r="366">
      <c r="A366" s="11">
        <v>60.3724479675293</v>
      </c>
      <c r="B366" s="11">
        <v>8.96082305908203</v>
      </c>
      <c r="C366" s="11" t="s">
        <v>1061</v>
      </c>
      <c r="D366" s="11" t="s">
        <v>1061</v>
      </c>
      <c r="E366" s="11" t="s">
        <v>1062</v>
      </c>
      <c r="F366" s="11" t="s">
        <v>1463</v>
      </c>
      <c r="J366" s="11">
        <v>-30.2003364562988</v>
      </c>
      <c r="K366" s="11">
        <v>26.9457836151123</v>
      </c>
      <c r="L366" s="11" t="s">
        <v>1061</v>
      </c>
      <c r="M366" s="11" t="s">
        <v>1061</v>
      </c>
      <c r="N366" s="11" t="s">
        <v>1062</v>
      </c>
      <c r="O366" s="11" t="s">
        <v>1463</v>
      </c>
    </row>
    <row r="367">
      <c r="A367" s="11">
        <v>-11.1098365783691</v>
      </c>
      <c r="B367" s="11">
        <v>35.7977714538574</v>
      </c>
      <c r="C367" s="11" t="s">
        <v>1061</v>
      </c>
      <c r="D367" s="11" t="s">
        <v>1061</v>
      </c>
      <c r="E367" s="11" t="s">
        <v>1062</v>
      </c>
      <c r="F367" s="11" t="s">
        <v>1465</v>
      </c>
      <c r="J367" s="11">
        <v>-1.93209838867187</v>
      </c>
      <c r="K367" s="11">
        <v>11.8791885375976</v>
      </c>
      <c r="L367" s="11" t="s">
        <v>1061</v>
      </c>
      <c r="M367" s="11" t="s">
        <v>1061</v>
      </c>
      <c r="N367" s="11" t="s">
        <v>1062</v>
      </c>
      <c r="O367" s="11" t="s">
        <v>1465</v>
      </c>
    </row>
    <row r="368">
      <c r="A368" s="11">
        <v>8.62130546569824</v>
      </c>
      <c r="B368" s="11">
        <v>31.9469623565673</v>
      </c>
      <c r="C368" s="11" t="s">
        <v>1061</v>
      </c>
      <c r="D368" s="11" t="s">
        <v>1061</v>
      </c>
      <c r="E368" s="11" t="s">
        <v>1062</v>
      </c>
      <c r="F368" s="11" t="s">
        <v>1466</v>
      </c>
      <c r="J368" s="11">
        <v>-4.86518716812133</v>
      </c>
      <c r="K368" s="11">
        <v>14.7317771911621</v>
      </c>
      <c r="L368" s="11" t="s">
        <v>1061</v>
      </c>
      <c r="M368" s="11" t="s">
        <v>1061</v>
      </c>
      <c r="N368" s="11" t="s">
        <v>1062</v>
      </c>
      <c r="O368" s="11" t="s">
        <v>1466</v>
      </c>
    </row>
    <row r="369">
      <c r="A369" s="11">
        <v>84.9589538574218</v>
      </c>
      <c r="B369" s="11">
        <v>-14.0775566101074</v>
      </c>
      <c r="C369" s="11" t="s">
        <v>1061</v>
      </c>
      <c r="D369" s="11" t="s">
        <v>1061</v>
      </c>
      <c r="E369" s="11" t="s">
        <v>1062</v>
      </c>
      <c r="F369" s="11" t="s">
        <v>1468</v>
      </c>
      <c r="J369" s="11">
        <v>-36.1460227966308</v>
      </c>
      <c r="K369" s="11">
        <v>31.7227897644042</v>
      </c>
      <c r="L369" s="11" t="s">
        <v>1061</v>
      </c>
      <c r="M369" s="11" t="s">
        <v>1061</v>
      </c>
      <c r="N369" s="11" t="s">
        <v>1062</v>
      </c>
      <c r="O369" s="11" t="s">
        <v>1468</v>
      </c>
    </row>
    <row r="370">
      <c r="A370" s="11">
        <v>8.66108512878418</v>
      </c>
      <c r="B370" s="11">
        <v>37.4271240234375</v>
      </c>
      <c r="C370" s="11" t="s">
        <v>1061</v>
      </c>
      <c r="D370" s="11" t="s">
        <v>1061</v>
      </c>
      <c r="E370" s="11" t="s">
        <v>1062</v>
      </c>
      <c r="F370" s="11" t="s">
        <v>1470</v>
      </c>
      <c r="J370" s="11">
        <v>-11.386300086975</v>
      </c>
      <c r="K370" s="11">
        <v>14.6137056350708</v>
      </c>
      <c r="L370" s="11" t="s">
        <v>1061</v>
      </c>
      <c r="M370" s="11" t="s">
        <v>1061</v>
      </c>
      <c r="N370" s="11" t="s">
        <v>1062</v>
      </c>
      <c r="O370" s="11" t="s">
        <v>1470</v>
      </c>
    </row>
    <row r="371">
      <c r="A371" s="11">
        <v>3.42066884040832</v>
      </c>
      <c r="B371" s="11">
        <v>7.65090179443359</v>
      </c>
      <c r="C371" s="11" t="s">
        <v>1061</v>
      </c>
      <c r="D371" s="11" t="s">
        <v>1061</v>
      </c>
      <c r="E371" s="11" t="s">
        <v>1062</v>
      </c>
      <c r="F371" s="11" t="s">
        <v>1472</v>
      </c>
      <c r="J371" s="11">
        <v>-20.0132465362548</v>
      </c>
      <c r="K371" s="11">
        <v>15.3615570068359</v>
      </c>
      <c r="L371" s="11" t="s">
        <v>1061</v>
      </c>
      <c r="M371" s="11" t="s">
        <v>1061</v>
      </c>
      <c r="N371" s="11" t="s">
        <v>1062</v>
      </c>
      <c r="O371" s="11" t="s">
        <v>1472</v>
      </c>
    </row>
    <row r="372">
      <c r="A372" s="11">
        <v>3.30419301986694</v>
      </c>
      <c r="B372" s="11">
        <v>24.0510272979736</v>
      </c>
      <c r="C372" s="11" t="s">
        <v>1061</v>
      </c>
      <c r="D372" s="11" t="s">
        <v>1061</v>
      </c>
      <c r="E372" s="11" t="s">
        <v>1062</v>
      </c>
      <c r="F372" s="11" t="s">
        <v>1474</v>
      </c>
      <c r="J372" s="11">
        <v>-5.59162139892578</v>
      </c>
      <c r="K372" s="11">
        <v>3.78294563293457</v>
      </c>
      <c r="L372" s="11" t="s">
        <v>1061</v>
      </c>
      <c r="M372" s="11" t="s">
        <v>1061</v>
      </c>
      <c r="N372" s="11" t="s">
        <v>1062</v>
      </c>
      <c r="O372" s="11" t="s">
        <v>1474</v>
      </c>
    </row>
    <row r="373">
      <c r="A373" s="11">
        <v>-10.8142957687377</v>
      </c>
      <c r="B373" s="11">
        <v>35.1382369995117</v>
      </c>
      <c r="C373" s="11" t="s">
        <v>1061</v>
      </c>
      <c r="D373" s="11" t="s">
        <v>1061</v>
      </c>
      <c r="E373" s="11" t="s">
        <v>1062</v>
      </c>
      <c r="F373" s="11" t="s">
        <v>1476</v>
      </c>
      <c r="J373" s="11">
        <v>-1.71576023101806</v>
      </c>
      <c r="K373" s="11">
        <v>12.2165956497192</v>
      </c>
      <c r="L373" s="11" t="s">
        <v>1061</v>
      </c>
      <c r="M373" s="11" t="s">
        <v>1061</v>
      </c>
      <c r="N373" s="11" t="s">
        <v>1062</v>
      </c>
      <c r="O373" s="11" t="s">
        <v>1476</v>
      </c>
    </row>
    <row r="374">
      <c r="A374" s="11">
        <v>-11.5014553070068</v>
      </c>
      <c r="B374" s="11">
        <v>-2.48784351348876</v>
      </c>
      <c r="C374" s="11" t="s">
        <v>1061</v>
      </c>
      <c r="D374" s="11" t="s">
        <v>1061</v>
      </c>
      <c r="E374" s="11" t="s">
        <v>1062</v>
      </c>
      <c r="F374" s="11" t="s">
        <v>1478</v>
      </c>
      <c r="J374" s="11">
        <v>-7.80912733078002</v>
      </c>
      <c r="K374" s="11">
        <v>0.328535854816436</v>
      </c>
      <c r="L374" s="11" t="s">
        <v>1061</v>
      </c>
      <c r="M374" s="11" t="s">
        <v>1061</v>
      </c>
      <c r="N374" s="11" t="s">
        <v>1062</v>
      </c>
      <c r="O374" s="11" t="s">
        <v>1478</v>
      </c>
    </row>
    <row r="375">
      <c r="A375" s="11">
        <v>26.2174625396728</v>
      </c>
      <c r="B375" s="11">
        <v>35.7406387329101</v>
      </c>
      <c r="C375" s="11" t="s">
        <v>1061</v>
      </c>
      <c r="D375" s="11" t="s">
        <v>1061</v>
      </c>
      <c r="E375" s="11" t="s">
        <v>1062</v>
      </c>
      <c r="F375" s="11" t="s">
        <v>1479</v>
      </c>
      <c r="J375" s="11">
        <v>-20.7768688201904</v>
      </c>
      <c r="K375" s="11">
        <v>31.3210391998291</v>
      </c>
      <c r="L375" s="11" t="s">
        <v>1061</v>
      </c>
      <c r="M375" s="11" t="s">
        <v>1061</v>
      </c>
      <c r="N375" s="11" t="s">
        <v>1062</v>
      </c>
      <c r="O375" s="11" t="s">
        <v>1479</v>
      </c>
    </row>
    <row r="376">
      <c r="A376" s="11">
        <v>11.5132541656494</v>
      </c>
      <c r="B376" s="11">
        <v>11.0611486434936</v>
      </c>
      <c r="C376" s="11" t="s">
        <v>1061</v>
      </c>
      <c r="D376" s="11" t="s">
        <v>1061</v>
      </c>
      <c r="E376" s="11" t="s">
        <v>1062</v>
      </c>
      <c r="F376" s="11" t="s">
        <v>1481</v>
      </c>
      <c r="J376" s="11">
        <v>-23.0489883422851</v>
      </c>
      <c r="K376" s="11">
        <v>-0.198275044560432</v>
      </c>
      <c r="L376" s="11" t="s">
        <v>1061</v>
      </c>
      <c r="M376" s="11" t="s">
        <v>1061</v>
      </c>
      <c r="N376" s="11" t="s">
        <v>1062</v>
      </c>
      <c r="O376" s="11" t="s">
        <v>1481</v>
      </c>
    </row>
    <row r="377">
      <c r="A377" s="11">
        <v>-31.1267395019531</v>
      </c>
      <c r="B377" s="11">
        <v>2.58968114852905</v>
      </c>
      <c r="C377" s="11" t="s">
        <v>1061</v>
      </c>
      <c r="D377" s="11" t="s">
        <v>1061</v>
      </c>
      <c r="E377" s="11" t="s">
        <v>1062</v>
      </c>
      <c r="F377" s="11" t="s">
        <v>1483</v>
      </c>
      <c r="J377" s="11">
        <v>26.1124038696289</v>
      </c>
      <c r="K377" s="11">
        <v>0.298201411962509</v>
      </c>
      <c r="L377" s="11" t="s">
        <v>1061</v>
      </c>
      <c r="M377" s="11" t="s">
        <v>1061</v>
      </c>
      <c r="N377" s="11" t="s">
        <v>1062</v>
      </c>
      <c r="O377" s="11" t="s">
        <v>1483</v>
      </c>
    </row>
    <row r="378">
      <c r="A378" s="11">
        <v>-2.08433103561401</v>
      </c>
      <c r="B378" s="11">
        <v>40.2509689331054</v>
      </c>
      <c r="C378" s="11" t="s">
        <v>1061</v>
      </c>
      <c r="D378" s="11" t="s">
        <v>1061</v>
      </c>
      <c r="E378" s="11" t="s">
        <v>1062</v>
      </c>
      <c r="F378" s="11" t="s">
        <v>1484</v>
      </c>
      <c r="J378" s="11">
        <v>-23.3243408203125</v>
      </c>
      <c r="K378" s="11">
        <v>23.8675785064697</v>
      </c>
      <c r="L378" s="11" t="s">
        <v>1061</v>
      </c>
      <c r="M378" s="11" t="s">
        <v>1061</v>
      </c>
      <c r="N378" s="11" t="s">
        <v>1062</v>
      </c>
      <c r="O378" s="11" t="s">
        <v>1484</v>
      </c>
    </row>
    <row r="379">
      <c r="A379" s="11">
        <v>16.9746742248535</v>
      </c>
      <c r="B379" s="11">
        <v>0.651191353797912</v>
      </c>
      <c r="C379" s="11" t="s">
        <v>1061</v>
      </c>
      <c r="D379" s="11" t="s">
        <v>1061</v>
      </c>
      <c r="E379" s="11" t="s">
        <v>1062</v>
      </c>
      <c r="F379" s="11" t="s">
        <v>1486</v>
      </c>
      <c r="J379" s="11">
        <v>-11.5176086425781</v>
      </c>
      <c r="K379" s="11">
        <v>25.1903972625732</v>
      </c>
      <c r="L379" s="11" t="s">
        <v>1061</v>
      </c>
      <c r="M379" s="11" t="s">
        <v>1061</v>
      </c>
      <c r="N379" s="11" t="s">
        <v>1062</v>
      </c>
      <c r="O379" s="11" t="s">
        <v>1486</v>
      </c>
    </row>
    <row r="380">
      <c r="A380" s="11">
        <v>36.7176551818847</v>
      </c>
      <c r="B380" s="11">
        <v>29.7153797149658</v>
      </c>
      <c r="C380" s="11" t="s">
        <v>1061</v>
      </c>
      <c r="D380" s="11" t="s">
        <v>1061</v>
      </c>
      <c r="E380" s="11" t="s">
        <v>1062</v>
      </c>
      <c r="F380" s="11" t="s">
        <v>1488</v>
      </c>
      <c r="J380" s="11">
        <v>-9.67264366149902</v>
      </c>
      <c r="K380" s="11">
        <v>33.6356468200683</v>
      </c>
      <c r="L380" s="11" t="s">
        <v>1061</v>
      </c>
      <c r="M380" s="11" t="s">
        <v>1061</v>
      </c>
      <c r="N380" s="11" t="s">
        <v>1062</v>
      </c>
      <c r="O380" s="11" t="s">
        <v>1488</v>
      </c>
    </row>
    <row r="381">
      <c r="A381" s="11">
        <v>-9.24129581451416</v>
      </c>
      <c r="B381" s="11">
        <v>43.9191703796386</v>
      </c>
      <c r="C381" s="11" t="s">
        <v>1061</v>
      </c>
      <c r="D381" s="11" t="s">
        <v>1061</v>
      </c>
      <c r="E381" s="11" t="s">
        <v>1062</v>
      </c>
      <c r="F381" s="11" t="s">
        <v>1490</v>
      </c>
      <c r="J381" s="11">
        <v>50.0010795593261</v>
      </c>
      <c r="K381" s="11">
        <v>-5.08196115493774</v>
      </c>
      <c r="L381" s="11" t="s">
        <v>1061</v>
      </c>
      <c r="M381" s="11" t="s">
        <v>1061</v>
      </c>
      <c r="N381" s="11" t="s">
        <v>1062</v>
      </c>
      <c r="O381" s="11" t="s">
        <v>1490</v>
      </c>
    </row>
    <row r="382">
      <c r="A382" s="11">
        <v>2.14214372634887</v>
      </c>
      <c r="B382" s="11">
        <v>43.1873664855957</v>
      </c>
      <c r="C382" s="11" t="s">
        <v>1061</v>
      </c>
      <c r="D382" s="11" t="s">
        <v>1061</v>
      </c>
      <c r="E382" s="11" t="s">
        <v>1062</v>
      </c>
      <c r="F382" s="11" t="s">
        <v>1492</v>
      </c>
      <c r="J382" s="11">
        <v>-1.25684368610382</v>
      </c>
      <c r="K382" s="11">
        <v>18.1001796722412</v>
      </c>
      <c r="L382" s="11" t="s">
        <v>1061</v>
      </c>
      <c r="M382" s="11" t="s">
        <v>1061</v>
      </c>
      <c r="N382" s="11" t="s">
        <v>1062</v>
      </c>
      <c r="O382" s="11" t="s">
        <v>1492</v>
      </c>
    </row>
    <row r="383">
      <c r="A383" s="11">
        <v>8.66108512878418</v>
      </c>
      <c r="B383" s="11">
        <v>37.4271240234375</v>
      </c>
      <c r="C383" s="11" t="s">
        <v>1061</v>
      </c>
      <c r="D383" s="11" t="s">
        <v>1061</v>
      </c>
      <c r="E383" s="11" t="s">
        <v>1062</v>
      </c>
      <c r="F383" s="11" t="s">
        <v>1494</v>
      </c>
      <c r="J383" s="11">
        <v>-11.9494276046752</v>
      </c>
      <c r="K383" s="11">
        <v>14.357325553894</v>
      </c>
      <c r="L383" s="11" t="s">
        <v>1061</v>
      </c>
      <c r="M383" s="11" t="s">
        <v>1061</v>
      </c>
      <c r="N383" s="11" t="s">
        <v>1062</v>
      </c>
      <c r="O383" s="11" t="s">
        <v>1494</v>
      </c>
    </row>
    <row r="384">
      <c r="A384" s="11">
        <v>-8.83400630950927</v>
      </c>
      <c r="B384" s="11">
        <v>18.2170257568359</v>
      </c>
      <c r="C384" s="11" t="s">
        <v>1061</v>
      </c>
      <c r="D384" s="11" t="s">
        <v>1061</v>
      </c>
      <c r="E384" s="11" t="s">
        <v>1062</v>
      </c>
      <c r="F384" s="11" t="s">
        <v>1495</v>
      </c>
      <c r="J384" s="11">
        <v>-3.02661371231079</v>
      </c>
      <c r="K384" s="11">
        <v>-10.0538072586059</v>
      </c>
      <c r="L384" s="11" t="s">
        <v>1061</v>
      </c>
      <c r="M384" s="11" t="s">
        <v>1061</v>
      </c>
      <c r="N384" s="11" t="s">
        <v>1062</v>
      </c>
      <c r="O384" s="11" t="s">
        <v>1495</v>
      </c>
    </row>
    <row r="385">
      <c r="A385" s="11">
        <v>-22.0107192993164</v>
      </c>
      <c r="B385" s="11">
        <v>54.3612098693847</v>
      </c>
      <c r="C385" s="11" t="s">
        <v>1061</v>
      </c>
      <c r="D385" s="11" t="s">
        <v>1061</v>
      </c>
      <c r="E385" s="11" t="s">
        <v>1062</v>
      </c>
      <c r="F385" s="11" t="s">
        <v>1498</v>
      </c>
      <c r="J385" s="11">
        <v>49.8395957946777</v>
      </c>
      <c r="K385" s="11">
        <v>-14.9099645614624</v>
      </c>
      <c r="L385" s="11" t="s">
        <v>1061</v>
      </c>
      <c r="M385" s="11" t="s">
        <v>1061</v>
      </c>
      <c r="N385" s="11" t="s">
        <v>1062</v>
      </c>
      <c r="O385" s="11" t="s">
        <v>1498</v>
      </c>
    </row>
    <row r="386">
      <c r="A386" s="11">
        <v>13.8779401779174</v>
      </c>
      <c r="B386" s="11">
        <v>35.6790809631347</v>
      </c>
      <c r="C386" s="11" t="s">
        <v>1061</v>
      </c>
      <c r="D386" s="11" t="s">
        <v>1061</v>
      </c>
      <c r="E386" s="11" t="s">
        <v>1062</v>
      </c>
      <c r="F386" s="11" t="s">
        <v>1500</v>
      </c>
      <c r="J386" s="11">
        <v>3.0631685256958</v>
      </c>
      <c r="K386" s="11">
        <v>12.9087600708007</v>
      </c>
      <c r="L386" s="11" t="s">
        <v>1061</v>
      </c>
      <c r="M386" s="11" t="s">
        <v>1061</v>
      </c>
      <c r="N386" s="11" t="s">
        <v>1062</v>
      </c>
      <c r="O386" s="11" t="s">
        <v>1500</v>
      </c>
    </row>
    <row r="387">
      <c r="A387" s="11">
        <v>6.36184501647949</v>
      </c>
      <c r="B387" s="11">
        <v>19.2128314971923</v>
      </c>
      <c r="C387" s="11" t="s">
        <v>1061</v>
      </c>
      <c r="D387" s="11" t="s">
        <v>1061</v>
      </c>
      <c r="E387" s="11" t="s">
        <v>1062</v>
      </c>
      <c r="F387" s="11" t="s">
        <v>1501</v>
      </c>
      <c r="J387" s="11">
        <v>-9.91313934326171</v>
      </c>
      <c r="K387" s="11">
        <v>7.38944768905639</v>
      </c>
      <c r="L387" s="11" t="s">
        <v>1061</v>
      </c>
      <c r="M387" s="11" t="s">
        <v>1061</v>
      </c>
      <c r="N387" s="11" t="s">
        <v>1062</v>
      </c>
      <c r="O387" s="11" t="s">
        <v>1501</v>
      </c>
    </row>
    <row r="388">
      <c r="A388" s="11">
        <v>82.3742218017578</v>
      </c>
      <c r="B388" s="11">
        <v>-17.4438438415527</v>
      </c>
      <c r="C388" s="11" t="s">
        <v>1061</v>
      </c>
      <c r="D388" s="11" t="s">
        <v>1061</v>
      </c>
      <c r="E388" s="11" t="s">
        <v>1062</v>
      </c>
      <c r="F388" s="11" t="s">
        <v>1503</v>
      </c>
      <c r="J388" s="11">
        <v>-35.5491828918457</v>
      </c>
      <c r="K388" s="11">
        <v>29.3095645904541</v>
      </c>
      <c r="L388" s="11" t="s">
        <v>1061</v>
      </c>
      <c r="M388" s="11" t="s">
        <v>1061</v>
      </c>
      <c r="N388" s="11" t="s">
        <v>1062</v>
      </c>
      <c r="O388" s="11" t="s">
        <v>1503</v>
      </c>
    </row>
    <row r="389">
      <c r="A389" s="11">
        <v>9.30126571655273</v>
      </c>
      <c r="B389" s="11">
        <v>14.9568862915039</v>
      </c>
      <c r="C389" s="11" t="s">
        <v>1061</v>
      </c>
      <c r="D389" s="11" t="s">
        <v>1061</v>
      </c>
      <c r="E389" s="11" t="s">
        <v>1062</v>
      </c>
      <c r="F389" s="11" t="s">
        <v>1505</v>
      </c>
      <c r="J389" s="11">
        <v>-6.24468183517456</v>
      </c>
      <c r="K389" s="11">
        <v>-6.4467282295227</v>
      </c>
      <c r="L389" s="11" t="s">
        <v>1061</v>
      </c>
      <c r="M389" s="11" t="s">
        <v>1061</v>
      </c>
      <c r="N389" s="11" t="s">
        <v>1062</v>
      </c>
      <c r="O389" s="11" t="s">
        <v>1505</v>
      </c>
    </row>
    <row r="390">
      <c r="A390" s="11">
        <v>9.74326038360595</v>
      </c>
      <c r="B390" s="11">
        <v>14.5831975936889</v>
      </c>
      <c r="C390" s="11" t="s">
        <v>1061</v>
      </c>
      <c r="D390" s="11" t="s">
        <v>1061</v>
      </c>
      <c r="E390" s="11" t="s">
        <v>1062</v>
      </c>
      <c r="F390" s="11" t="s">
        <v>1506</v>
      </c>
      <c r="J390" s="11">
        <v>-6.27311515808105</v>
      </c>
      <c r="K390" s="11">
        <v>-6.15581703186035</v>
      </c>
      <c r="L390" s="11" t="s">
        <v>1061</v>
      </c>
      <c r="M390" s="11" t="s">
        <v>1061</v>
      </c>
      <c r="N390" s="11" t="s">
        <v>1062</v>
      </c>
      <c r="O390" s="11" t="s">
        <v>1506</v>
      </c>
    </row>
    <row r="391">
      <c r="A391" s="11">
        <v>17.017162322998</v>
      </c>
      <c r="B391" s="11">
        <v>5.35918378829956</v>
      </c>
      <c r="C391" s="11" t="s">
        <v>1061</v>
      </c>
      <c r="D391" s="11" t="s">
        <v>1061</v>
      </c>
      <c r="E391" s="11" t="s">
        <v>1062</v>
      </c>
      <c r="F391" s="11" t="s">
        <v>1508</v>
      </c>
      <c r="J391" s="11">
        <v>-19.6059112548828</v>
      </c>
      <c r="K391" s="11">
        <v>12.2258892059326</v>
      </c>
      <c r="L391" s="11" t="s">
        <v>1061</v>
      </c>
      <c r="M391" s="11" t="s">
        <v>1061</v>
      </c>
      <c r="N391" s="11" t="s">
        <v>1062</v>
      </c>
      <c r="O391" s="11" t="s">
        <v>1508</v>
      </c>
    </row>
    <row r="392">
      <c r="A392" s="11">
        <v>8.35590839385986</v>
      </c>
      <c r="B392" s="11">
        <v>31.089635848999</v>
      </c>
      <c r="C392" s="11" t="s">
        <v>1061</v>
      </c>
      <c r="D392" s="11" t="s">
        <v>1061</v>
      </c>
      <c r="E392" s="11" t="s">
        <v>1062</v>
      </c>
      <c r="F392" s="11" t="s">
        <v>1511</v>
      </c>
      <c r="J392" s="11">
        <v>-4.37039422988891</v>
      </c>
      <c r="K392" s="11">
        <v>14.8656768798828</v>
      </c>
      <c r="L392" s="11" t="s">
        <v>1061</v>
      </c>
      <c r="M392" s="11" t="s">
        <v>1061</v>
      </c>
      <c r="N392" s="11" t="s">
        <v>1062</v>
      </c>
      <c r="O392" s="11" t="s">
        <v>1511</v>
      </c>
    </row>
    <row r="393">
      <c r="A393" s="11">
        <v>33.8406562805175</v>
      </c>
      <c r="B393" s="11">
        <v>16.1842041015625</v>
      </c>
      <c r="C393" s="11" t="s">
        <v>1061</v>
      </c>
      <c r="D393" s="11" t="s">
        <v>1061</v>
      </c>
      <c r="E393" s="11" t="s">
        <v>1062</v>
      </c>
      <c r="F393" s="11" t="s">
        <v>1513</v>
      </c>
      <c r="J393" s="11">
        <v>-24.8882179260253</v>
      </c>
      <c r="K393" s="11">
        <v>5.71578311920166</v>
      </c>
      <c r="L393" s="11" t="s">
        <v>1061</v>
      </c>
      <c r="M393" s="11" t="s">
        <v>1061</v>
      </c>
      <c r="N393" s="11" t="s">
        <v>1062</v>
      </c>
      <c r="O393" s="11" t="s">
        <v>1513</v>
      </c>
    </row>
    <row r="394">
      <c r="A394" s="11">
        <v>-2.17568254470825</v>
      </c>
      <c r="B394" s="11">
        <v>71.2998428344726</v>
      </c>
      <c r="C394" s="11" t="s">
        <v>1515</v>
      </c>
      <c r="D394" s="11" t="s">
        <v>1515</v>
      </c>
      <c r="E394" s="11" t="s">
        <v>1062</v>
      </c>
      <c r="F394" s="11" t="s">
        <v>1517</v>
      </c>
      <c r="J394" s="11">
        <v>11.3988189697265</v>
      </c>
      <c r="K394" s="11">
        <v>41.8748512268066</v>
      </c>
      <c r="L394" s="11" t="s">
        <v>1515</v>
      </c>
      <c r="M394" s="11" t="s">
        <v>1515</v>
      </c>
      <c r="N394" s="11" t="s">
        <v>1062</v>
      </c>
      <c r="O394" s="11" t="s">
        <v>1517</v>
      </c>
    </row>
    <row r="395">
      <c r="A395" s="11">
        <v>-50.4851951599121</v>
      </c>
      <c r="B395" s="11">
        <v>39.1048278808593</v>
      </c>
      <c r="C395" s="11" t="s">
        <v>1515</v>
      </c>
      <c r="D395" s="11" t="s">
        <v>1515</v>
      </c>
      <c r="E395" s="11" t="s">
        <v>1062</v>
      </c>
      <c r="F395" s="11" t="s">
        <v>1519</v>
      </c>
      <c r="J395" s="11">
        <v>42.1150321960449</v>
      </c>
      <c r="K395" s="11">
        <v>12.9383745193481</v>
      </c>
      <c r="L395" s="11" t="s">
        <v>1515</v>
      </c>
      <c r="M395" s="11" t="s">
        <v>1515</v>
      </c>
      <c r="N395" s="11" t="s">
        <v>1062</v>
      </c>
      <c r="O395" s="11" t="s">
        <v>1519</v>
      </c>
    </row>
    <row r="396">
      <c r="A396" s="11">
        <v>-38.680809020996</v>
      </c>
      <c r="B396" s="11">
        <v>43.1694450378418</v>
      </c>
      <c r="C396" s="11" t="s">
        <v>1515</v>
      </c>
      <c r="D396" s="11" t="s">
        <v>1515</v>
      </c>
      <c r="E396" s="11" t="s">
        <v>1062</v>
      </c>
      <c r="F396" s="11" t="s">
        <v>1522</v>
      </c>
      <c r="J396" s="11">
        <v>49.4627304077148</v>
      </c>
      <c r="K396" s="11">
        <v>-11.3350658416748</v>
      </c>
      <c r="L396" s="11" t="s">
        <v>1515</v>
      </c>
      <c r="M396" s="11" t="s">
        <v>1515</v>
      </c>
      <c r="N396" s="11" t="s">
        <v>1062</v>
      </c>
      <c r="O396" s="11" t="s">
        <v>1522</v>
      </c>
    </row>
    <row r="397">
      <c r="A397" s="11">
        <v>40.0923805236816</v>
      </c>
      <c r="B397" s="11">
        <v>53.9080085754394</v>
      </c>
      <c r="C397" s="11" t="s">
        <v>1515</v>
      </c>
      <c r="D397" s="11" t="s">
        <v>1515</v>
      </c>
      <c r="E397" s="11" t="s">
        <v>1062</v>
      </c>
      <c r="F397" s="11" t="s">
        <v>1524</v>
      </c>
      <c r="J397" s="11">
        <v>28.2915992736816</v>
      </c>
      <c r="K397" s="11">
        <v>39.4002838134765</v>
      </c>
      <c r="L397" s="11" t="s">
        <v>1515</v>
      </c>
      <c r="M397" s="11" t="s">
        <v>1515</v>
      </c>
      <c r="N397" s="11" t="s">
        <v>1062</v>
      </c>
      <c r="O397" s="11" t="s">
        <v>1524</v>
      </c>
    </row>
    <row r="398">
      <c r="A398" s="11">
        <v>-48.1692924499511</v>
      </c>
      <c r="B398" s="11">
        <v>25.5261497497558</v>
      </c>
      <c r="C398" s="11" t="s">
        <v>1515</v>
      </c>
      <c r="D398" s="11" t="s">
        <v>1515</v>
      </c>
      <c r="E398" s="11" t="s">
        <v>1062</v>
      </c>
      <c r="F398" s="11" t="s">
        <v>1526</v>
      </c>
      <c r="J398" s="11">
        <v>40.3389930725097</v>
      </c>
      <c r="K398" s="11">
        <v>-5.8853702545166</v>
      </c>
      <c r="L398" s="11" t="s">
        <v>1515</v>
      </c>
      <c r="M398" s="11" t="s">
        <v>1515</v>
      </c>
      <c r="N398" s="11" t="s">
        <v>1062</v>
      </c>
      <c r="O398" s="11" t="s">
        <v>1526</v>
      </c>
    </row>
    <row r="399">
      <c r="A399" s="11">
        <v>-3.0835371017456</v>
      </c>
      <c r="B399" s="11">
        <v>-68.461441040039</v>
      </c>
      <c r="C399" s="11" t="s">
        <v>1515</v>
      </c>
      <c r="D399" s="11" t="s">
        <v>1515</v>
      </c>
      <c r="E399" s="11" t="s">
        <v>1062</v>
      </c>
      <c r="F399" s="11" t="s">
        <v>1528</v>
      </c>
      <c r="J399" s="11">
        <v>6.82717418670654</v>
      </c>
      <c r="K399" s="11">
        <v>33.3969001770019</v>
      </c>
      <c r="L399" s="11" t="s">
        <v>1515</v>
      </c>
      <c r="M399" s="11" t="s">
        <v>1515</v>
      </c>
      <c r="N399" s="11" t="s">
        <v>1062</v>
      </c>
      <c r="O399" s="11" t="s">
        <v>1528</v>
      </c>
    </row>
    <row r="400">
      <c r="A400" s="11">
        <v>31.8708400726318</v>
      </c>
      <c r="B400" s="11">
        <v>35.2241172790527</v>
      </c>
      <c r="C400" s="11" t="s">
        <v>1515</v>
      </c>
      <c r="D400" s="11" t="s">
        <v>1515</v>
      </c>
      <c r="E400" s="11" t="s">
        <v>1062</v>
      </c>
      <c r="F400" s="11" t="s">
        <v>1530</v>
      </c>
      <c r="J400" s="11">
        <v>17.8001537322998</v>
      </c>
      <c r="K400" s="11">
        <v>57.2550201416015</v>
      </c>
      <c r="L400" s="11" t="s">
        <v>1515</v>
      </c>
      <c r="M400" s="11" t="s">
        <v>1515</v>
      </c>
      <c r="N400" s="11" t="s">
        <v>1062</v>
      </c>
      <c r="O400" s="11" t="s">
        <v>1530</v>
      </c>
    </row>
    <row r="401">
      <c r="A401" s="11">
        <v>-17.585220336914</v>
      </c>
      <c r="B401" s="11">
        <v>5.85185718536376</v>
      </c>
      <c r="C401" s="11" t="s">
        <v>1515</v>
      </c>
      <c r="D401" s="11" t="s">
        <v>1515</v>
      </c>
      <c r="E401" s="11" t="s">
        <v>1062</v>
      </c>
      <c r="F401" s="11" t="s">
        <v>1532</v>
      </c>
      <c r="J401" s="11">
        <v>31.087007522583</v>
      </c>
      <c r="K401" s="11">
        <v>27.5284442901611</v>
      </c>
      <c r="L401" s="11" t="s">
        <v>1515</v>
      </c>
      <c r="M401" s="11" t="s">
        <v>1515</v>
      </c>
      <c r="N401" s="11" t="s">
        <v>1062</v>
      </c>
      <c r="O401" s="11" t="s">
        <v>1532</v>
      </c>
    </row>
    <row r="402">
      <c r="A402" s="11">
        <v>-57.5715560913085</v>
      </c>
      <c r="B402" s="11">
        <v>29.6256122589111</v>
      </c>
      <c r="C402" s="11" t="s">
        <v>1515</v>
      </c>
      <c r="D402" s="11" t="s">
        <v>1515</v>
      </c>
      <c r="E402" s="11" t="s">
        <v>1062</v>
      </c>
      <c r="F402" s="11" t="s">
        <v>1534</v>
      </c>
      <c r="J402" s="11">
        <v>45.4403076171875</v>
      </c>
      <c r="K402" s="11">
        <v>17.6376342773437</v>
      </c>
      <c r="L402" s="11" t="s">
        <v>1515</v>
      </c>
      <c r="M402" s="11" t="s">
        <v>1515</v>
      </c>
      <c r="N402" s="11" t="s">
        <v>1062</v>
      </c>
      <c r="O402" s="11" t="s">
        <v>1534</v>
      </c>
    </row>
    <row r="403">
      <c r="A403" s="11">
        <v>-62.5297470092773</v>
      </c>
      <c r="B403" s="11">
        <v>12.6817712783813</v>
      </c>
      <c r="C403" s="11" t="s">
        <v>1515</v>
      </c>
      <c r="D403" s="11" t="s">
        <v>1515</v>
      </c>
      <c r="E403" s="11" t="s">
        <v>1062</v>
      </c>
      <c r="F403" s="11" t="s">
        <v>1536</v>
      </c>
      <c r="J403" s="11">
        <v>49.5904998779296</v>
      </c>
      <c r="K403" s="11">
        <v>7.09028959274292</v>
      </c>
      <c r="L403" s="11" t="s">
        <v>1515</v>
      </c>
      <c r="M403" s="11" t="s">
        <v>1515</v>
      </c>
      <c r="N403" s="11" t="s">
        <v>1062</v>
      </c>
      <c r="O403" s="11" t="s">
        <v>1536</v>
      </c>
    </row>
    <row r="404">
      <c r="A404" s="11">
        <v>-7.10118246078491</v>
      </c>
      <c r="B404" s="11">
        <v>-3.59972786903381</v>
      </c>
      <c r="C404" s="11" t="s">
        <v>1515</v>
      </c>
      <c r="D404" s="11" t="s">
        <v>1515</v>
      </c>
      <c r="E404" s="11" t="s">
        <v>1062</v>
      </c>
      <c r="F404" s="11" t="s">
        <v>1537</v>
      </c>
      <c r="J404" s="11">
        <v>15.7276277542114</v>
      </c>
      <c r="K404" s="11">
        <v>66.0496139526367</v>
      </c>
      <c r="L404" s="11" t="s">
        <v>1515</v>
      </c>
      <c r="M404" s="11" t="s">
        <v>1515</v>
      </c>
      <c r="N404" s="11" t="s">
        <v>1062</v>
      </c>
      <c r="O404" s="11" t="s">
        <v>1537</v>
      </c>
    </row>
    <row r="405">
      <c r="A405" s="11">
        <v>31.3228359222412</v>
      </c>
      <c r="B405" s="11">
        <v>43.6844940185546</v>
      </c>
      <c r="C405" s="11" t="s">
        <v>1515</v>
      </c>
      <c r="D405" s="11" t="s">
        <v>1515</v>
      </c>
      <c r="E405" s="11" t="s">
        <v>1062</v>
      </c>
      <c r="F405" s="11" t="s">
        <v>1538</v>
      </c>
      <c r="J405" s="11">
        <v>22.8880043029785</v>
      </c>
      <c r="K405" s="11">
        <v>38.5286331176757</v>
      </c>
      <c r="L405" s="11" t="s">
        <v>1515</v>
      </c>
      <c r="M405" s="11" t="s">
        <v>1515</v>
      </c>
      <c r="N405" s="11" t="s">
        <v>1062</v>
      </c>
      <c r="O405" s="11" t="s">
        <v>1538</v>
      </c>
    </row>
    <row r="406">
      <c r="A406" s="11">
        <v>-47.7056427001953</v>
      </c>
      <c r="B406" s="11">
        <v>23.9352684020996</v>
      </c>
      <c r="C406" s="11" t="s">
        <v>1515</v>
      </c>
      <c r="D406" s="11" t="s">
        <v>1515</v>
      </c>
      <c r="E406" s="11" t="s">
        <v>1062</v>
      </c>
      <c r="F406" s="11" t="s">
        <v>1540</v>
      </c>
      <c r="J406" s="11">
        <v>40.1657104492187</v>
      </c>
      <c r="K406" s="11">
        <v>-6.4777135848999</v>
      </c>
      <c r="L406" s="11" t="s">
        <v>1515</v>
      </c>
      <c r="M406" s="11" t="s">
        <v>1515</v>
      </c>
      <c r="N406" s="11" t="s">
        <v>1062</v>
      </c>
      <c r="O406" s="11" t="s">
        <v>1540</v>
      </c>
    </row>
    <row r="407">
      <c r="A407" s="11">
        <v>9.84516048431396</v>
      </c>
      <c r="B407" s="11">
        <v>51.9087829589843</v>
      </c>
      <c r="C407" s="11" t="s">
        <v>1515</v>
      </c>
      <c r="D407" s="11" t="s">
        <v>1515</v>
      </c>
      <c r="E407" s="11" t="s">
        <v>1062</v>
      </c>
      <c r="F407" s="11" t="s">
        <v>1543</v>
      </c>
      <c r="J407" s="11">
        <v>6.54868078231811</v>
      </c>
      <c r="K407" s="11">
        <v>16.4799327850341</v>
      </c>
      <c r="L407" s="11" t="s">
        <v>1515</v>
      </c>
      <c r="M407" s="11" t="s">
        <v>1515</v>
      </c>
      <c r="N407" s="11" t="s">
        <v>1062</v>
      </c>
      <c r="O407" s="11" t="s">
        <v>1543</v>
      </c>
    </row>
    <row r="408">
      <c r="A408" s="11">
        <v>-44.3569412231445</v>
      </c>
      <c r="B408" s="11">
        <v>29.0272636413574</v>
      </c>
      <c r="C408" s="11" t="s">
        <v>1515</v>
      </c>
      <c r="D408" s="11" t="s">
        <v>1515</v>
      </c>
      <c r="E408" s="11" t="s">
        <v>1062</v>
      </c>
      <c r="F408" s="11" t="s">
        <v>1545</v>
      </c>
      <c r="J408" s="11">
        <v>45.9341621398925</v>
      </c>
      <c r="K408" s="11">
        <v>6.97869348526001</v>
      </c>
      <c r="L408" s="11" t="s">
        <v>1515</v>
      </c>
      <c r="M408" s="11" t="s">
        <v>1515</v>
      </c>
      <c r="N408" s="11" t="s">
        <v>1062</v>
      </c>
      <c r="O408" s="11" t="s">
        <v>1545</v>
      </c>
    </row>
    <row r="409">
      <c r="A409" s="11">
        <v>22.925157546997</v>
      </c>
      <c r="B409" s="11">
        <v>-5.93904256820678</v>
      </c>
      <c r="C409" s="11" t="s">
        <v>1515</v>
      </c>
      <c r="D409" s="11" t="s">
        <v>1515</v>
      </c>
      <c r="E409" s="11" t="s">
        <v>1062</v>
      </c>
      <c r="F409" s="11" t="s">
        <v>1547</v>
      </c>
      <c r="J409" s="11">
        <v>9.31835842132568</v>
      </c>
      <c r="K409" s="11">
        <v>29.4582710266113</v>
      </c>
      <c r="L409" s="11" t="s">
        <v>1515</v>
      </c>
      <c r="M409" s="11" t="s">
        <v>1515</v>
      </c>
      <c r="N409" s="11" t="s">
        <v>1062</v>
      </c>
      <c r="O409" s="11" t="s">
        <v>1547</v>
      </c>
    </row>
    <row r="410">
      <c r="A410" s="11">
        <v>-22.6211128234863</v>
      </c>
      <c r="B410" s="11">
        <v>30.857364654541</v>
      </c>
      <c r="C410" s="11" t="s">
        <v>1515</v>
      </c>
      <c r="D410" s="11" t="s">
        <v>1515</v>
      </c>
      <c r="E410" s="11" t="s">
        <v>1062</v>
      </c>
      <c r="F410" s="11" t="s">
        <v>1549</v>
      </c>
      <c r="J410" s="11">
        <v>19.3448219299316</v>
      </c>
      <c r="K410" s="11">
        <v>13.1988296508789</v>
      </c>
      <c r="L410" s="11" t="s">
        <v>1515</v>
      </c>
      <c r="M410" s="11" t="s">
        <v>1515</v>
      </c>
      <c r="N410" s="11" t="s">
        <v>1062</v>
      </c>
      <c r="O410" s="11" t="s">
        <v>1549</v>
      </c>
    </row>
    <row r="411">
      <c r="A411" s="11">
        <v>-42.8968162536621</v>
      </c>
      <c r="B411" s="11">
        <v>18.5287914276123</v>
      </c>
      <c r="C411" s="11" t="s">
        <v>1515</v>
      </c>
      <c r="D411" s="11" t="s">
        <v>1515</v>
      </c>
      <c r="E411" s="11" t="s">
        <v>1062</v>
      </c>
      <c r="F411" s="11" t="s">
        <v>1551</v>
      </c>
      <c r="J411" s="11">
        <v>17.2165737152099</v>
      </c>
      <c r="K411" s="11">
        <v>32.115177154541</v>
      </c>
      <c r="L411" s="11" t="s">
        <v>1515</v>
      </c>
      <c r="M411" s="11" t="s">
        <v>1515</v>
      </c>
      <c r="N411" s="11" t="s">
        <v>1062</v>
      </c>
      <c r="O411" s="11" t="s">
        <v>1551</v>
      </c>
    </row>
    <row r="412">
      <c r="A412" s="11">
        <v>67.1724472045898</v>
      </c>
      <c r="B412" s="11">
        <v>-1.42984771728515</v>
      </c>
      <c r="C412" s="11" t="s">
        <v>1515</v>
      </c>
      <c r="D412" s="11" t="s">
        <v>1515</v>
      </c>
      <c r="E412" s="11" t="s">
        <v>1062</v>
      </c>
      <c r="F412" s="11" t="s">
        <v>1553</v>
      </c>
      <c r="J412" s="11">
        <v>-0.823967158794403</v>
      </c>
      <c r="K412" s="11">
        <v>62.6271896362304</v>
      </c>
      <c r="L412" s="11" t="s">
        <v>1515</v>
      </c>
      <c r="M412" s="11" t="s">
        <v>1515</v>
      </c>
      <c r="N412" s="11" t="s">
        <v>1062</v>
      </c>
      <c r="O412" s="11" t="s">
        <v>1553</v>
      </c>
    </row>
    <row r="413">
      <c r="A413" s="11">
        <v>-3.62022686004638</v>
      </c>
      <c r="B413" s="11">
        <v>-1.8969509601593</v>
      </c>
      <c r="C413" s="11" t="s">
        <v>1515</v>
      </c>
      <c r="D413" s="11" t="s">
        <v>1515</v>
      </c>
      <c r="E413" s="11" t="s">
        <v>1062</v>
      </c>
      <c r="F413" s="11" t="s">
        <v>1554</v>
      </c>
      <c r="J413" s="11">
        <v>19.0398025512695</v>
      </c>
      <c r="K413" s="11">
        <v>20.3552074432373</v>
      </c>
      <c r="L413" s="11" t="s">
        <v>1515</v>
      </c>
      <c r="M413" s="11" t="s">
        <v>1515</v>
      </c>
      <c r="N413" s="11" t="s">
        <v>1062</v>
      </c>
      <c r="O413" s="11" t="s">
        <v>1554</v>
      </c>
    </row>
    <row r="414">
      <c r="A414" s="11">
        <v>58.732307434082</v>
      </c>
      <c r="B414" s="11">
        <v>1.2651925086975</v>
      </c>
      <c r="C414" s="11" t="s">
        <v>1515</v>
      </c>
      <c r="D414" s="11" t="s">
        <v>1515</v>
      </c>
      <c r="E414" s="11" t="s">
        <v>1062</v>
      </c>
      <c r="F414" s="11" t="s">
        <v>1556</v>
      </c>
      <c r="J414" s="11">
        <v>-2.15017986297607</v>
      </c>
      <c r="K414" s="11">
        <v>56.3093719482421</v>
      </c>
      <c r="L414" s="11" t="s">
        <v>1515</v>
      </c>
      <c r="M414" s="11" t="s">
        <v>1515</v>
      </c>
      <c r="N414" s="11" t="s">
        <v>1062</v>
      </c>
      <c r="O414" s="11" t="s">
        <v>1556</v>
      </c>
    </row>
    <row r="415">
      <c r="A415" s="11">
        <v>-3.42333889007568</v>
      </c>
      <c r="B415" s="11">
        <v>-1.29457819461822</v>
      </c>
      <c r="C415" s="11" t="s">
        <v>1515</v>
      </c>
      <c r="D415" s="11" t="s">
        <v>1515</v>
      </c>
      <c r="E415" s="11" t="s">
        <v>1062</v>
      </c>
      <c r="F415" s="11" t="s">
        <v>1558</v>
      </c>
      <c r="J415" s="11">
        <v>19.4665412902832</v>
      </c>
      <c r="K415" s="11">
        <v>20.7460498809814</v>
      </c>
      <c r="L415" s="11" t="s">
        <v>1515</v>
      </c>
      <c r="M415" s="11" t="s">
        <v>1515</v>
      </c>
      <c r="N415" s="11" t="s">
        <v>1062</v>
      </c>
      <c r="O415" s="11" t="s">
        <v>1558</v>
      </c>
    </row>
    <row r="416">
      <c r="A416" s="11">
        <v>55.5291748046875</v>
      </c>
      <c r="B416" s="11">
        <v>-4.44507932662963</v>
      </c>
      <c r="C416" s="11" t="s">
        <v>1515</v>
      </c>
      <c r="D416" s="11" t="s">
        <v>1515</v>
      </c>
      <c r="E416" s="11" t="s">
        <v>1062</v>
      </c>
      <c r="F416" s="11" t="s">
        <v>1559</v>
      </c>
      <c r="J416" s="11">
        <v>-11.9100446701049</v>
      </c>
      <c r="K416" s="11">
        <v>55.2706451416015</v>
      </c>
      <c r="L416" s="11" t="s">
        <v>1515</v>
      </c>
      <c r="M416" s="11" t="s">
        <v>1515</v>
      </c>
      <c r="N416" s="11" t="s">
        <v>1062</v>
      </c>
      <c r="O416" s="11" t="s">
        <v>1559</v>
      </c>
    </row>
    <row r="417">
      <c r="A417" s="11">
        <v>49.4131278991699</v>
      </c>
      <c r="B417" s="11">
        <v>-4.25037431716918</v>
      </c>
      <c r="C417" s="11" t="s">
        <v>1515</v>
      </c>
      <c r="D417" s="11" t="s">
        <v>1515</v>
      </c>
      <c r="E417" s="11" t="s">
        <v>1062</v>
      </c>
      <c r="F417" s="11" t="s">
        <v>1561</v>
      </c>
      <c r="J417" s="11">
        <v>9.34283065795898</v>
      </c>
      <c r="K417" s="11">
        <v>62.9484329223632</v>
      </c>
      <c r="L417" s="11" t="s">
        <v>1515</v>
      </c>
      <c r="M417" s="11" t="s">
        <v>1515</v>
      </c>
      <c r="N417" s="11" t="s">
        <v>1062</v>
      </c>
      <c r="O417" s="11" t="s">
        <v>1561</v>
      </c>
    </row>
    <row r="418">
      <c r="A418" s="11">
        <v>-8.66114139556884</v>
      </c>
      <c r="B418" s="11">
        <v>9.24788761138916</v>
      </c>
      <c r="C418" s="11" t="s">
        <v>1515</v>
      </c>
      <c r="D418" s="11" t="s">
        <v>1515</v>
      </c>
      <c r="E418" s="11" t="s">
        <v>1062</v>
      </c>
      <c r="F418" s="11" t="s">
        <v>1563</v>
      </c>
      <c r="J418" s="11">
        <v>-0.849139809608459</v>
      </c>
      <c r="K418" s="11">
        <v>53.1226387023925</v>
      </c>
      <c r="L418" s="11" t="s">
        <v>1515</v>
      </c>
      <c r="M418" s="11" t="s">
        <v>1515</v>
      </c>
      <c r="N418" s="11" t="s">
        <v>1062</v>
      </c>
      <c r="O418" s="11" t="s">
        <v>1563</v>
      </c>
    </row>
    <row r="419">
      <c r="A419" s="11">
        <v>-31.9359874725341</v>
      </c>
      <c r="B419" s="11">
        <v>-26.7203578948974</v>
      </c>
      <c r="C419" s="11" t="s">
        <v>1515</v>
      </c>
      <c r="D419" s="11" t="s">
        <v>1515</v>
      </c>
      <c r="E419" s="11" t="s">
        <v>1062</v>
      </c>
      <c r="F419" s="11" t="s">
        <v>1565</v>
      </c>
      <c r="J419" s="11">
        <v>25.2504386901855</v>
      </c>
      <c r="K419" s="11">
        <v>54.2914390563964</v>
      </c>
      <c r="L419" s="11" t="s">
        <v>1515</v>
      </c>
      <c r="M419" s="11" t="s">
        <v>1515</v>
      </c>
      <c r="N419" s="11" t="s">
        <v>1062</v>
      </c>
      <c r="O419" s="11" t="s">
        <v>1565</v>
      </c>
    </row>
    <row r="420">
      <c r="A420" s="11">
        <v>45.7006530761718</v>
      </c>
      <c r="B420" s="11">
        <v>-4.92712211608886</v>
      </c>
      <c r="C420" s="11" t="s">
        <v>1515</v>
      </c>
      <c r="D420" s="11" t="s">
        <v>1515</v>
      </c>
      <c r="E420" s="11" t="s">
        <v>1062</v>
      </c>
      <c r="F420" s="11" t="s">
        <v>1567</v>
      </c>
      <c r="J420" s="11">
        <v>8.71282196044921</v>
      </c>
      <c r="K420" s="11">
        <v>61.6501693725585</v>
      </c>
      <c r="L420" s="11" t="s">
        <v>1515</v>
      </c>
      <c r="M420" s="11" t="s">
        <v>1515</v>
      </c>
      <c r="N420" s="11" t="s">
        <v>1062</v>
      </c>
      <c r="O420" s="11" t="s">
        <v>1567</v>
      </c>
    </row>
    <row r="421">
      <c r="A421" s="11">
        <v>-29.8131465911865</v>
      </c>
      <c r="B421" s="11">
        <v>23.9322910308837</v>
      </c>
      <c r="C421" s="11" t="s">
        <v>1515</v>
      </c>
      <c r="D421" s="11" t="s">
        <v>1515</v>
      </c>
      <c r="E421" s="11" t="s">
        <v>1062</v>
      </c>
      <c r="F421" s="11" t="s">
        <v>1569</v>
      </c>
      <c r="J421" s="11">
        <v>17.8985557556152</v>
      </c>
      <c r="K421" s="11">
        <v>35.6999626159668</v>
      </c>
      <c r="L421" s="11" t="s">
        <v>1515</v>
      </c>
      <c r="M421" s="11" t="s">
        <v>1515</v>
      </c>
      <c r="N421" s="11" t="s">
        <v>1062</v>
      </c>
      <c r="O421" s="11" t="s">
        <v>1569</v>
      </c>
    </row>
    <row r="422">
      <c r="A422" s="11">
        <v>22.8826217651367</v>
      </c>
      <c r="B422" s="11">
        <v>2.56294202804565</v>
      </c>
      <c r="C422" s="11" t="s">
        <v>1515</v>
      </c>
      <c r="D422" s="11" t="s">
        <v>1515</v>
      </c>
      <c r="E422" s="11" t="s">
        <v>1062</v>
      </c>
      <c r="F422" s="11" t="s">
        <v>1571</v>
      </c>
      <c r="J422" s="11">
        <v>25.9049968719482</v>
      </c>
      <c r="K422" s="11">
        <v>26.6324405670166</v>
      </c>
      <c r="L422" s="11" t="s">
        <v>1515</v>
      </c>
      <c r="M422" s="11" t="s">
        <v>1515</v>
      </c>
      <c r="N422" s="11" t="s">
        <v>1062</v>
      </c>
      <c r="O422" s="11" t="s">
        <v>1571</v>
      </c>
    </row>
    <row r="423">
      <c r="A423" s="11">
        <v>35.9353256225585</v>
      </c>
      <c r="B423" s="11">
        <v>3.34893584251403</v>
      </c>
      <c r="C423" s="11" t="s">
        <v>1515</v>
      </c>
      <c r="D423" s="11" t="s">
        <v>1515</v>
      </c>
      <c r="E423" s="11" t="s">
        <v>1062</v>
      </c>
      <c r="F423" s="11" t="s">
        <v>1574</v>
      </c>
      <c r="J423" s="11">
        <v>5.49785327911376</v>
      </c>
      <c r="K423" s="11">
        <v>53.9366722106933</v>
      </c>
      <c r="L423" s="11" t="s">
        <v>1515</v>
      </c>
      <c r="M423" s="11" t="s">
        <v>1515</v>
      </c>
      <c r="N423" s="11" t="s">
        <v>1062</v>
      </c>
      <c r="O423" s="11" t="s">
        <v>1574</v>
      </c>
    </row>
    <row r="424">
      <c r="A424" s="11">
        <v>-12.6986265182495</v>
      </c>
      <c r="B424" s="11">
        <v>5.78480911254882</v>
      </c>
      <c r="C424" s="11" t="s">
        <v>1515</v>
      </c>
      <c r="D424" s="11" t="s">
        <v>1515</v>
      </c>
      <c r="E424" s="11" t="s">
        <v>1062</v>
      </c>
      <c r="F424" s="11" t="s">
        <v>1576</v>
      </c>
      <c r="J424" s="11">
        <v>-1.535728931427</v>
      </c>
      <c r="K424" s="11">
        <v>-13.6882514953613</v>
      </c>
      <c r="L424" s="11" t="s">
        <v>1515</v>
      </c>
      <c r="M424" s="11" t="s">
        <v>1515</v>
      </c>
      <c r="N424" s="11" t="s">
        <v>1062</v>
      </c>
      <c r="O424" s="11" t="s">
        <v>1576</v>
      </c>
    </row>
    <row r="425">
      <c r="A425" s="11">
        <v>-18.2780475616455</v>
      </c>
      <c r="B425" s="11">
        <v>21.1773242950439</v>
      </c>
      <c r="C425" s="11" t="s">
        <v>1515</v>
      </c>
      <c r="D425" s="11" t="s">
        <v>1515</v>
      </c>
      <c r="E425" s="11" t="s">
        <v>1062</v>
      </c>
      <c r="F425" s="11" t="s">
        <v>1578</v>
      </c>
      <c r="J425" s="11">
        <v>19.3966617584228</v>
      </c>
      <c r="K425" s="11">
        <v>44.4891090393066</v>
      </c>
      <c r="L425" s="11" t="s">
        <v>1515</v>
      </c>
      <c r="M425" s="11" t="s">
        <v>1515</v>
      </c>
      <c r="N425" s="11" t="s">
        <v>1062</v>
      </c>
      <c r="O425" s="11" t="s">
        <v>1578</v>
      </c>
    </row>
    <row r="426">
      <c r="A426" s="11">
        <v>59.4540977478027</v>
      </c>
      <c r="B426" s="11">
        <v>0.482833802700042</v>
      </c>
      <c r="C426" s="11" t="s">
        <v>1515</v>
      </c>
      <c r="D426" s="11" t="s">
        <v>1515</v>
      </c>
      <c r="E426" s="11" t="s">
        <v>1062</v>
      </c>
      <c r="F426" s="11" t="s">
        <v>1580</v>
      </c>
      <c r="J426" s="11">
        <v>-2.87096071243286</v>
      </c>
      <c r="K426" s="11">
        <v>56.0548057556152</v>
      </c>
      <c r="L426" s="11" t="s">
        <v>1515</v>
      </c>
      <c r="M426" s="11" t="s">
        <v>1515</v>
      </c>
      <c r="N426" s="11" t="s">
        <v>1062</v>
      </c>
      <c r="O426" s="11" t="s">
        <v>1580</v>
      </c>
    </row>
    <row r="427">
      <c r="A427" s="11">
        <v>7.19886255264282</v>
      </c>
      <c r="B427" s="11">
        <v>64.8049392700195</v>
      </c>
      <c r="C427" s="11" t="s">
        <v>1515</v>
      </c>
      <c r="D427" s="11" t="s">
        <v>1515</v>
      </c>
      <c r="E427" s="11" t="s">
        <v>1062</v>
      </c>
      <c r="F427" s="11" t="s">
        <v>1582</v>
      </c>
      <c r="J427" s="11">
        <v>15.2741727828979</v>
      </c>
      <c r="K427" s="11">
        <v>13.9654788970947</v>
      </c>
      <c r="L427" s="11" t="s">
        <v>1515</v>
      </c>
      <c r="M427" s="11" t="s">
        <v>1515</v>
      </c>
      <c r="N427" s="11" t="s">
        <v>1062</v>
      </c>
      <c r="O427" s="11" t="s">
        <v>1582</v>
      </c>
    </row>
    <row r="428">
      <c r="A428" s="11">
        <v>37.9270820617675</v>
      </c>
      <c r="B428" s="11">
        <v>38.702896118164</v>
      </c>
      <c r="C428" s="11" t="s">
        <v>1515</v>
      </c>
      <c r="D428" s="11" t="s">
        <v>1515</v>
      </c>
      <c r="E428" s="11" t="s">
        <v>1062</v>
      </c>
      <c r="F428" s="11" t="s">
        <v>1585</v>
      </c>
      <c r="J428" s="11">
        <v>8.3387451171875</v>
      </c>
      <c r="K428" s="11">
        <v>51.2438430786132</v>
      </c>
      <c r="L428" s="11" t="s">
        <v>1515</v>
      </c>
      <c r="M428" s="11" t="s">
        <v>1515</v>
      </c>
      <c r="N428" s="11" t="s">
        <v>1062</v>
      </c>
      <c r="O428" s="11" t="s">
        <v>1585</v>
      </c>
    </row>
    <row r="429">
      <c r="A429" s="11">
        <v>45.7496452331543</v>
      </c>
      <c r="B429" s="11">
        <v>1.03791689872741</v>
      </c>
      <c r="C429" s="11" t="s">
        <v>1515</v>
      </c>
      <c r="D429" s="11" t="s">
        <v>1515</v>
      </c>
      <c r="E429" s="11" t="s">
        <v>1062</v>
      </c>
      <c r="F429" s="11" t="s">
        <v>1587</v>
      </c>
      <c r="J429" s="11">
        <v>8.71912574768066</v>
      </c>
      <c r="K429" s="11">
        <v>59.7501792907714</v>
      </c>
      <c r="L429" s="11" t="s">
        <v>1515</v>
      </c>
      <c r="M429" s="11" t="s">
        <v>1515</v>
      </c>
      <c r="N429" s="11" t="s">
        <v>1062</v>
      </c>
      <c r="O429" s="11" t="s">
        <v>1587</v>
      </c>
    </row>
    <row r="430">
      <c r="A430" s="11">
        <v>52.0992012023925</v>
      </c>
      <c r="B430" s="11">
        <v>-3.45759391784667</v>
      </c>
      <c r="C430" s="11" t="s">
        <v>1515</v>
      </c>
      <c r="D430" s="11" t="s">
        <v>1515</v>
      </c>
      <c r="E430" s="11" t="s">
        <v>1062</v>
      </c>
      <c r="F430" s="11" t="s">
        <v>1589</v>
      </c>
      <c r="J430" s="11">
        <v>0.31218746304512</v>
      </c>
      <c r="K430" s="11">
        <v>56.9978256225585</v>
      </c>
      <c r="L430" s="11" t="s">
        <v>1515</v>
      </c>
      <c r="M430" s="11" t="s">
        <v>1515</v>
      </c>
      <c r="N430" s="11" t="s">
        <v>1062</v>
      </c>
      <c r="O430" s="11" t="s">
        <v>1589</v>
      </c>
    </row>
    <row r="431">
      <c r="A431" s="11">
        <v>31.8708400726318</v>
      </c>
      <c r="B431" s="11">
        <v>35.2241172790527</v>
      </c>
      <c r="C431" s="11" t="s">
        <v>1515</v>
      </c>
      <c r="D431" s="11" t="s">
        <v>1515</v>
      </c>
      <c r="E431" s="11" t="s">
        <v>1062</v>
      </c>
      <c r="F431" s="11" t="s">
        <v>1591</v>
      </c>
      <c r="J431" s="11">
        <v>18.381118774414</v>
      </c>
      <c r="K431" s="11">
        <v>57.258560180664</v>
      </c>
      <c r="L431" s="11" t="s">
        <v>1515</v>
      </c>
      <c r="M431" s="11" t="s">
        <v>1515</v>
      </c>
      <c r="N431" s="11" t="s">
        <v>1062</v>
      </c>
      <c r="O431" s="11" t="s">
        <v>1591</v>
      </c>
    </row>
    <row r="432">
      <c r="A432" s="11">
        <v>-30.4132022857666</v>
      </c>
      <c r="B432" s="11">
        <v>34.3856697082519</v>
      </c>
      <c r="C432" s="11" t="s">
        <v>1515</v>
      </c>
      <c r="D432" s="11" t="s">
        <v>1515</v>
      </c>
      <c r="E432" s="11" t="s">
        <v>1062</v>
      </c>
      <c r="F432" s="11" t="s">
        <v>1593</v>
      </c>
      <c r="J432" s="11">
        <v>32.9637985229492</v>
      </c>
      <c r="K432" s="11">
        <v>43.5200996398925</v>
      </c>
      <c r="L432" s="11" t="s">
        <v>1515</v>
      </c>
      <c r="M432" s="11" t="s">
        <v>1515</v>
      </c>
      <c r="N432" s="11" t="s">
        <v>1062</v>
      </c>
      <c r="O432" s="11" t="s">
        <v>1593</v>
      </c>
    </row>
    <row r="433">
      <c r="A433" s="11">
        <v>-44.8533592224121</v>
      </c>
      <c r="B433" s="11">
        <v>16.3922576904296</v>
      </c>
      <c r="C433" s="11" t="s">
        <v>1515</v>
      </c>
      <c r="D433" s="11" t="s">
        <v>1515</v>
      </c>
      <c r="E433" s="11" t="s">
        <v>1062</v>
      </c>
      <c r="F433" s="11" t="s">
        <v>1595</v>
      </c>
      <c r="J433" s="11">
        <v>18.0217781066894</v>
      </c>
      <c r="K433" s="11">
        <v>29.91646194458</v>
      </c>
      <c r="L433" s="11" t="s">
        <v>1515</v>
      </c>
      <c r="M433" s="11" t="s">
        <v>1515</v>
      </c>
      <c r="N433" s="11" t="s">
        <v>1062</v>
      </c>
      <c r="O433" s="11" t="s">
        <v>1595</v>
      </c>
    </row>
    <row r="434">
      <c r="A434" s="11">
        <v>-58.3380432128906</v>
      </c>
      <c r="B434" s="11">
        <v>28.9182453155517</v>
      </c>
      <c r="C434" s="11" t="s">
        <v>1515</v>
      </c>
      <c r="D434" s="11" t="s">
        <v>1515</v>
      </c>
      <c r="E434" s="11" t="s">
        <v>1062</v>
      </c>
      <c r="F434" s="11" t="s">
        <v>1598</v>
      </c>
      <c r="J434" s="11">
        <v>46.0911788940429</v>
      </c>
      <c r="K434" s="11">
        <v>18.2019920349121</v>
      </c>
      <c r="L434" s="11" t="s">
        <v>1515</v>
      </c>
      <c r="M434" s="11" t="s">
        <v>1515</v>
      </c>
      <c r="N434" s="11" t="s">
        <v>1062</v>
      </c>
      <c r="O434" s="11" t="s">
        <v>1598</v>
      </c>
    </row>
    <row r="435">
      <c r="A435" s="11">
        <v>-48.7355804443359</v>
      </c>
      <c r="B435" s="11">
        <v>48.4889373779296</v>
      </c>
      <c r="C435" s="11" t="s">
        <v>1515</v>
      </c>
      <c r="D435" s="11" t="s">
        <v>1515</v>
      </c>
      <c r="E435" s="11" t="s">
        <v>1062</v>
      </c>
      <c r="F435" s="11" t="s">
        <v>1600</v>
      </c>
      <c r="J435" s="11">
        <v>39.6022224426269</v>
      </c>
      <c r="K435" s="11">
        <v>18.2496280670166</v>
      </c>
      <c r="L435" s="11" t="s">
        <v>1515</v>
      </c>
      <c r="M435" s="11" t="s">
        <v>1515</v>
      </c>
      <c r="N435" s="11" t="s">
        <v>1062</v>
      </c>
      <c r="O435" s="11" t="s">
        <v>1600</v>
      </c>
    </row>
    <row r="436">
      <c r="A436" s="11">
        <v>39.780906677246</v>
      </c>
      <c r="B436" s="11">
        <v>53.3053245544433</v>
      </c>
      <c r="C436" s="11" t="s">
        <v>1515</v>
      </c>
      <c r="D436" s="11" t="s">
        <v>1515</v>
      </c>
      <c r="E436" s="11" t="s">
        <v>1062</v>
      </c>
      <c r="F436" s="11" t="s">
        <v>1602</v>
      </c>
      <c r="J436" s="11">
        <v>28.5532684326171</v>
      </c>
      <c r="K436" s="11">
        <v>39.2217559814453</v>
      </c>
      <c r="L436" s="11" t="s">
        <v>1515</v>
      </c>
      <c r="M436" s="11" t="s">
        <v>1515</v>
      </c>
      <c r="N436" s="11" t="s">
        <v>1062</v>
      </c>
      <c r="O436" s="11" t="s">
        <v>1602</v>
      </c>
    </row>
    <row r="437">
      <c r="A437" s="11">
        <v>-37.6881866455078</v>
      </c>
      <c r="B437" s="11">
        <v>43.7806434631347</v>
      </c>
      <c r="C437" s="11" t="s">
        <v>1515</v>
      </c>
      <c r="D437" s="11" t="s">
        <v>1515</v>
      </c>
      <c r="E437" s="11" t="s">
        <v>1062</v>
      </c>
      <c r="F437" s="11" t="s">
        <v>1604</v>
      </c>
      <c r="J437" s="11">
        <v>49.3545150756835</v>
      </c>
      <c r="K437" s="11">
        <v>-10.9246959686279</v>
      </c>
      <c r="L437" s="11" t="s">
        <v>1515</v>
      </c>
      <c r="M437" s="11" t="s">
        <v>1515</v>
      </c>
      <c r="N437" s="11" t="s">
        <v>1062</v>
      </c>
      <c r="O437" s="11" t="s">
        <v>1604</v>
      </c>
    </row>
    <row r="438">
      <c r="A438" s="11">
        <v>-42.2717933654785</v>
      </c>
      <c r="B438" s="11">
        <v>28.8193550109863</v>
      </c>
      <c r="C438" s="11" t="s">
        <v>1515</v>
      </c>
      <c r="D438" s="11" t="s">
        <v>1515</v>
      </c>
      <c r="E438" s="11" t="s">
        <v>1062</v>
      </c>
      <c r="F438" s="11" t="s">
        <v>1606</v>
      </c>
      <c r="J438" s="11">
        <v>42.2839012145996</v>
      </c>
      <c r="K438" s="11">
        <v>9.62279033660888</v>
      </c>
      <c r="L438" s="11" t="s">
        <v>1515</v>
      </c>
      <c r="M438" s="11" t="s">
        <v>1515</v>
      </c>
      <c r="N438" s="11" t="s">
        <v>1062</v>
      </c>
      <c r="O438" s="11" t="s">
        <v>1606</v>
      </c>
    </row>
    <row r="439">
      <c r="A439" s="11">
        <v>-60.7809562683105</v>
      </c>
      <c r="B439" s="11">
        <v>43.2744216918945</v>
      </c>
      <c r="C439" s="11" t="s">
        <v>1515</v>
      </c>
      <c r="D439" s="11" t="s">
        <v>1515</v>
      </c>
      <c r="E439" s="11" t="s">
        <v>1062</v>
      </c>
      <c r="F439" s="11" t="s">
        <v>1608</v>
      </c>
      <c r="J439" s="11">
        <v>57.037799835205</v>
      </c>
      <c r="K439" s="11">
        <v>-7.34490871429443</v>
      </c>
      <c r="L439" s="11" t="s">
        <v>1515</v>
      </c>
      <c r="M439" s="11" t="s">
        <v>1515</v>
      </c>
      <c r="N439" s="11" t="s">
        <v>1062</v>
      </c>
      <c r="O439" s="11" t="s">
        <v>1608</v>
      </c>
    </row>
    <row r="440">
      <c r="A440" s="11">
        <v>-62.1742858886718</v>
      </c>
      <c r="B440" s="11">
        <v>44.1163368225097</v>
      </c>
      <c r="C440" s="11" t="s">
        <v>1515</v>
      </c>
      <c r="D440" s="11" t="s">
        <v>1515</v>
      </c>
      <c r="E440" s="11" t="s">
        <v>1062</v>
      </c>
      <c r="F440" s="11" t="s">
        <v>1610</v>
      </c>
      <c r="J440" s="11">
        <v>57.797565460205</v>
      </c>
      <c r="K440" s="11">
        <v>-8.35575675964355</v>
      </c>
      <c r="L440" s="11" t="s">
        <v>1515</v>
      </c>
      <c r="M440" s="11" t="s">
        <v>1515</v>
      </c>
      <c r="N440" s="11" t="s">
        <v>1062</v>
      </c>
      <c r="O440" s="11" t="s">
        <v>1610</v>
      </c>
    </row>
    <row r="441">
      <c r="A441" s="11">
        <v>-3.0835371017456</v>
      </c>
      <c r="B441" s="11">
        <v>-68.461441040039</v>
      </c>
      <c r="C441" s="11" t="s">
        <v>1515</v>
      </c>
      <c r="D441" s="11" t="s">
        <v>1515</v>
      </c>
      <c r="E441" s="11" t="s">
        <v>1062</v>
      </c>
      <c r="F441" s="11" t="s">
        <v>1612</v>
      </c>
      <c r="J441" s="11">
        <v>6.92890262603759</v>
      </c>
      <c r="K441" s="11">
        <v>33.0042152404785</v>
      </c>
      <c r="L441" s="11" t="s">
        <v>1515</v>
      </c>
      <c r="M441" s="11" t="s">
        <v>1515</v>
      </c>
      <c r="N441" s="11" t="s">
        <v>1062</v>
      </c>
      <c r="O441" s="11" t="s">
        <v>1612</v>
      </c>
    </row>
    <row r="442">
      <c r="A442" s="11">
        <v>-37.6817436218261</v>
      </c>
      <c r="B442" s="11">
        <v>35.7533454895019</v>
      </c>
      <c r="C442" s="11" t="s">
        <v>1515</v>
      </c>
      <c r="D442" s="11" t="s">
        <v>1515</v>
      </c>
      <c r="E442" s="11" t="s">
        <v>1062</v>
      </c>
      <c r="F442" s="11" t="s">
        <v>1614</v>
      </c>
      <c r="J442" s="11">
        <v>44.5381965637207</v>
      </c>
      <c r="K442" s="11">
        <v>-11.1268396377563</v>
      </c>
      <c r="L442" s="11" t="s">
        <v>1515</v>
      </c>
      <c r="M442" s="11" t="s">
        <v>1515</v>
      </c>
      <c r="N442" s="11" t="s">
        <v>1062</v>
      </c>
      <c r="O442" s="11" t="s">
        <v>1614</v>
      </c>
    </row>
    <row r="443">
      <c r="A443" s="11">
        <v>-51.4520301818847</v>
      </c>
      <c r="B443" s="11">
        <v>40.3818817138671</v>
      </c>
      <c r="C443" s="11" t="s">
        <v>1515</v>
      </c>
      <c r="D443" s="11" t="s">
        <v>1515</v>
      </c>
      <c r="E443" s="11" t="s">
        <v>1062</v>
      </c>
      <c r="F443" s="11" t="s">
        <v>1616</v>
      </c>
      <c r="J443" s="11">
        <v>41.6716880798339</v>
      </c>
      <c r="K443" s="11">
        <v>13.0130901336669</v>
      </c>
      <c r="L443" s="11" t="s">
        <v>1515</v>
      </c>
      <c r="M443" s="11" t="s">
        <v>1515</v>
      </c>
      <c r="N443" s="11" t="s">
        <v>1062</v>
      </c>
      <c r="O443" s="11" t="s">
        <v>1616</v>
      </c>
    </row>
    <row r="444">
      <c r="A444" s="11">
        <v>40.2314643859863</v>
      </c>
      <c r="B444" s="11">
        <v>7.19211626052856</v>
      </c>
      <c r="C444" s="11" t="s">
        <v>1515</v>
      </c>
      <c r="D444" s="11" t="s">
        <v>1515</v>
      </c>
      <c r="E444" s="11" t="s">
        <v>1062</v>
      </c>
      <c r="F444" s="11" t="s">
        <v>1618</v>
      </c>
      <c r="J444" s="11">
        <v>1.42443859577178</v>
      </c>
      <c r="K444" s="11">
        <v>45.1772232055664</v>
      </c>
      <c r="L444" s="11" t="s">
        <v>1515</v>
      </c>
      <c r="M444" s="11" t="s">
        <v>1515</v>
      </c>
      <c r="N444" s="11" t="s">
        <v>1062</v>
      </c>
      <c r="O444" s="11" t="s">
        <v>1618</v>
      </c>
    </row>
    <row r="445">
      <c r="A445" s="11">
        <v>30.3427753448486</v>
      </c>
      <c r="B445" s="11">
        <v>5.70967054367065</v>
      </c>
      <c r="C445" s="11" t="s">
        <v>1515</v>
      </c>
      <c r="D445" s="11" t="s">
        <v>1515</v>
      </c>
      <c r="E445" s="11" t="s">
        <v>1062</v>
      </c>
      <c r="F445" s="11" t="s">
        <v>1620</v>
      </c>
      <c r="J445" s="11">
        <v>-3.939293384552</v>
      </c>
      <c r="K445" s="11">
        <v>50.8183326721191</v>
      </c>
      <c r="L445" s="11" t="s">
        <v>1515</v>
      </c>
      <c r="M445" s="11" t="s">
        <v>1515</v>
      </c>
      <c r="N445" s="11" t="s">
        <v>1062</v>
      </c>
      <c r="O445" s="11" t="s">
        <v>1620</v>
      </c>
    </row>
    <row r="446">
      <c r="A446" s="11">
        <v>-9.02332115173339</v>
      </c>
      <c r="B446" s="11">
        <v>25.2188358306884</v>
      </c>
      <c r="C446" s="11" t="s">
        <v>1515</v>
      </c>
      <c r="D446" s="11" t="s">
        <v>1515</v>
      </c>
      <c r="E446" s="11" t="s">
        <v>1062</v>
      </c>
      <c r="F446" s="11" t="s">
        <v>1622</v>
      </c>
      <c r="J446" s="11">
        <v>22.0009975433349</v>
      </c>
      <c r="K446" s="11">
        <v>15.9683265686035</v>
      </c>
      <c r="L446" s="11" t="s">
        <v>1515</v>
      </c>
      <c r="M446" s="11" t="s">
        <v>1515</v>
      </c>
      <c r="N446" s="11" t="s">
        <v>1062</v>
      </c>
      <c r="O446" s="11" t="s">
        <v>1622</v>
      </c>
    </row>
    <row r="447">
      <c r="A447" s="11">
        <v>22.5652732849121</v>
      </c>
      <c r="B447" s="11">
        <v>42.596435546875</v>
      </c>
      <c r="C447" s="11" t="s">
        <v>1515</v>
      </c>
      <c r="D447" s="11" t="s">
        <v>1515</v>
      </c>
      <c r="E447" s="11" t="s">
        <v>1062</v>
      </c>
      <c r="F447" s="11" t="s">
        <v>1624</v>
      </c>
      <c r="J447" s="11">
        <v>5.01495695114135</v>
      </c>
      <c r="K447" s="11">
        <v>27.2884635925292</v>
      </c>
      <c r="L447" s="11" t="s">
        <v>1515</v>
      </c>
      <c r="M447" s="11" t="s">
        <v>1515</v>
      </c>
      <c r="N447" s="11" t="s">
        <v>1062</v>
      </c>
      <c r="O447" s="11" t="s">
        <v>1624</v>
      </c>
    </row>
    <row r="448">
      <c r="A448" s="11">
        <v>30.6734523773193</v>
      </c>
      <c r="B448" s="11">
        <v>43.7400360107421</v>
      </c>
      <c r="C448" s="11" t="s">
        <v>1515</v>
      </c>
      <c r="D448" s="11" t="s">
        <v>1515</v>
      </c>
      <c r="E448" s="11" t="s">
        <v>1062</v>
      </c>
      <c r="F448" s="11" t="s">
        <v>1627</v>
      </c>
      <c r="J448" s="11">
        <v>22.7991123199462</v>
      </c>
      <c r="K448" s="11">
        <v>37.9754371643066</v>
      </c>
      <c r="L448" s="11" t="s">
        <v>1515</v>
      </c>
      <c r="M448" s="11" t="s">
        <v>1515</v>
      </c>
      <c r="N448" s="11" t="s">
        <v>1062</v>
      </c>
      <c r="O448" s="11" t="s">
        <v>1627</v>
      </c>
    </row>
    <row r="449">
      <c r="A449" s="11">
        <v>-38.3131141662597</v>
      </c>
      <c r="B449" s="11">
        <v>7.85094499588012</v>
      </c>
      <c r="C449" s="11" t="s">
        <v>1515</v>
      </c>
      <c r="D449" s="11" t="s">
        <v>1515</v>
      </c>
      <c r="E449" s="11" t="s">
        <v>1062</v>
      </c>
      <c r="F449" s="11" t="s">
        <v>1629</v>
      </c>
      <c r="J449" s="11">
        <v>13.6623954772949</v>
      </c>
      <c r="K449" s="11">
        <v>32.2924728393554</v>
      </c>
      <c r="L449" s="11" t="s">
        <v>1515</v>
      </c>
      <c r="M449" s="11" t="s">
        <v>1515</v>
      </c>
      <c r="N449" s="11" t="s">
        <v>1062</v>
      </c>
      <c r="O449" s="11" t="s">
        <v>1629</v>
      </c>
    </row>
    <row r="450">
      <c r="A450" s="11">
        <v>-2.77674484252929</v>
      </c>
      <c r="B450" s="11">
        <v>-1.26923251152038</v>
      </c>
      <c r="C450" s="11" t="s">
        <v>1515</v>
      </c>
      <c r="D450" s="11" t="s">
        <v>1515</v>
      </c>
      <c r="E450" s="11" t="s">
        <v>1062</v>
      </c>
      <c r="F450" s="11" t="s">
        <v>1631</v>
      </c>
      <c r="J450" s="11">
        <v>19.4665412902832</v>
      </c>
      <c r="K450" s="11">
        <v>20.7460498809814</v>
      </c>
      <c r="L450" s="11" t="s">
        <v>1515</v>
      </c>
      <c r="M450" s="11" t="s">
        <v>1515</v>
      </c>
      <c r="N450" s="11" t="s">
        <v>1062</v>
      </c>
      <c r="O450" s="11" t="s">
        <v>1631</v>
      </c>
    </row>
    <row r="451">
      <c r="A451" s="11">
        <v>48.5774726867675</v>
      </c>
      <c r="B451" s="11">
        <v>-2.65190052986145</v>
      </c>
      <c r="C451" s="11" t="s">
        <v>1515</v>
      </c>
      <c r="D451" s="11" t="s">
        <v>1515</v>
      </c>
      <c r="E451" s="11" t="s">
        <v>1062</v>
      </c>
      <c r="F451" s="11" t="s">
        <v>1633</v>
      </c>
      <c r="J451" s="11">
        <v>5.3580002784729</v>
      </c>
      <c r="K451" s="11">
        <v>62.969871520996</v>
      </c>
      <c r="L451" s="11" t="s">
        <v>1515</v>
      </c>
      <c r="M451" s="11" t="s">
        <v>1515</v>
      </c>
      <c r="N451" s="11" t="s">
        <v>1062</v>
      </c>
      <c r="O451" s="11" t="s">
        <v>1633</v>
      </c>
    </row>
    <row r="452">
      <c r="A452" s="11">
        <v>-26.448745727539</v>
      </c>
      <c r="B452" s="11">
        <v>-3.82013845443725</v>
      </c>
      <c r="C452" s="11" t="s">
        <v>1515</v>
      </c>
      <c r="D452" s="11" t="s">
        <v>1515</v>
      </c>
      <c r="E452" s="11" t="s">
        <v>1062</v>
      </c>
      <c r="F452" s="11" t="s">
        <v>1636</v>
      </c>
      <c r="J452" s="11">
        <v>33.0195655822753</v>
      </c>
      <c r="K452" s="11">
        <v>31.2336559295654</v>
      </c>
      <c r="L452" s="11" t="s">
        <v>1515</v>
      </c>
      <c r="M452" s="11" t="s">
        <v>1515</v>
      </c>
      <c r="N452" s="11" t="s">
        <v>1062</v>
      </c>
      <c r="O452" s="11" t="s">
        <v>1636</v>
      </c>
    </row>
    <row r="453">
      <c r="A453" s="11">
        <v>-8.64724540710449</v>
      </c>
      <c r="B453" s="11">
        <v>25.9571914672851</v>
      </c>
      <c r="C453" s="11" t="s">
        <v>1515</v>
      </c>
      <c r="D453" s="11" t="s">
        <v>1515</v>
      </c>
      <c r="E453" s="11" t="s">
        <v>1062</v>
      </c>
      <c r="F453" s="11" t="s">
        <v>1639</v>
      </c>
      <c r="J453" s="11">
        <v>21.8325500488281</v>
      </c>
      <c r="K453" s="11">
        <v>16.3251266479492</v>
      </c>
      <c r="L453" s="11" t="s">
        <v>1515</v>
      </c>
      <c r="M453" s="11" t="s">
        <v>1515</v>
      </c>
      <c r="N453" s="11" t="s">
        <v>1062</v>
      </c>
      <c r="O453" s="11" t="s">
        <v>1639</v>
      </c>
    </row>
    <row r="454">
      <c r="A454" s="11">
        <v>-33.6601181030273</v>
      </c>
      <c r="B454" s="11">
        <v>20.7158241271972</v>
      </c>
      <c r="C454" s="11" t="s">
        <v>1515</v>
      </c>
      <c r="D454" s="11" t="s">
        <v>1515</v>
      </c>
      <c r="E454" s="11" t="s">
        <v>1062</v>
      </c>
      <c r="F454" s="11" t="s">
        <v>1641</v>
      </c>
      <c r="J454" s="11">
        <v>45.9543533325195</v>
      </c>
      <c r="K454" s="11">
        <v>3.31965494155883</v>
      </c>
      <c r="L454" s="11" t="s">
        <v>1515</v>
      </c>
      <c r="M454" s="11" t="s">
        <v>1515</v>
      </c>
      <c r="N454" s="11" t="s">
        <v>1062</v>
      </c>
      <c r="O454" s="11" t="s">
        <v>1641</v>
      </c>
    </row>
    <row r="455">
      <c r="A455" s="11">
        <v>-13.2521228790283</v>
      </c>
      <c r="B455" s="11">
        <v>75.2019958496093</v>
      </c>
      <c r="C455" s="11" t="s">
        <v>1515</v>
      </c>
      <c r="D455" s="11" t="s">
        <v>1515</v>
      </c>
      <c r="E455" s="11" t="s">
        <v>1062</v>
      </c>
      <c r="F455" s="11" t="s">
        <v>1644</v>
      </c>
      <c r="J455" s="11">
        <v>29.4623317718505</v>
      </c>
      <c r="K455" s="11">
        <v>35.7626342773437</v>
      </c>
      <c r="L455" s="11" t="s">
        <v>1515</v>
      </c>
      <c r="M455" s="11" t="s">
        <v>1515</v>
      </c>
      <c r="N455" s="11" t="s">
        <v>1062</v>
      </c>
      <c r="O455" s="11" t="s">
        <v>1644</v>
      </c>
    </row>
    <row r="456">
      <c r="A456" s="11">
        <v>-7.30228948593139</v>
      </c>
      <c r="B456" s="11">
        <v>2.96819472312927</v>
      </c>
      <c r="C456" s="11" t="s">
        <v>1515</v>
      </c>
      <c r="D456" s="11" t="s">
        <v>1515</v>
      </c>
      <c r="E456" s="11" t="s">
        <v>1062</v>
      </c>
      <c r="F456" s="11" t="s">
        <v>1648</v>
      </c>
      <c r="J456" s="11">
        <v>-6.34095001220703</v>
      </c>
      <c r="K456" s="11">
        <v>-10.2788028717041</v>
      </c>
      <c r="L456" s="11" t="s">
        <v>1515</v>
      </c>
      <c r="M456" s="11" t="s">
        <v>1515</v>
      </c>
      <c r="N456" s="11" t="s">
        <v>1062</v>
      </c>
      <c r="O456" s="11" t="s">
        <v>1648</v>
      </c>
    </row>
    <row r="457">
      <c r="A457" s="11">
        <v>-8.64724540710449</v>
      </c>
      <c r="B457" s="11">
        <v>25.9571914672851</v>
      </c>
      <c r="C457" s="11" t="s">
        <v>1515</v>
      </c>
      <c r="D457" s="11" t="s">
        <v>1515</v>
      </c>
      <c r="E457" s="11" t="s">
        <v>1062</v>
      </c>
      <c r="F457" s="11" t="s">
        <v>1651</v>
      </c>
      <c r="J457" s="11">
        <v>21.4515705108642</v>
      </c>
      <c r="K457" s="11">
        <v>16.2752475738525</v>
      </c>
      <c r="L457" s="11" t="s">
        <v>1515</v>
      </c>
      <c r="M457" s="11" t="s">
        <v>1515</v>
      </c>
      <c r="N457" s="11" t="s">
        <v>1062</v>
      </c>
      <c r="O457" s="11" t="s">
        <v>1651</v>
      </c>
    </row>
    <row r="458">
      <c r="A458" s="11">
        <v>58.4730072021484</v>
      </c>
      <c r="B458" s="11">
        <v>0.223181724548339</v>
      </c>
      <c r="C458" s="11" t="s">
        <v>1515</v>
      </c>
      <c r="D458" s="11" t="s">
        <v>1515</v>
      </c>
      <c r="E458" s="11" t="s">
        <v>1062</v>
      </c>
      <c r="F458" s="11" t="s">
        <v>1652</v>
      </c>
      <c r="J458" s="11">
        <v>-2.77907133102417</v>
      </c>
      <c r="K458" s="11">
        <v>56.7503128051757</v>
      </c>
      <c r="L458" s="11" t="s">
        <v>1515</v>
      </c>
      <c r="M458" s="11" t="s">
        <v>1515</v>
      </c>
      <c r="N458" s="11" t="s">
        <v>1062</v>
      </c>
      <c r="O458" s="11" t="s">
        <v>1652</v>
      </c>
    </row>
    <row r="459">
      <c r="A459" s="11">
        <v>-10.265230178833</v>
      </c>
      <c r="B459" s="11">
        <v>12.1154012680053</v>
      </c>
      <c r="C459" s="11" t="s">
        <v>1515</v>
      </c>
      <c r="D459" s="11" t="s">
        <v>1515</v>
      </c>
      <c r="E459" s="11" t="s">
        <v>1062</v>
      </c>
      <c r="F459" s="11" t="s">
        <v>1654</v>
      </c>
      <c r="J459" s="11">
        <v>29.9491672515869</v>
      </c>
      <c r="K459" s="11">
        <v>-13.4410333633422</v>
      </c>
      <c r="L459" s="11" t="s">
        <v>1515</v>
      </c>
      <c r="M459" s="11" t="s">
        <v>1515</v>
      </c>
      <c r="N459" s="11" t="s">
        <v>1062</v>
      </c>
      <c r="O459" s="11" t="s">
        <v>1654</v>
      </c>
    </row>
    <row r="460">
      <c r="A460" s="11">
        <v>0.285169512033462</v>
      </c>
      <c r="B460" s="11">
        <v>0.754626452922821</v>
      </c>
      <c r="C460" s="11" t="s">
        <v>1515</v>
      </c>
      <c r="D460" s="11" t="s">
        <v>1515</v>
      </c>
      <c r="E460" s="11" t="s">
        <v>1062</v>
      </c>
      <c r="F460" s="11" t="s">
        <v>1656</v>
      </c>
      <c r="J460" s="11">
        <v>10.8454904556274</v>
      </c>
      <c r="K460" s="11">
        <v>16.4980297088623</v>
      </c>
      <c r="L460" s="11" t="s">
        <v>1515</v>
      </c>
      <c r="M460" s="11" t="s">
        <v>1515</v>
      </c>
      <c r="N460" s="11" t="s">
        <v>1062</v>
      </c>
      <c r="O460" s="11" t="s">
        <v>1656</v>
      </c>
    </row>
    <row r="461">
      <c r="A461" s="11">
        <v>-55.6234626770019</v>
      </c>
      <c r="B461" s="11">
        <v>14.5379295349121</v>
      </c>
      <c r="C461" s="11" t="s">
        <v>1515</v>
      </c>
      <c r="D461" s="11" t="s">
        <v>1515</v>
      </c>
      <c r="E461" s="11" t="s">
        <v>1062</v>
      </c>
      <c r="F461" s="11" t="s">
        <v>1658</v>
      </c>
      <c r="J461" s="11">
        <v>55.6257095336914</v>
      </c>
      <c r="K461" s="11">
        <v>6.11172580718994</v>
      </c>
      <c r="L461" s="11" t="s">
        <v>1515</v>
      </c>
      <c r="M461" s="11" t="s">
        <v>1515</v>
      </c>
      <c r="N461" s="11" t="s">
        <v>1062</v>
      </c>
      <c r="O461" s="11" t="s">
        <v>1658</v>
      </c>
    </row>
    <row r="462">
      <c r="A462" s="11">
        <v>-38.291389465332</v>
      </c>
      <c r="B462" s="11">
        <v>13.0368337631225</v>
      </c>
      <c r="C462" s="11" t="s">
        <v>1515</v>
      </c>
      <c r="D462" s="11" t="s">
        <v>1515</v>
      </c>
      <c r="E462" s="11" t="s">
        <v>1062</v>
      </c>
      <c r="F462" s="11" t="s">
        <v>1660</v>
      </c>
      <c r="J462" s="11">
        <v>32.4571113586425</v>
      </c>
      <c r="K462" s="11">
        <v>12.7629795074462</v>
      </c>
      <c r="L462" s="11" t="s">
        <v>1515</v>
      </c>
      <c r="M462" s="11" t="s">
        <v>1515</v>
      </c>
      <c r="N462" s="11" t="s">
        <v>1062</v>
      </c>
      <c r="O462" s="11" t="s">
        <v>1660</v>
      </c>
    </row>
    <row r="463">
      <c r="A463" s="11">
        <v>-24.0054874420166</v>
      </c>
      <c r="B463" s="11">
        <v>-10.0183219909667</v>
      </c>
      <c r="C463" s="11" t="s">
        <v>1515</v>
      </c>
      <c r="D463" s="11" t="s">
        <v>1515</v>
      </c>
      <c r="E463" s="11" t="s">
        <v>1062</v>
      </c>
      <c r="F463" s="11" t="s">
        <v>1662</v>
      </c>
      <c r="J463" s="11">
        <v>9.30793857574462</v>
      </c>
      <c r="K463" s="11">
        <v>44.599308013916</v>
      </c>
      <c r="L463" s="11" t="s">
        <v>1515</v>
      </c>
      <c r="M463" s="11" t="s">
        <v>1515</v>
      </c>
      <c r="N463" s="11" t="s">
        <v>1062</v>
      </c>
      <c r="O463" s="11" t="s">
        <v>1662</v>
      </c>
    </row>
    <row r="464">
      <c r="A464" s="11">
        <v>-12.9633674621582</v>
      </c>
      <c r="B464" s="11">
        <v>6.40793180465698</v>
      </c>
      <c r="C464" s="11" t="s">
        <v>1515</v>
      </c>
      <c r="D464" s="11" t="s">
        <v>1515</v>
      </c>
      <c r="E464" s="11" t="s">
        <v>1062</v>
      </c>
      <c r="F464" s="11" t="s">
        <v>1664</v>
      </c>
      <c r="J464" s="11">
        <v>-1.96399283409118</v>
      </c>
      <c r="K464" s="11">
        <v>-14.0797615051269</v>
      </c>
      <c r="L464" s="11" t="s">
        <v>1515</v>
      </c>
      <c r="M464" s="11" t="s">
        <v>1515</v>
      </c>
      <c r="N464" s="11" t="s">
        <v>1062</v>
      </c>
      <c r="O464" s="11" t="s">
        <v>1664</v>
      </c>
    </row>
    <row r="465">
      <c r="A465" s="11">
        <v>58.732307434082</v>
      </c>
      <c r="B465" s="11">
        <v>1.2651925086975</v>
      </c>
      <c r="C465" s="11" t="s">
        <v>1515</v>
      </c>
      <c r="D465" s="11" t="s">
        <v>1515</v>
      </c>
      <c r="E465" s="11" t="s">
        <v>1062</v>
      </c>
      <c r="F465" s="11" t="s">
        <v>1666</v>
      </c>
      <c r="J465" s="11">
        <v>-2.15017986297607</v>
      </c>
      <c r="K465" s="11">
        <v>56.3093719482421</v>
      </c>
      <c r="L465" s="11" t="s">
        <v>1515</v>
      </c>
      <c r="M465" s="11" t="s">
        <v>1515</v>
      </c>
      <c r="N465" s="11" t="s">
        <v>1062</v>
      </c>
      <c r="O465" s="11" t="s">
        <v>1666</v>
      </c>
    </row>
    <row r="466">
      <c r="A466" s="11">
        <v>65.9671249389648</v>
      </c>
      <c r="B466" s="11">
        <v>-1.28300094604492</v>
      </c>
      <c r="C466" s="11" t="s">
        <v>1515</v>
      </c>
      <c r="D466" s="11" t="s">
        <v>1515</v>
      </c>
      <c r="E466" s="11" t="s">
        <v>1062</v>
      </c>
      <c r="F466" s="11" t="s">
        <v>1669</v>
      </c>
      <c r="J466" s="11">
        <v>-2.20475149154663</v>
      </c>
      <c r="K466" s="11">
        <v>62.9341773986816</v>
      </c>
      <c r="L466" s="11" t="s">
        <v>1515</v>
      </c>
      <c r="M466" s="11" t="s">
        <v>1515</v>
      </c>
      <c r="N466" s="11" t="s">
        <v>1062</v>
      </c>
      <c r="O466" s="11" t="s">
        <v>1669</v>
      </c>
    </row>
    <row r="467">
      <c r="A467" s="11">
        <v>45.0771026611328</v>
      </c>
      <c r="B467" s="11">
        <v>-3.92180013656616</v>
      </c>
      <c r="C467" s="11" t="s">
        <v>1515</v>
      </c>
      <c r="D467" s="11" t="s">
        <v>1515</v>
      </c>
      <c r="E467" s="11" t="s">
        <v>1062</v>
      </c>
      <c r="F467" s="11" t="s">
        <v>1671</v>
      </c>
      <c r="J467" s="11">
        <v>7.95500898361206</v>
      </c>
      <c r="K467" s="11">
        <v>61.1849288940429</v>
      </c>
      <c r="L467" s="11" t="s">
        <v>1515</v>
      </c>
      <c r="M467" s="11" t="s">
        <v>1515</v>
      </c>
      <c r="N467" s="11" t="s">
        <v>1062</v>
      </c>
      <c r="O467" s="11" t="s">
        <v>1671</v>
      </c>
    </row>
    <row r="468">
      <c r="A468" s="11">
        <v>-44.3469657897949</v>
      </c>
      <c r="B468" s="11">
        <v>29.5434017181396</v>
      </c>
      <c r="C468" s="11" t="s">
        <v>1515</v>
      </c>
      <c r="D468" s="11" t="s">
        <v>1515</v>
      </c>
      <c r="E468" s="11" t="s">
        <v>1062</v>
      </c>
      <c r="F468" s="11" t="s">
        <v>1673</v>
      </c>
      <c r="J468" s="11">
        <v>46.0100898742675</v>
      </c>
      <c r="K468" s="11">
        <v>7.06624746322631</v>
      </c>
      <c r="L468" s="11" t="s">
        <v>1515</v>
      </c>
      <c r="M468" s="11" t="s">
        <v>1515</v>
      </c>
      <c r="N468" s="11" t="s">
        <v>1062</v>
      </c>
      <c r="O468" s="11" t="s">
        <v>1673</v>
      </c>
    </row>
    <row r="469">
      <c r="A469" s="11">
        <v>-18.0964946746826</v>
      </c>
      <c r="B469" s="11">
        <v>16.0303440093994</v>
      </c>
      <c r="C469" s="11" t="s">
        <v>1515</v>
      </c>
      <c r="D469" s="11" t="s">
        <v>1515</v>
      </c>
      <c r="E469" s="11" t="s">
        <v>1062</v>
      </c>
      <c r="F469" s="11" t="s">
        <v>1675</v>
      </c>
      <c r="J469" s="11">
        <v>18.2591152191162</v>
      </c>
      <c r="K469" s="11">
        <v>39.1870384216308</v>
      </c>
      <c r="L469" s="11" t="s">
        <v>1515</v>
      </c>
      <c r="M469" s="11" t="s">
        <v>1515</v>
      </c>
      <c r="N469" s="11" t="s">
        <v>1062</v>
      </c>
      <c r="O469" s="11" t="s">
        <v>1675</v>
      </c>
    </row>
    <row r="470">
      <c r="A470" s="11">
        <v>-47.7315826416015</v>
      </c>
      <c r="B470" s="11">
        <v>47.7946891784668</v>
      </c>
      <c r="C470" s="11" t="s">
        <v>1515</v>
      </c>
      <c r="D470" s="11" t="s">
        <v>1515</v>
      </c>
      <c r="E470" s="11" t="s">
        <v>1062</v>
      </c>
      <c r="F470" s="11" t="s">
        <v>1677</v>
      </c>
      <c r="J470" s="11">
        <v>39.8969993591308</v>
      </c>
      <c r="K470" s="11">
        <v>17.375316619873</v>
      </c>
      <c r="L470" s="11" t="s">
        <v>1515</v>
      </c>
      <c r="M470" s="11" t="s">
        <v>1515</v>
      </c>
      <c r="N470" s="11" t="s">
        <v>1062</v>
      </c>
      <c r="O470" s="11" t="s">
        <v>1677</v>
      </c>
    </row>
    <row r="471">
      <c r="A471" s="11">
        <v>31.8708400726318</v>
      </c>
      <c r="B471" s="11">
        <v>35.2241172790527</v>
      </c>
      <c r="C471" s="11" t="s">
        <v>1515</v>
      </c>
      <c r="D471" s="11" t="s">
        <v>1515</v>
      </c>
      <c r="E471" s="11" t="s">
        <v>1062</v>
      </c>
      <c r="F471" s="11" t="s">
        <v>1679</v>
      </c>
      <c r="J471" s="11">
        <v>18.0924396514892</v>
      </c>
      <c r="K471" s="11">
        <v>57.7545852661132</v>
      </c>
      <c r="L471" s="11" t="s">
        <v>1515</v>
      </c>
      <c r="M471" s="11" t="s">
        <v>1515</v>
      </c>
      <c r="N471" s="11" t="s">
        <v>1062</v>
      </c>
      <c r="O471" s="11" t="s">
        <v>1679</v>
      </c>
    </row>
    <row r="472">
      <c r="A472" s="11">
        <v>-66.6066589355468</v>
      </c>
      <c r="B472" s="11">
        <v>-27.6655311584472</v>
      </c>
      <c r="C472" s="11" t="s">
        <v>1515</v>
      </c>
      <c r="D472" s="11" t="s">
        <v>1515</v>
      </c>
      <c r="E472" s="11" t="s">
        <v>1062</v>
      </c>
      <c r="F472" s="11" t="s">
        <v>1682</v>
      </c>
      <c r="J472" s="11">
        <v>5.02124547958374</v>
      </c>
      <c r="K472" s="11">
        <v>42.4121360778808</v>
      </c>
      <c r="L472" s="11" t="s">
        <v>1515</v>
      </c>
      <c r="M472" s="11" t="s">
        <v>1515</v>
      </c>
      <c r="N472" s="11" t="s">
        <v>1062</v>
      </c>
      <c r="O472" s="11" t="s">
        <v>1682</v>
      </c>
    </row>
    <row r="473">
      <c r="A473" s="11">
        <v>-4.32330322265625</v>
      </c>
      <c r="B473" s="11">
        <v>5.69316625595092</v>
      </c>
      <c r="C473" s="11" t="s">
        <v>1515</v>
      </c>
      <c r="D473" s="11" t="s">
        <v>1515</v>
      </c>
      <c r="E473" s="11" t="s">
        <v>1062</v>
      </c>
      <c r="F473" s="11" t="s">
        <v>1684</v>
      </c>
      <c r="J473" s="11">
        <v>9.65740013122558</v>
      </c>
      <c r="K473" s="11">
        <v>55.9888687133789</v>
      </c>
      <c r="L473" s="11" t="s">
        <v>1515</v>
      </c>
      <c r="M473" s="11" t="s">
        <v>1515</v>
      </c>
      <c r="N473" s="11" t="s">
        <v>1062</v>
      </c>
      <c r="O473" s="11" t="s">
        <v>1684</v>
      </c>
    </row>
    <row r="474">
      <c r="A474" s="11">
        <v>-44.3469657897949</v>
      </c>
      <c r="B474" s="11">
        <v>29.5434017181396</v>
      </c>
      <c r="C474" s="11" t="s">
        <v>1515</v>
      </c>
      <c r="D474" s="11" t="s">
        <v>1515</v>
      </c>
      <c r="E474" s="11" t="s">
        <v>1062</v>
      </c>
      <c r="F474" s="11" t="s">
        <v>1686</v>
      </c>
      <c r="J474" s="11">
        <v>46.0092086791992</v>
      </c>
      <c r="K474" s="11">
        <v>7.06417989730835</v>
      </c>
      <c r="L474" s="11" t="s">
        <v>1515</v>
      </c>
      <c r="M474" s="11" t="s">
        <v>1515</v>
      </c>
      <c r="N474" s="11" t="s">
        <v>1062</v>
      </c>
      <c r="O474" s="11" t="s">
        <v>1686</v>
      </c>
    </row>
    <row r="475">
      <c r="A475" s="11">
        <v>66.590950012207</v>
      </c>
      <c r="B475" s="11">
        <v>-5.88683128356933</v>
      </c>
      <c r="C475" s="11" t="s">
        <v>1515</v>
      </c>
      <c r="D475" s="11" t="s">
        <v>1515</v>
      </c>
      <c r="E475" s="11" t="s">
        <v>1062</v>
      </c>
      <c r="F475" s="11" t="s">
        <v>1688</v>
      </c>
      <c r="J475" s="11">
        <v>-3.41197776794433</v>
      </c>
      <c r="K475" s="11">
        <v>62.5020370483398</v>
      </c>
      <c r="L475" s="11" t="s">
        <v>1515</v>
      </c>
      <c r="M475" s="11" t="s">
        <v>1515</v>
      </c>
      <c r="N475" s="11" t="s">
        <v>1062</v>
      </c>
      <c r="O475" s="11" t="s">
        <v>1688</v>
      </c>
    </row>
    <row r="476">
      <c r="A476" s="11">
        <v>31.8708400726318</v>
      </c>
      <c r="B476" s="11">
        <v>35.2241172790527</v>
      </c>
      <c r="C476" s="11" t="s">
        <v>1515</v>
      </c>
      <c r="D476" s="11" t="s">
        <v>1515</v>
      </c>
      <c r="E476" s="11" t="s">
        <v>1062</v>
      </c>
      <c r="F476" s="11" t="s">
        <v>1690</v>
      </c>
      <c r="J476" s="11">
        <v>18.0924396514892</v>
      </c>
      <c r="K476" s="11">
        <v>57.7545852661132</v>
      </c>
      <c r="L476" s="11" t="s">
        <v>1515</v>
      </c>
      <c r="M476" s="11" t="s">
        <v>1515</v>
      </c>
      <c r="N476" s="11" t="s">
        <v>1062</v>
      </c>
      <c r="O476" s="11" t="s">
        <v>1690</v>
      </c>
    </row>
    <row r="477">
      <c r="A477" s="11">
        <v>47.6361618041992</v>
      </c>
      <c r="B477" s="11">
        <v>-5.44974899291992</v>
      </c>
      <c r="C477" s="11" t="s">
        <v>1515</v>
      </c>
      <c r="D477" s="11" t="s">
        <v>1515</v>
      </c>
      <c r="E477" s="11" t="s">
        <v>1062</v>
      </c>
      <c r="F477" s="11" t="s">
        <v>1692</v>
      </c>
      <c r="J477" s="11">
        <v>7.02789497375488</v>
      </c>
      <c r="K477" s="11">
        <v>63.4358787536621</v>
      </c>
      <c r="L477" s="11" t="s">
        <v>1515</v>
      </c>
      <c r="M477" s="11" t="s">
        <v>1515</v>
      </c>
      <c r="N477" s="11" t="s">
        <v>1062</v>
      </c>
      <c r="O477" s="11" t="s">
        <v>1692</v>
      </c>
    </row>
    <row r="478">
      <c r="A478" s="11">
        <v>-58.3380432128906</v>
      </c>
      <c r="B478" s="11">
        <v>28.9182453155517</v>
      </c>
      <c r="C478" s="11" t="s">
        <v>1515</v>
      </c>
      <c r="D478" s="11" t="s">
        <v>1515</v>
      </c>
      <c r="E478" s="11" t="s">
        <v>1062</v>
      </c>
      <c r="F478" s="11" t="s">
        <v>1694</v>
      </c>
      <c r="J478" s="11">
        <v>46.0740432739257</v>
      </c>
      <c r="K478" s="11">
        <v>17.9194412231445</v>
      </c>
      <c r="L478" s="11" t="s">
        <v>1515</v>
      </c>
      <c r="M478" s="11" t="s">
        <v>1515</v>
      </c>
      <c r="N478" s="11" t="s">
        <v>1062</v>
      </c>
      <c r="O478" s="11" t="s">
        <v>1694</v>
      </c>
    </row>
    <row r="479">
      <c r="A479" s="11">
        <v>-2.17568254470825</v>
      </c>
      <c r="B479" s="11">
        <v>71.2998428344726</v>
      </c>
      <c r="C479" s="11" t="s">
        <v>1515</v>
      </c>
      <c r="D479" s="11" t="s">
        <v>1515</v>
      </c>
      <c r="E479" s="11" t="s">
        <v>1062</v>
      </c>
      <c r="F479" s="11" t="s">
        <v>1696</v>
      </c>
      <c r="J479" s="11">
        <v>11.3993959426879</v>
      </c>
      <c r="K479" s="11">
        <v>41.8748741149902</v>
      </c>
      <c r="L479" s="11" t="s">
        <v>1515</v>
      </c>
      <c r="M479" s="11" t="s">
        <v>1515</v>
      </c>
      <c r="N479" s="11" t="s">
        <v>1062</v>
      </c>
      <c r="O479" s="11" t="s">
        <v>1696</v>
      </c>
    </row>
    <row r="480">
      <c r="A480" s="11">
        <v>-25.302749633789</v>
      </c>
      <c r="B480" s="11">
        <v>20.2672805786132</v>
      </c>
      <c r="C480" s="11" t="s">
        <v>1515</v>
      </c>
      <c r="D480" s="11" t="s">
        <v>1515</v>
      </c>
      <c r="E480" s="11" t="s">
        <v>1062</v>
      </c>
      <c r="F480" s="11" t="s">
        <v>1698</v>
      </c>
      <c r="J480" s="11">
        <v>14.6557073593139</v>
      </c>
      <c r="K480" s="11">
        <v>38.7958793640136</v>
      </c>
      <c r="L480" s="11" t="s">
        <v>1515</v>
      </c>
      <c r="M480" s="11" t="s">
        <v>1515</v>
      </c>
      <c r="N480" s="11" t="s">
        <v>1062</v>
      </c>
      <c r="O480" s="11" t="s">
        <v>1698</v>
      </c>
    </row>
    <row r="481">
      <c r="A481" s="11">
        <v>46.1648445129394</v>
      </c>
      <c r="B481" s="11">
        <v>-0.639183819293975</v>
      </c>
      <c r="C481" s="11" t="s">
        <v>1515</v>
      </c>
      <c r="D481" s="11" t="s">
        <v>1515</v>
      </c>
      <c r="E481" s="11" t="s">
        <v>1062</v>
      </c>
      <c r="F481" s="11" t="s">
        <v>1700</v>
      </c>
      <c r="J481" s="11">
        <v>6.41576051712036</v>
      </c>
      <c r="K481" s="11">
        <v>59.6998062133789</v>
      </c>
      <c r="L481" s="11" t="s">
        <v>1515</v>
      </c>
      <c r="M481" s="11" t="s">
        <v>1515</v>
      </c>
      <c r="N481" s="11" t="s">
        <v>1062</v>
      </c>
      <c r="O481" s="11" t="s">
        <v>1700</v>
      </c>
    </row>
    <row r="482">
      <c r="A482" s="11">
        <v>-48.5188980102539</v>
      </c>
      <c r="B482" s="11">
        <v>23.570556640625</v>
      </c>
      <c r="C482" s="11" t="s">
        <v>1515</v>
      </c>
      <c r="D482" s="11" t="s">
        <v>1515</v>
      </c>
      <c r="E482" s="11" t="s">
        <v>1062</v>
      </c>
      <c r="F482" s="11" t="s">
        <v>1702</v>
      </c>
      <c r="J482" s="11">
        <v>40.7031135559082</v>
      </c>
      <c r="K482" s="11">
        <v>-6.71182107925415</v>
      </c>
      <c r="L482" s="11" t="s">
        <v>1515</v>
      </c>
      <c r="M482" s="11" t="s">
        <v>1515</v>
      </c>
      <c r="N482" s="11" t="s">
        <v>1062</v>
      </c>
      <c r="O482" s="11" t="s">
        <v>1702</v>
      </c>
    </row>
    <row r="483">
      <c r="A483" s="11">
        <v>67.714973449707</v>
      </c>
      <c r="B483" s="11">
        <v>-4.34071922302246</v>
      </c>
      <c r="C483" s="11" t="s">
        <v>1515</v>
      </c>
      <c r="D483" s="11" t="s">
        <v>1515</v>
      </c>
      <c r="E483" s="11" t="s">
        <v>1062</v>
      </c>
      <c r="F483" s="11" t="s">
        <v>1704</v>
      </c>
      <c r="J483" s="11">
        <v>-3.91701340675354</v>
      </c>
      <c r="K483" s="11">
        <v>64.4701080322265</v>
      </c>
      <c r="L483" s="11" t="s">
        <v>1515</v>
      </c>
      <c r="M483" s="11" t="s">
        <v>1515</v>
      </c>
      <c r="N483" s="11" t="s">
        <v>1062</v>
      </c>
      <c r="O483" s="11" t="s">
        <v>1704</v>
      </c>
    </row>
    <row r="484">
      <c r="A484" s="11">
        <v>49.5324401855468</v>
      </c>
      <c r="B484" s="11">
        <v>-2.0112087726593</v>
      </c>
      <c r="C484" s="11" t="s">
        <v>1515</v>
      </c>
      <c r="D484" s="11" t="s">
        <v>1515</v>
      </c>
      <c r="E484" s="11" t="s">
        <v>1062</v>
      </c>
      <c r="F484" s="11" t="s">
        <v>1706</v>
      </c>
      <c r="J484" s="11">
        <v>7.42264652252197</v>
      </c>
      <c r="K484" s="11">
        <v>61.6157760620117</v>
      </c>
      <c r="L484" s="11" t="s">
        <v>1515</v>
      </c>
      <c r="M484" s="11" t="s">
        <v>1515</v>
      </c>
      <c r="N484" s="11" t="s">
        <v>1062</v>
      </c>
      <c r="O484" s="11" t="s">
        <v>1706</v>
      </c>
    </row>
    <row r="485">
      <c r="A485" s="11">
        <v>-38.9554710388183</v>
      </c>
      <c r="B485" s="11">
        <v>24.9037151336669</v>
      </c>
      <c r="C485" s="11" t="s">
        <v>1515</v>
      </c>
      <c r="D485" s="11" t="s">
        <v>1515</v>
      </c>
      <c r="E485" s="11" t="s">
        <v>1062</v>
      </c>
      <c r="F485" s="11" t="s">
        <v>1708</v>
      </c>
      <c r="J485" s="11">
        <v>31.478157043457</v>
      </c>
      <c r="K485" s="11">
        <v>17.2271003723144</v>
      </c>
      <c r="L485" s="11" t="s">
        <v>1515</v>
      </c>
      <c r="M485" s="11" t="s">
        <v>1515</v>
      </c>
      <c r="N485" s="11" t="s">
        <v>1062</v>
      </c>
      <c r="O485" s="11" t="s">
        <v>1708</v>
      </c>
    </row>
    <row r="486">
      <c r="A486" s="11">
        <v>-47.4941673278808</v>
      </c>
      <c r="B486" s="11">
        <v>49.098834991455</v>
      </c>
      <c r="C486" s="11" t="s">
        <v>1515</v>
      </c>
      <c r="D486" s="11" t="s">
        <v>1515</v>
      </c>
      <c r="E486" s="11" t="s">
        <v>1062</v>
      </c>
      <c r="F486" s="11" t="s">
        <v>1710</v>
      </c>
      <c r="J486" s="11">
        <v>39.1200065612793</v>
      </c>
      <c r="K486" s="11">
        <v>18.31711769104</v>
      </c>
      <c r="L486" s="11" t="s">
        <v>1515</v>
      </c>
      <c r="M486" s="11" t="s">
        <v>1515</v>
      </c>
      <c r="N486" s="11" t="s">
        <v>1062</v>
      </c>
      <c r="O486" s="11" t="s">
        <v>1710</v>
      </c>
    </row>
    <row r="487">
      <c r="A487" s="11">
        <v>-23.8613758087158</v>
      </c>
      <c r="B487" s="11">
        <v>-9.30349159240722</v>
      </c>
      <c r="C487" s="11" t="s">
        <v>1515</v>
      </c>
      <c r="D487" s="11" t="s">
        <v>1515</v>
      </c>
      <c r="E487" s="11" t="s">
        <v>1062</v>
      </c>
      <c r="F487" s="11" t="s">
        <v>1712</v>
      </c>
      <c r="J487" s="11">
        <v>8.68389892578125</v>
      </c>
      <c r="K487" s="11">
        <v>43.7264976501464</v>
      </c>
      <c r="L487" s="11" t="s">
        <v>1515</v>
      </c>
      <c r="M487" s="11" t="s">
        <v>1515</v>
      </c>
      <c r="N487" s="11" t="s">
        <v>1062</v>
      </c>
      <c r="O487" s="11" t="s">
        <v>1712</v>
      </c>
    </row>
    <row r="488">
      <c r="A488" s="11">
        <v>22.9235916137695</v>
      </c>
      <c r="B488" s="11">
        <v>-5.94031715393066</v>
      </c>
      <c r="C488" s="11" t="s">
        <v>1515</v>
      </c>
      <c r="D488" s="11" t="s">
        <v>1515</v>
      </c>
      <c r="E488" s="11" t="s">
        <v>1062</v>
      </c>
      <c r="F488" s="11" t="s">
        <v>1714</v>
      </c>
      <c r="J488" s="11">
        <v>9.31611061096191</v>
      </c>
      <c r="K488" s="11">
        <v>29.4548358917236</v>
      </c>
      <c r="L488" s="11" t="s">
        <v>1515</v>
      </c>
      <c r="M488" s="11" t="s">
        <v>1515</v>
      </c>
      <c r="N488" s="11" t="s">
        <v>1062</v>
      </c>
      <c r="O488" s="11" t="s">
        <v>1714</v>
      </c>
    </row>
    <row r="489">
      <c r="A489" s="11">
        <v>10.1625366210937</v>
      </c>
      <c r="B489" s="11">
        <v>7.26176834106445</v>
      </c>
      <c r="C489" s="11" t="s">
        <v>1515</v>
      </c>
      <c r="D489" s="11" t="s">
        <v>1515</v>
      </c>
      <c r="E489" s="11" t="s">
        <v>1062</v>
      </c>
      <c r="F489" s="11" t="s">
        <v>1716</v>
      </c>
      <c r="J489" s="11">
        <v>-1.81675672531127</v>
      </c>
      <c r="K489" s="11">
        <v>68.7710266113281</v>
      </c>
      <c r="L489" s="11" t="s">
        <v>1515</v>
      </c>
      <c r="M489" s="11" t="s">
        <v>1515</v>
      </c>
      <c r="N489" s="11" t="s">
        <v>1062</v>
      </c>
      <c r="O489" s="11" t="s">
        <v>1716</v>
      </c>
    </row>
    <row r="490">
      <c r="A490" s="11">
        <v>-47.7315826416015</v>
      </c>
      <c r="B490" s="11">
        <v>47.7946891784668</v>
      </c>
      <c r="C490" s="11" t="s">
        <v>1515</v>
      </c>
      <c r="D490" s="11" t="s">
        <v>1515</v>
      </c>
      <c r="E490" s="11" t="s">
        <v>1062</v>
      </c>
      <c r="F490" s="11" t="s">
        <v>1718</v>
      </c>
      <c r="J490" s="11">
        <v>40.0730056762695</v>
      </c>
      <c r="K490" s="11">
        <v>17.5368423461914</v>
      </c>
      <c r="L490" s="11" t="s">
        <v>1515</v>
      </c>
      <c r="M490" s="11" t="s">
        <v>1515</v>
      </c>
      <c r="N490" s="11" t="s">
        <v>1062</v>
      </c>
      <c r="O490" s="11" t="s">
        <v>1718</v>
      </c>
    </row>
    <row r="491">
      <c r="A491" s="11">
        <v>54.7138214111328</v>
      </c>
      <c r="B491" s="11">
        <v>32.9750022888183</v>
      </c>
      <c r="C491" s="11" t="s">
        <v>1515</v>
      </c>
      <c r="D491" s="11" t="s">
        <v>1515</v>
      </c>
      <c r="E491" s="11" t="s">
        <v>1062</v>
      </c>
      <c r="F491" s="11" t="s">
        <v>1720</v>
      </c>
      <c r="J491" s="11">
        <v>9.04481506347656</v>
      </c>
      <c r="K491" s="11">
        <v>48.4796829223632</v>
      </c>
      <c r="L491" s="11" t="s">
        <v>1515</v>
      </c>
      <c r="M491" s="11" t="s">
        <v>1515</v>
      </c>
      <c r="N491" s="11" t="s">
        <v>1062</v>
      </c>
      <c r="O491" s="11" t="s">
        <v>1720</v>
      </c>
    </row>
    <row r="492">
      <c r="A492" s="11">
        <v>-3.14905786514282</v>
      </c>
      <c r="B492" s="11">
        <v>-2.23319411277771</v>
      </c>
      <c r="C492" s="11" t="s">
        <v>1515</v>
      </c>
      <c r="D492" s="11" t="s">
        <v>1515</v>
      </c>
      <c r="E492" s="11" t="s">
        <v>1062</v>
      </c>
      <c r="F492" s="11" t="s">
        <v>1723</v>
      </c>
      <c r="J492" s="11">
        <v>19.4665412902832</v>
      </c>
      <c r="K492" s="11">
        <v>20.7460498809814</v>
      </c>
      <c r="L492" s="11" t="s">
        <v>1515</v>
      </c>
      <c r="M492" s="11" t="s">
        <v>1515</v>
      </c>
      <c r="N492" s="11" t="s">
        <v>1062</v>
      </c>
      <c r="O492" s="11" t="s">
        <v>1723</v>
      </c>
    </row>
    <row r="493">
      <c r="A493" s="11">
        <v>6.08339262008667</v>
      </c>
      <c r="B493" s="11">
        <v>-1.83135986328125</v>
      </c>
      <c r="C493" s="11" t="s">
        <v>1515</v>
      </c>
      <c r="D493" s="11" t="s">
        <v>1515</v>
      </c>
      <c r="E493" s="11" t="s">
        <v>1062</v>
      </c>
      <c r="F493" s="11" t="s">
        <v>1725</v>
      </c>
      <c r="J493" s="11">
        <v>12.3078775405883</v>
      </c>
      <c r="K493" s="11">
        <v>50.9614028930664</v>
      </c>
      <c r="L493" s="11" t="s">
        <v>1515</v>
      </c>
      <c r="M493" s="11" t="s">
        <v>1515</v>
      </c>
      <c r="N493" s="11" t="s">
        <v>1062</v>
      </c>
      <c r="O493" s="11" t="s">
        <v>1725</v>
      </c>
    </row>
    <row r="494">
      <c r="A494" s="11">
        <v>-66.526741027832</v>
      </c>
      <c r="B494" s="11">
        <v>-28.5642528533935</v>
      </c>
      <c r="C494" s="11" t="s">
        <v>1515</v>
      </c>
      <c r="D494" s="11" t="s">
        <v>1515</v>
      </c>
      <c r="E494" s="11" t="s">
        <v>1062</v>
      </c>
      <c r="F494" s="11" t="s">
        <v>1728</v>
      </c>
      <c r="J494" s="11">
        <v>5.78595256805419</v>
      </c>
      <c r="K494" s="11">
        <v>42.2435874938964</v>
      </c>
      <c r="L494" s="11" t="s">
        <v>1515</v>
      </c>
      <c r="M494" s="11" t="s">
        <v>1515</v>
      </c>
      <c r="N494" s="11" t="s">
        <v>1062</v>
      </c>
      <c r="O494" s="11" t="s">
        <v>1728</v>
      </c>
    </row>
    <row r="495">
      <c r="A495" s="11">
        <v>-29.027114868164</v>
      </c>
      <c r="B495" s="11">
        <v>28.8715286254882</v>
      </c>
      <c r="C495" s="11" t="s">
        <v>1515</v>
      </c>
      <c r="D495" s="11" t="s">
        <v>1515</v>
      </c>
      <c r="E495" s="11" t="s">
        <v>1062</v>
      </c>
      <c r="F495" s="11" t="s">
        <v>1730</v>
      </c>
      <c r="J495" s="11">
        <v>2.75133490562438</v>
      </c>
      <c r="K495" s="11">
        <v>31.2328853607177</v>
      </c>
      <c r="L495" s="11" t="s">
        <v>1515</v>
      </c>
      <c r="M495" s="11" t="s">
        <v>1515</v>
      </c>
      <c r="N495" s="11" t="s">
        <v>1062</v>
      </c>
      <c r="O495" s="11" t="s">
        <v>1730</v>
      </c>
    </row>
    <row r="496">
      <c r="A496" s="11">
        <v>-44.4238510131835</v>
      </c>
      <c r="B496" s="11">
        <v>32.1213302612304</v>
      </c>
      <c r="C496" s="11" t="s">
        <v>1515</v>
      </c>
      <c r="D496" s="11" t="s">
        <v>1515</v>
      </c>
      <c r="E496" s="11" t="s">
        <v>1062</v>
      </c>
      <c r="F496" s="11" t="s">
        <v>1731</v>
      </c>
      <c r="J496" s="11">
        <v>45.0714111328125</v>
      </c>
      <c r="K496" s="11">
        <v>9.44773006439209</v>
      </c>
      <c r="L496" s="11" t="s">
        <v>1515</v>
      </c>
      <c r="M496" s="11" t="s">
        <v>1515</v>
      </c>
      <c r="N496" s="11" t="s">
        <v>1062</v>
      </c>
      <c r="O496" s="11" t="s">
        <v>1731</v>
      </c>
    </row>
    <row r="497">
      <c r="A497" s="11">
        <v>-42.8961715698242</v>
      </c>
      <c r="B497" s="11">
        <v>18.528657913208</v>
      </c>
      <c r="C497" s="11" t="s">
        <v>1515</v>
      </c>
      <c r="D497" s="11" t="s">
        <v>1515</v>
      </c>
      <c r="E497" s="11" t="s">
        <v>1062</v>
      </c>
      <c r="F497" s="11" t="s">
        <v>1733</v>
      </c>
      <c r="J497" s="11">
        <v>17.2165699005126</v>
      </c>
      <c r="K497" s="11">
        <v>32.1162338256835</v>
      </c>
      <c r="L497" s="11" t="s">
        <v>1515</v>
      </c>
      <c r="M497" s="11" t="s">
        <v>1515</v>
      </c>
      <c r="N497" s="11" t="s">
        <v>1062</v>
      </c>
      <c r="O497" s="11" t="s">
        <v>1733</v>
      </c>
    </row>
    <row r="498">
      <c r="A498" s="11">
        <v>-30.4797801971435</v>
      </c>
      <c r="B498" s="11">
        <v>24.19065284729</v>
      </c>
      <c r="C498" s="11" t="s">
        <v>1515</v>
      </c>
      <c r="D498" s="11" t="s">
        <v>1515</v>
      </c>
      <c r="E498" s="11" t="s">
        <v>1062</v>
      </c>
      <c r="F498" s="11" t="s">
        <v>1735</v>
      </c>
      <c r="J498" s="11">
        <v>18.2774658203125</v>
      </c>
      <c r="K498" s="11">
        <v>35.8999633789062</v>
      </c>
      <c r="L498" s="11" t="s">
        <v>1515</v>
      </c>
      <c r="M498" s="11" t="s">
        <v>1515</v>
      </c>
      <c r="N498" s="11" t="s">
        <v>1062</v>
      </c>
      <c r="O498" s="11" t="s">
        <v>1735</v>
      </c>
    </row>
    <row r="499">
      <c r="A499" s="11">
        <v>48.6754264831543</v>
      </c>
      <c r="B499" s="11">
        <v>-1.35846209526062</v>
      </c>
      <c r="C499" s="11" t="s">
        <v>1515</v>
      </c>
      <c r="D499" s="11" t="s">
        <v>1515</v>
      </c>
      <c r="E499" s="11" t="s">
        <v>1062</v>
      </c>
      <c r="F499" s="11" t="s">
        <v>1737</v>
      </c>
      <c r="J499" s="11">
        <v>5.89969444274902</v>
      </c>
      <c r="K499" s="11">
        <v>64.3780517578125</v>
      </c>
      <c r="L499" s="11" t="s">
        <v>1515</v>
      </c>
      <c r="M499" s="11" t="s">
        <v>1515</v>
      </c>
      <c r="N499" s="11" t="s">
        <v>1062</v>
      </c>
      <c r="O499" s="11" t="s">
        <v>1737</v>
      </c>
    </row>
    <row r="500">
      <c r="A500" s="11">
        <v>-10.2727813720703</v>
      </c>
      <c r="B500" s="11">
        <v>22.9040832519531</v>
      </c>
      <c r="C500" s="11" t="s">
        <v>1515</v>
      </c>
      <c r="D500" s="11" t="s">
        <v>1515</v>
      </c>
      <c r="E500" s="11" t="s">
        <v>1062</v>
      </c>
      <c r="F500" s="11" t="s">
        <v>1738</v>
      </c>
      <c r="J500" s="11">
        <v>12.7879438400268</v>
      </c>
      <c r="K500" s="11">
        <v>50.3600921630859</v>
      </c>
      <c r="L500" s="11" t="s">
        <v>1515</v>
      </c>
      <c r="M500" s="11" t="s">
        <v>1515</v>
      </c>
      <c r="N500" s="11" t="s">
        <v>1062</v>
      </c>
      <c r="O500" s="11" t="s">
        <v>1738</v>
      </c>
    </row>
    <row r="501">
      <c r="A501" s="11">
        <v>-38.8833503723144</v>
      </c>
      <c r="B501" s="11">
        <v>8.43774127960205</v>
      </c>
      <c r="C501" s="11" t="s">
        <v>1515</v>
      </c>
      <c r="D501" s="11" t="s">
        <v>1515</v>
      </c>
      <c r="E501" s="11" t="s">
        <v>1062</v>
      </c>
      <c r="F501" s="11" t="s">
        <v>1740</v>
      </c>
      <c r="J501" s="11">
        <v>13.1701984405517</v>
      </c>
      <c r="K501" s="11">
        <v>31.5352821350097</v>
      </c>
      <c r="L501" s="11" t="s">
        <v>1515</v>
      </c>
      <c r="M501" s="11" t="s">
        <v>1515</v>
      </c>
      <c r="N501" s="11" t="s">
        <v>1062</v>
      </c>
      <c r="O501" s="11" t="s">
        <v>1740</v>
      </c>
    </row>
    <row r="502">
      <c r="A502" s="11">
        <v>54.7138214111328</v>
      </c>
      <c r="B502" s="11">
        <v>32.9750022888183</v>
      </c>
      <c r="C502" s="11" t="s">
        <v>1515</v>
      </c>
      <c r="D502" s="11" t="s">
        <v>1515</v>
      </c>
      <c r="E502" s="11" t="s">
        <v>1062</v>
      </c>
      <c r="F502" s="11" t="s">
        <v>1742</v>
      </c>
      <c r="J502" s="11">
        <v>9.04465579986572</v>
      </c>
      <c r="K502" s="11">
        <v>48.4799346923828</v>
      </c>
      <c r="L502" s="11" t="s">
        <v>1515</v>
      </c>
      <c r="M502" s="11" t="s">
        <v>1515</v>
      </c>
      <c r="N502" s="11" t="s">
        <v>1062</v>
      </c>
      <c r="O502" s="11" t="s">
        <v>1742</v>
      </c>
    </row>
    <row r="503">
      <c r="A503" s="11">
        <v>-30.2113761901855</v>
      </c>
      <c r="B503" s="11">
        <v>10.3106899261474</v>
      </c>
      <c r="C503" s="11" t="s">
        <v>1515</v>
      </c>
      <c r="D503" s="11" t="s">
        <v>1515</v>
      </c>
      <c r="E503" s="11" t="s">
        <v>1062</v>
      </c>
      <c r="F503" s="11" t="s">
        <v>1744</v>
      </c>
      <c r="J503" s="11">
        <v>5.16787528991699</v>
      </c>
      <c r="K503" s="11">
        <v>22.199758529663</v>
      </c>
      <c r="L503" s="11" t="s">
        <v>1515</v>
      </c>
      <c r="M503" s="11" t="s">
        <v>1515</v>
      </c>
      <c r="N503" s="11" t="s">
        <v>1062</v>
      </c>
      <c r="O503" s="11" t="s">
        <v>1744</v>
      </c>
    </row>
    <row r="504">
      <c r="A504" s="11">
        <v>21.0212631225585</v>
      </c>
      <c r="B504" s="11">
        <v>-1.6243370771408</v>
      </c>
      <c r="C504" s="11" t="s">
        <v>1515</v>
      </c>
      <c r="D504" s="11" t="s">
        <v>1515</v>
      </c>
      <c r="E504" s="11" t="s">
        <v>1062</v>
      </c>
      <c r="F504" s="11" t="s">
        <v>1746</v>
      </c>
      <c r="J504" s="11">
        <v>32.3491783142089</v>
      </c>
      <c r="K504" s="11">
        <v>37.6785087585449</v>
      </c>
      <c r="L504" s="11" t="s">
        <v>1515</v>
      </c>
      <c r="M504" s="11" t="s">
        <v>1515</v>
      </c>
      <c r="N504" s="11" t="s">
        <v>1062</v>
      </c>
      <c r="O504" s="11" t="s">
        <v>1746</v>
      </c>
    </row>
    <row r="505">
      <c r="A505" s="11">
        <v>-55.2076873779296</v>
      </c>
      <c r="B505" s="11">
        <v>11.68381690979</v>
      </c>
      <c r="C505" s="11" t="s">
        <v>1515</v>
      </c>
      <c r="D505" s="11" t="s">
        <v>1515</v>
      </c>
      <c r="E505" s="11" t="s">
        <v>1062</v>
      </c>
      <c r="F505" s="11" t="s">
        <v>1748</v>
      </c>
      <c r="J505" s="11">
        <v>54.5128669738769</v>
      </c>
      <c r="K505" s="11">
        <v>4.28779315948486</v>
      </c>
      <c r="L505" s="11" t="s">
        <v>1515</v>
      </c>
      <c r="M505" s="11" t="s">
        <v>1515</v>
      </c>
      <c r="N505" s="11" t="s">
        <v>1062</v>
      </c>
      <c r="O505" s="11" t="s">
        <v>1748</v>
      </c>
    </row>
    <row r="506">
      <c r="A506" s="11">
        <v>55.13228225708</v>
      </c>
      <c r="B506" s="11">
        <v>32.2912902832031</v>
      </c>
      <c r="C506" s="11" t="s">
        <v>1515</v>
      </c>
      <c r="D506" s="11" t="s">
        <v>1515</v>
      </c>
      <c r="E506" s="11" t="s">
        <v>1062</v>
      </c>
      <c r="F506" s="11" t="s">
        <v>1750</v>
      </c>
      <c r="J506" s="11">
        <v>-0.0608897693455219</v>
      </c>
      <c r="K506" s="11">
        <v>42.8121719360351</v>
      </c>
      <c r="L506" s="11" t="s">
        <v>1515</v>
      </c>
      <c r="M506" s="11" t="s">
        <v>1515</v>
      </c>
      <c r="N506" s="11" t="s">
        <v>1062</v>
      </c>
      <c r="O506" s="11" t="s">
        <v>1750</v>
      </c>
    </row>
    <row r="507">
      <c r="A507" s="11">
        <v>-51.8678474426269</v>
      </c>
      <c r="B507" s="11">
        <v>29.5832042694091</v>
      </c>
      <c r="C507" s="11" t="s">
        <v>1515</v>
      </c>
      <c r="D507" s="11" t="s">
        <v>1515</v>
      </c>
      <c r="E507" s="11" t="s">
        <v>1062</v>
      </c>
      <c r="F507" s="11" t="s">
        <v>1752</v>
      </c>
      <c r="J507" s="11">
        <v>38.7069969177246</v>
      </c>
      <c r="K507" s="11">
        <v>10.0322761535644</v>
      </c>
      <c r="L507" s="11" t="s">
        <v>1515</v>
      </c>
      <c r="M507" s="11" t="s">
        <v>1515</v>
      </c>
      <c r="N507" s="11" t="s">
        <v>1062</v>
      </c>
      <c r="O507" s="11" t="s">
        <v>1752</v>
      </c>
    </row>
    <row r="508">
      <c r="A508" s="11">
        <v>30.1795272827148</v>
      </c>
      <c r="B508" s="11">
        <v>43.211067199707</v>
      </c>
      <c r="C508" s="11" t="s">
        <v>1515</v>
      </c>
      <c r="D508" s="11" t="s">
        <v>1515</v>
      </c>
      <c r="E508" s="11" t="s">
        <v>1062</v>
      </c>
      <c r="F508" s="11" t="s">
        <v>1754</v>
      </c>
      <c r="J508" s="11">
        <v>22.0092830657959</v>
      </c>
      <c r="K508" s="11">
        <v>38.4246788024902</v>
      </c>
      <c r="L508" s="11" t="s">
        <v>1515</v>
      </c>
      <c r="M508" s="11" t="s">
        <v>1515</v>
      </c>
      <c r="N508" s="11" t="s">
        <v>1062</v>
      </c>
      <c r="O508" s="11" t="s">
        <v>1754</v>
      </c>
    </row>
    <row r="509">
      <c r="A509" s="11">
        <v>-11.8731966018676</v>
      </c>
      <c r="B509" s="11">
        <v>26.1462039947509</v>
      </c>
      <c r="C509" s="11" t="s">
        <v>1515</v>
      </c>
      <c r="D509" s="11" t="s">
        <v>1515</v>
      </c>
      <c r="E509" s="11" t="s">
        <v>1062</v>
      </c>
      <c r="F509" s="11" t="s">
        <v>1757</v>
      </c>
      <c r="J509" s="11">
        <v>13.938645362854</v>
      </c>
      <c r="K509" s="11">
        <v>52.8784751892089</v>
      </c>
      <c r="L509" s="11" t="s">
        <v>1515</v>
      </c>
      <c r="M509" s="11" t="s">
        <v>1515</v>
      </c>
      <c r="N509" s="11" t="s">
        <v>1062</v>
      </c>
      <c r="O509" s="11" t="s">
        <v>1757</v>
      </c>
    </row>
    <row r="510">
      <c r="A510" s="11">
        <v>-32.4308433532714</v>
      </c>
      <c r="B510" s="11">
        <v>-27.2108898162841</v>
      </c>
      <c r="C510" s="11" t="s">
        <v>1515</v>
      </c>
      <c r="D510" s="11" t="s">
        <v>1515</v>
      </c>
      <c r="E510" s="11" t="s">
        <v>1062</v>
      </c>
      <c r="F510" s="11" t="s">
        <v>1759</v>
      </c>
      <c r="J510" s="11">
        <v>25.0237770080566</v>
      </c>
      <c r="K510" s="11">
        <v>54.1885337829589</v>
      </c>
      <c r="L510" s="11" t="s">
        <v>1515</v>
      </c>
      <c r="M510" s="11" t="s">
        <v>1515</v>
      </c>
      <c r="N510" s="11" t="s">
        <v>1062</v>
      </c>
      <c r="O510" s="11" t="s">
        <v>1759</v>
      </c>
    </row>
    <row r="511">
      <c r="A511" s="11">
        <v>-34.7352104187011</v>
      </c>
      <c r="B511" s="11">
        <v>27.9933452606201</v>
      </c>
      <c r="C511" s="11" t="s">
        <v>1515</v>
      </c>
      <c r="D511" s="11" t="s">
        <v>1515</v>
      </c>
      <c r="E511" s="11" t="s">
        <v>1062</v>
      </c>
      <c r="F511" s="11" t="s">
        <v>1760</v>
      </c>
      <c r="J511" s="11">
        <v>14.6372566223144</v>
      </c>
      <c r="K511" s="11">
        <v>45.7587585449218</v>
      </c>
      <c r="L511" s="11" t="s">
        <v>1515</v>
      </c>
      <c r="M511" s="11" t="s">
        <v>1515</v>
      </c>
      <c r="N511" s="11" t="s">
        <v>1062</v>
      </c>
      <c r="O511" s="11" t="s">
        <v>1760</v>
      </c>
    </row>
    <row r="512">
      <c r="A512" s="11">
        <v>-39.1128463745117</v>
      </c>
      <c r="B512" s="11">
        <v>7.64646673202514</v>
      </c>
      <c r="C512" s="11" t="s">
        <v>1515</v>
      </c>
      <c r="D512" s="11" t="s">
        <v>1515</v>
      </c>
      <c r="E512" s="11" t="s">
        <v>1062</v>
      </c>
      <c r="F512" s="11" t="s">
        <v>1763</v>
      </c>
      <c r="J512" s="11">
        <v>12.6237907409667</v>
      </c>
      <c r="K512" s="11">
        <v>31.7751884460449</v>
      </c>
      <c r="L512" s="11" t="s">
        <v>1515</v>
      </c>
      <c r="M512" s="11" t="s">
        <v>1515</v>
      </c>
      <c r="N512" s="11" t="s">
        <v>1062</v>
      </c>
      <c r="O512" s="11" t="s">
        <v>1763</v>
      </c>
    </row>
    <row r="513">
      <c r="A513" s="11">
        <v>-59.8132591247558</v>
      </c>
      <c r="B513" s="11">
        <v>14.8109731674194</v>
      </c>
      <c r="C513" s="11" t="s">
        <v>1515</v>
      </c>
      <c r="D513" s="11" t="s">
        <v>1515</v>
      </c>
      <c r="E513" s="11" t="s">
        <v>1062</v>
      </c>
      <c r="F513" s="11" t="s">
        <v>1765</v>
      </c>
      <c r="J513" s="11">
        <v>51.3329582214355</v>
      </c>
      <c r="K513" s="11">
        <v>5.72443199157714</v>
      </c>
      <c r="L513" s="11" t="s">
        <v>1515</v>
      </c>
      <c r="M513" s="11" t="s">
        <v>1515</v>
      </c>
      <c r="N513" s="11" t="s">
        <v>1062</v>
      </c>
      <c r="O513" s="11" t="s">
        <v>1765</v>
      </c>
    </row>
    <row r="514">
      <c r="A514" s="11">
        <v>-34.1466598510742</v>
      </c>
      <c r="B514" s="11">
        <v>13.179533958435</v>
      </c>
      <c r="C514" s="11" t="s">
        <v>1515</v>
      </c>
      <c r="D514" s="11" t="s">
        <v>1515</v>
      </c>
      <c r="E514" s="11" t="s">
        <v>1062</v>
      </c>
      <c r="F514" s="11" t="s">
        <v>1767</v>
      </c>
      <c r="J514" s="11">
        <v>13.2836866378784</v>
      </c>
      <c r="K514" s="11">
        <v>25.0365333557128</v>
      </c>
      <c r="L514" s="11" t="s">
        <v>1515</v>
      </c>
      <c r="M514" s="11" t="s">
        <v>1515</v>
      </c>
      <c r="N514" s="11" t="s">
        <v>1062</v>
      </c>
      <c r="O514" s="11" t="s">
        <v>1767</v>
      </c>
    </row>
    <row r="515">
      <c r="A515" s="11">
        <v>-38.2909660339355</v>
      </c>
      <c r="B515" s="11">
        <v>13.0396223068237</v>
      </c>
      <c r="C515" s="11" t="s">
        <v>1515</v>
      </c>
      <c r="D515" s="11" t="s">
        <v>1515</v>
      </c>
      <c r="E515" s="11" t="s">
        <v>1062</v>
      </c>
      <c r="F515" s="11" t="s">
        <v>1769</v>
      </c>
      <c r="J515" s="11">
        <v>32.4817733764648</v>
      </c>
      <c r="K515" s="11">
        <v>12.7632637023925</v>
      </c>
      <c r="L515" s="11" t="s">
        <v>1515</v>
      </c>
      <c r="M515" s="11" t="s">
        <v>1515</v>
      </c>
      <c r="N515" s="11" t="s">
        <v>1062</v>
      </c>
      <c r="O515" s="11" t="s">
        <v>1769</v>
      </c>
    </row>
    <row r="516">
      <c r="A516" s="11">
        <v>-39.8254013061523</v>
      </c>
      <c r="B516" s="11">
        <v>6.0588035583496</v>
      </c>
      <c r="C516" s="11" t="s">
        <v>1515</v>
      </c>
      <c r="D516" s="11" t="s">
        <v>1515</v>
      </c>
      <c r="E516" s="11" t="s">
        <v>1062</v>
      </c>
      <c r="F516" s="11" t="s">
        <v>1771</v>
      </c>
      <c r="J516" s="11">
        <v>5.92117500305175</v>
      </c>
      <c r="K516" s="11">
        <v>46.0358009338378</v>
      </c>
      <c r="L516" s="11" t="s">
        <v>1515</v>
      </c>
      <c r="M516" s="11" t="s">
        <v>1515</v>
      </c>
      <c r="N516" s="11" t="s">
        <v>1062</v>
      </c>
      <c r="O516" s="11" t="s">
        <v>1771</v>
      </c>
    </row>
    <row r="517">
      <c r="A517" s="11">
        <v>-38.1043434143066</v>
      </c>
      <c r="B517" s="11">
        <v>8.71311950683593</v>
      </c>
      <c r="C517" s="11" t="s">
        <v>1515</v>
      </c>
      <c r="D517" s="11" t="s">
        <v>1515</v>
      </c>
      <c r="E517" s="11" t="s">
        <v>1062</v>
      </c>
      <c r="F517" s="11" t="s">
        <v>1773</v>
      </c>
      <c r="J517" s="11">
        <v>12.9391059875488</v>
      </c>
      <c r="K517" s="11">
        <v>32.4363670349121</v>
      </c>
      <c r="L517" s="11" t="s">
        <v>1515</v>
      </c>
      <c r="M517" s="11" t="s">
        <v>1515</v>
      </c>
      <c r="N517" s="11" t="s">
        <v>1062</v>
      </c>
      <c r="O517" s="11" t="s">
        <v>1773</v>
      </c>
    </row>
    <row r="518">
      <c r="A518" s="11">
        <v>-15.0931787490844</v>
      </c>
      <c r="B518" s="11">
        <v>9.94888877868652</v>
      </c>
      <c r="C518" s="11" t="s">
        <v>1515</v>
      </c>
      <c r="D518" s="11" t="s">
        <v>1515</v>
      </c>
      <c r="E518" s="11" t="s">
        <v>1062</v>
      </c>
      <c r="F518" s="11" t="s">
        <v>1776</v>
      </c>
      <c r="J518" s="11">
        <v>59.3563232421875</v>
      </c>
      <c r="K518" s="11">
        <v>-28.130558013916</v>
      </c>
      <c r="L518" s="11" t="s">
        <v>1515</v>
      </c>
      <c r="M518" s="11" t="s">
        <v>1515</v>
      </c>
      <c r="N518" s="11" t="s">
        <v>1062</v>
      </c>
      <c r="O518" s="11" t="s">
        <v>1776</v>
      </c>
    </row>
    <row r="519">
      <c r="A519" s="11">
        <v>-2.74596548080444</v>
      </c>
      <c r="B519" s="11">
        <v>3.46820330619812</v>
      </c>
      <c r="C519" s="11" t="s">
        <v>1515</v>
      </c>
      <c r="D519" s="11" t="s">
        <v>1515</v>
      </c>
      <c r="E519" s="11" t="s">
        <v>1062</v>
      </c>
      <c r="F519" s="11" t="s">
        <v>1778</v>
      </c>
      <c r="J519" s="11">
        <v>-5.73434591293335</v>
      </c>
      <c r="K519" s="11">
        <v>-14.0433206558227</v>
      </c>
      <c r="L519" s="11" t="s">
        <v>1515</v>
      </c>
      <c r="M519" s="11" t="s">
        <v>1515</v>
      </c>
      <c r="N519" s="11" t="s">
        <v>1062</v>
      </c>
      <c r="O519" s="11" t="s">
        <v>1778</v>
      </c>
    </row>
    <row r="520">
      <c r="A520" s="11">
        <v>-7.10118246078491</v>
      </c>
      <c r="B520" s="11">
        <v>-3.59972786903381</v>
      </c>
      <c r="C520" s="11" t="s">
        <v>1515</v>
      </c>
      <c r="D520" s="11" t="s">
        <v>1515</v>
      </c>
      <c r="E520" s="11" t="s">
        <v>1062</v>
      </c>
      <c r="F520" s="11" t="s">
        <v>1780</v>
      </c>
      <c r="J520" s="11">
        <v>16.1719646453857</v>
      </c>
      <c r="K520" s="11">
        <v>65.6688156127929</v>
      </c>
      <c r="L520" s="11" t="s">
        <v>1515</v>
      </c>
      <c r="M520" s="11" t="s">
        <v>1515</v>
      </c>
      <c r="N520" s="11" t="s">
        <v>1062</v>
      </c>
      <c r="O520" s="11" t="s">
        <v>1780</v>
      </c>
    </row>
    <row r="521">
      <c r="A521" s="11">
        <v>64.9365234375</v>
      </c>
      <c r="B521" s="11">
        <v>-4.24772930145263</v>
      </c>
      <c r="C521" s="11" t="s">
        <v>1515</v>
      </c>
      <c r="D521" s="11" t="s">
        <v>1515</v>
      </c>
      <c r="E521" s="11" t="s">
        <v>1062</v>
      </c>
      <c r="F521" s="11" t="s">
        <v>1783</v>
      </c>
      <c r="J521" s="11">
        <v>-1.9396493434906</v>
      </c>
      <c r="K521" s="11">
        <v>62.147232055664</v>
      </c>
      <c r="L521" s="11" t="s">
        <v>1515</v>
      </c>
      <c r="M521" s="11" t="s">
        <v>1515</v>
      </c>
      <c r="N521" s="11" t="s">
        <v>1062</v>
      </c>
      <c r="O521" s="11" t="s">
        <v>1783</v>
      </c>
    </row>
    <row r="522">
      <c r="A522" s="11">
        <v>46.822395324707</v>
      </c>
      <c r="B522" s="11">
        <v>7.47801399230957</v>
      </c>
      <c r="C522" s="11" t="s">
        <v>1515</v>
      </c>
      <c r="D522" s="11" t="s">
        <v>1515</v>
      </c>
      <c r="E522" s="11" t="s">
        <v>1062</v>
      </c>
      <c r="F522" s="11" t="s">
        <v>1786</v>
      </c>
      <c r="J522" s="11">
        <v>26.1916828155517</v>
      </c>
      <c r="K522" s="11">
        <v>46.6603050231933</v>
      </c>
      <c r="L522" s="11" t="s">
        <v>1515</v>
      </c>
      <c r="M522" s="11" t="s">
        <v>1515</v>
      </c>
      <c r="N522" s="11" t="s">
        <v>1062</v>
      </c>
      <c r="O522" s="11" t="s">
        <v>1786</v>
      </c>
    </row>
    <row r="523">
      <c r="A523" s="11">
        <v>-22.6223754882812</v>
      </c>
      <c r="B523" s="11">
        <v>30.8579540252685</v>
      </c>
      <c r="C523" s="11" t="s">
        <v>1515</v>
      </c>
      <c r="D523" s="11" t="s">
        <v>1515</v>
      </c>
      <c r="E523" s="11" t="s">
        <v>1062</v>
      </c>
      <c r="F523" s="11" t="s">
        <v>1788</v>
      </c>
      <c r="J523" s="11">
        <v>19.3444328308105</v>
      </c>
      <c r="K523" s="11">
        <v>13.1983528137207</v>
      </c>
      <c r="L523" s="11" t="s">
        <v>1515</v>
      </c>
      <c r="M523" s="11" t="s">
        <v>1515</v>
      </c>
      <c r="N523" s="11" t="s">
        <v>1062</v>
      </c>
      <c r="O523" s="11" t="s">
        <v>1788</v>
      </c>
    </row>
    <row r="524">
      <c r="A524" s="11">
        <v>-37.9524879455566</v>
      </c>
      <c r="B524" s="11">
        <v>42.912353515625</v>
      </c>
      <c r="C524" s="11" t="s">
        <v>1515</v>
      </c>
      <c r="D524" s="11" t="s">
        <v>1515</v>
      </c>
      <c r="E524" s="11" t="s">
        <v>1062</v>
      </c>
      <c r="F524" s="11" t="s">
        <v>1790</v>
      </c>
      <c r="J524" s="11">
        <v>48.9185333251953</v>
      </c>
      <c r="K524" s="11">
        <v>-10.7696332931518</v>
      </c>
      <c r="L524" s="11" t="s">
        <v>1515</v>
      </c>
      <c r="M524" s="11" t="s">
        <v>1515</v>
      </c>
      <c r="N524" s="11" t="s">
        <v>1062</v>
      </c>
      <c r="O524" s="11" t="s">
        <v>1790</v>
      </c>
    </row>
    <row r="525">
      <c r="A525" s="11">
        <v>-6.75242948532104</v>
      </c>
      <c r="B525" s="11">
        <v>0.905651330947876</v>
      </c>
      <c r="C525" s="11" t="s">
        <v>1515</v>
      </c>
      <c r="D525" s="11" t="s">
        <v>1515</v>
      </c>
      <c r="E525" s="11" t="s">
        <v>1062</v>
      </c>
      <c r="F525" s="11" t="s">
        <v>1792</v>
      </c>
      <c r="J525" s="11">
        <v>15.3047609329223</v>
      </c>
      <c r="K525" s="11">
        <v>36.7921447753906</v>
      </c>
      <c r="L525" s="11" t="s">
        <v>1515</v>
      </c>
      <c r="M525" s="11" t="s">
        <v>1515</v>
      </c>
      <c r="N525" s="11" t="s">
        <v>1062</v>
      </c>
      <c r="O525" s="11" t="s">
        <v>1792</v>
      </c>
    </row>
    <row r="526">
      <c r="A526" s="11">
        <v>-16.6278438568115</v>
      </c>
      <c r="B526" s="11">
        <v>15.5651273727417</v>
      </c>
      <c r="C526" s="11" t="s">
        <v>1515</v>
      </c>
      <c r="D526" s="11" t="s">
        <v>1515</v>
      </c>
      <c r="E526" s="11" t="s">
        <v>1062</v>
      </c>
      <c r="F526" s="11" t="s">
        <v>1793</v>
      </c>
      <c r="J526" s="11">
        <v>5.78283977508544</v>
      </c>
      <c r="K526" s="11">
        <v>3.10666108131408</v>
      </c>
      <c r="L526" s="11" t="s">
        <v>1515</v>
      </c>
      <c r="M526" s="11" t="s">
        <v>1515</v>
      </c>
      <c r="N526" s="11" t="s">
        <v>1062</v>
      </c>
      <c r="O526" s="11" t="s">
        <v>1793</v>
      </c>
    </row>
    <row r="527">
      <c r="A527" s="11">
        <v>39.3657798767089</v>
      </c>
      <c r="B527" s="11">
        <v>53.9194793701171</v>
      </c>
      <c r="C527" s="11" t="s">
        <v>1515</v>
      </c>
      <c r="D527" s="11" t="s">
        <v>1515</v>
      </c>
      <c r="E527" s="11" t="s">
        <v>1062</v>
      </c>
      <c r="F527" s="11" t="s">
        <v>1796</v>
      </c>
      <c r="J527" s="11">
        <v>28.108995437622</v>
      </c>
      <c r="K527" s="11">
        <v>38.980125427246</v>
      </c>
      <c r="L527" s="11" t="s">
        <v>1515</v>
      </c>
      <c r="M527" s="11" t="s">
        <v>1515</v>
      </c>
      <c r="N527" s="11" t="s">
        <v>1062</v>
      </c>
      <c r="O527" s="11" t="s">
        <v>1796</v>
      </c>
    </row>
    <row r="528">
      <c r="A528" s="11">
        <v>-44.4927635192871</v>
      </c>
      <c r="B528" s="11">
        <v>38.8828620910644</v>
      </c>
      <c r="C528" s="11" t="s">
        <v>1515</v>
      </c>
      <c r="D528" s="11" t="s">
        <v>1515</v>
      </c>
      <c r="E528" s="11" t="s">
        <v>1062</v>
      </c>
      <c r="F528" s="11" t="s">
        <v>1798</v>
      </c>
      <c r="J528" s="11">
        <v>42.0184478759765</v>
      </c>
      <c r="K528" s="11">
        <v>-20.3073272705078</v>
      </c>
      <c r="L528" s="11" t="s">
        <v>1515</v>
      </c>
      <c r="M528" s="11" t="s">
        <v>1515</v>
      </c>
      <c r="N528" s="11" t="s">
        <v>1062</v>
      </c>
      <c r="O528" s="11" t="s">
        <v>1798</v>
      </c>
    </row>
    <row r="529">
      <c r="A529" s="11">
        <v>-23.2732257843017</v>
      </c>
      <c r="B529" s="11">
        <v>16.7303867340087</v>
      </c>
      <c r="C529" s="11" t="s">
        <v>1515</v>
      </c>
      <c r="D529" s="11" t="s">
        <v>1515</v>
      </c>
      <c r="E529" s="11" t="s">
        <v>1062</v>
      </c>
      <c r="F529" s="11" t="s">
        <v>1801</v>
      </c>
      <c r="J529" s="11">
        <v>8.77590465545654</v>
      </c>
      <c r="K529" s="11">
        <v>24.9172649383544</v>
      </c>
      <c r="L529" s="11" t="s">
        <v>1515</v>
      </c>
      <c r="M529" s="11" t="s">
        <v>1515</v>
      </c>
      <c r="N529" s="11" t="s">
        <v>1062</v>
      </c>
      <c r="O529" s="11" t="s">
        <v>1801</v>
      </c>
    </row>
    <row r="530">
      <c r="A530" s="11">
        <v>22.2228889465332</v>
      </c>
      <c r="B530" s="11">
        <v>46.8684005737304</v>
      </c>
      <c r="C530" s="11" t="s">
        <v>1515</v>
      </c>
      <c r="D530" s="11" t="s">
        <v>1515</v>
      </c>
      <c r="E530" s="11" t="s">
        <v>1062</v>
      </c>
      <c r="F530" s="11" t="s">
        <v>1804</v>
      </c>
      <c r="J530" s="11">
        <v>8.95930576324462</v>
      </c>
      <c r="K530" s="11">
        <v>13.3465948104858</v>
      </c>
      <c r="L530" s="11" t="s">
        <v>1515</v>
      </c>
      <c r="M530" s="11" t="s">
        <v>1515</v>
      </c>
      <c r="N530" s="11" t="s">
        <v>1062</v>
      </c>
      <c r="O530" s="11" t="s">
        <v>1804</v>
      </c>
    </row>
    <row r="531">
      <c r="A531" s="11">
        <v>-3.0835371017456</v>
      </c>
      <c r="B531" s="11">
        <v>-68.461441040039</v>
      </c>
      <c r="C531" s="11" t="s">
        <v>1515</v>
      </c>
      <c r="D531" s="11" t="s">
        <v>1515</v>
      </c>
      <c r="E531" s="11" t="s">
        <v>1062</v>
      </c>
      <c r="F531" s="11" t="s">
        <v>1806</v>
      </c>
      <c r="J531" s="11">
        <v>7.31992292404174</v>
      </c>
      <c r="K531" s="11">
        <v>32.9660377502441</v>
      </c>
      <c r="L531" s="11" t="s">
        <v>1515</v>
      </c>
      <c r="M531" s="11" t="s">
        <v>1515</v>
      </c>
      <c r="N531" s="11" t="s">
        <v>1062</v>
      </c>
      <c r="O531" s="11" t="s">
        <v>1806</v>
      </c>
    </row>
    <row r="532">
      <c r="A532" s="11">
        <v>-58.4642791748046</v>
      </c>
      <c r="B532" s="11">
        <v>15.7913255691528</v>
      </c>
      <c r="C532" s="11" t="s">
        <v>1515</v>
      </c>
      <c r="D532" s="11" t="s">
        <v>1515</v>
      </c>
      <c r="E532" s="11" t="s">
        <v>1062</v>
      </c>
      <c r="F532" s="11" t="s">
        <v>1808</v>
      </c>
      <c r="J532" s="11">
        <v>52.4980316162109</v>
      </c>
      <c r="K532" s="11">
        <v>6.45154285430908</v>
      </c>
      <c r="L532" s="11" t="s">
        <v>1515</v>
      </c>
      <c r="M532" s="11" t="s">
        <v>1515</v>
      </c>
      <c r="N532" s="11" t="s">
        <v>1062</v>
      </c>
      <c r="O532" s="11" t="s">
        <v>1808</v>
      </c>
    </row>
    <row r="533">
      <c r="A533" s="11">
        <v>-8.36306095123291</v>
      </c>
      <c r="B533" s="11">
        <v>24.9885330200195</v>
      </c>
      <c r="C533" s="11" t="s">
        <v>1515</v>
      </c>
      <c r="D533" s="11" t="s">
        <v>1515</v>
      </c>
      <c r="E533" s="11" t="s">
        <v>1062</v>
      </c>
      <c r="F533" s="11" t="s">
        <v>1810</v>
      </c>
      <c r="J533" s="11">
        <v>21.7409992218017</v>
      </c>
      <c r="K533" s="11">
        <v>15.6986207962036</v>
      </c>
      <c r="L533" s="11" t="s">
        <v>1515</v>
      </c>
      <c r="M533" s="11" t="s">
        <v>1515</v>
      </c>
      <c r="N533" s="11" t="s">
        <v>1062</v>
      </c>
      <c r="O533" s="11" t="s">
        <v>1810</v>
      </c>
    </row>
    <row r="534">
      <c r="A534" s="11">
        <v>-39.399559020996</v>
      </c>
      <c r="B534" s="11">
        <v>54.8007125854492</v>
      </c>
      <c r="C534" s="11" t="s">
        <v>1515</v>
      </c>
      <c r="D534" s="11" t="s">
        <v>1515</v>
      </c>
      <c r="E534" s="11" t="s">
        <v>1062</v>
      </c>
      <c r="F534" s="11" t="s">
        <v>1812</v>
      </c>
      <c r="J534" s="11">
        <v>28.0953330993652</v>
      </c>
      <c r="K534" s="11">
        <v>9.44862174987793</v>
      </c>
      <c r="L534" s="11" t="s">
        <v>1515</v>
      </c>
      <c r="M534" s="11" t="s">
        <v>1515</v>
      </c>
      <c r="N534" s="11" t="s">
        <v>1062</v>
      </c>
      <c r="O534" s="11" t="s">
        <v>1812</v>
      </c>
    </row>
    <row r="535">
      <c r="A535" s="11">
        <v>-11.6085739135742</v>
      </c>
      <c r="B535" s="11">
        <v>12.195442199707</v>
      </c>
      <c r="C535" s="11" t="s">
        <v>1515</v>
      </c>
      <c r="D535" s="11" t="s">
        <v>1515</v>
      </c>
      <c r="E535" s="11" t="s">
        <v>1062</v>
      </c>
      <c r="F535" s="11" t="s">
        <v>1814</v>
      </c>
      <c r="J535" s="11">
        <v>29.2748203277587</v>
      </c>
      <c r="K535" s="11">
        <v>-13.3977642059326</v>
      </c>
      <c r="L535" s="11" t="s">
        <v>1515</v>
      </c>
      <c r="M535" s="11" t="s">
        <v>1515</v>
      </c>
      <c r="N535" s="11" t="s">
        <v>1062</v>
      </c>
      <c r="O535" s="11" t="s">
        <v>1814</v>
      </c>
    </row>
    <row r="536">
      <c r="A536" s="11">
        <v>-23.8613758087158</v>
      </c>
      <c r="B536" s="11">
        <v>-9.30349159240722</v>
      </c>
      <c r="C536" s="11" t="s">
        <v>1515</v>
      </c>
      <c r="D536" s="11" t="s">
        <v>1515</v>
      </c>
      <c r="E536" s="11" t="s">
        <v>1062</v>
      </c>
      <c r="F536" s="11" t="s">
        <v>1816</v>
      </c>
      <c r="J536" s="11">
        <v>8.68363571166992</v>
      </c>
      <c r="K536" s="11">
        <v>43.725959777832</v>
      </c>
      <c r="L536" s="11" t="s">
        <v>1515</v>
      </c>
      <c r="M536" s="11" t="s">
        <v>1515</v>
      </c>
      <c r="N536" s="11" t="s">
        <v>1062</v>
      </c>
      <c r="O536" s="11" t="s">
        <v>1816</v>
      </c>
    </row>
    <row r="537">
      <c r="A537" s="11">
        <v>-12.5891351699829</v>
      </c>
      <c r="B537" s="11">
        <v>74.83935546875</v>
      </c>
      <c r="C537" s="11" t="s">
        <v>1515</v>
      </c>
      <c r="D537" s="11" t="s">
        <v>1515</v>
      </c>
      <c r="E537" s="11" t="s">
        <v>1062</v>
      </c>
      <c r="F537" s="11" t="s">
        <v>1818</v>
      </c>
      <c r="J537" s="11">
        <v>29.2172012329101</v>
      </c>
      <c r="K537" s="11">
        <v>35.3181076049804</v>
      </c>
      <c r="L537" s="11" t="s">
        <v>1515</v>
      </c>
      <c r="M537" s="11" t="s">
        <v>1515</v>
      </c>
      <c r="N537" s="11" t="s">
        <v>1062</v>
      </c>
      <c r="O537" s="11" t="s">
        <v>1818</v>
      </c>
    </row>
    <row r="538">
      <c r="A538" s="11">
        <v>30.696548461914</v>
      </c>
      <c r="B538" s="11">
        <v>2.94176864624023</v>
      </c>
      <c r="C538" s="11" t="s">
        <v>1515</v>
      </c>
      <c r="D538" s="11" t="s">
        <v>1515</v>
      </c>
      <c r="E538" s="11" t="s">
        <v>1062</v>
      </c>
      <c r="F538" s="11" t="s">
        <v>1820</v>
      </c>
      <c r="J538" s="11">
        <v>10.9470796585083</v>
      </c>
      <c r="K538" s="11">
        <v>52.1707611083984</v>
      </c>
      <c r="L538" s="11" t="s">
        <v>1515</v>
      </c>
      <c r="M538" s="11" t="s">
        <v>1515</v>
      </c>
      <c r="N538" s="11" t="s">
        <v>1062</v>
      </c>
      <c r="O538" s="11" t="s">
        <v>1820</v>
      </c>
    </row>
    <row r="539">
      <c r="A539" s="11">
        <v>58.732307434082</v>
      </c>
      <c r="B539" s="11">
        <v>1.2651925086975</v>
      </c>
      <c r="C539" s="11" t="s">
        <v>1515</v>
      </c>
      <c r="D539" s="11" t="s">
        <v>1515</v>
      </c>
      <c r="E539" s="11" t="s">
        <v>1062</v>
      </c>
      <c r="F539" s="11" t="s">
        <v>1822</v>
      </c>
      <c r="J539" s="11">
        <v>-2.15017986297607</v>
      </c>
      <c r="K539" s="11">
        <v>56.3093719482421</v>
      </c>
      <c r="L539" s="11" t="s">
        <v>1515</v>
      </c>
      <c r="M539" s="11" t="s">
        <v>1515</v>
      </c>
      <c r="N539" s="11" t="s">
        <v>1062</v>
      </c>
      <c r="O539" s="11" t="s">
        <v>1822</v>
      </c>
    </row>
    <row r="540">
      <c r="A540" s="11">
        <v>-17.9013023376464</v>
      </c>
      <c r="B540" s="11">
        <v>5.77582645416259</v>
      </c>
      <c r="C540" s="11" t="s">
        <v>1515</v>
      </c>
      <c r="D540" s="11" t="s">
        <v>1515</v>
      </c>
      <c r="E540" s="11" t="s">
        <v>1062</v>
      </c>
      <c r="F540" s="11" t="s">
        <v>1824</v>
      </c>
      <c r="J540" s="11">
        <v>31.087007522583</v>
      </c>
      <c r="K540" s="11">
        <v>27.5284442901611</v>
      </c>
      <c r="L540" s="11" t="s">
        <v>1515</v>
      </c>
      <c r="M540" s="11" t="s">
        <v>1515</v>
      </c>
      <c r="N540" s="11" t="s">
        <v>1062</v>
      </c>
      <c r="O540" s="11" t="s">
        <v>1824</v>
      </c>
    </row>
    <row r="541">
      <c r="A541" s="11">
        <v>-43.7268638610839</v>
      </c>
      <c r="B541" s="11">
        <v>24.6864376068115</v>
      </c>
      <c r="C541" s="11" t="s">
        <v>1515</v>
      </c>
      <c r="D541" s="11" t="s">
        <v>1515</v>
      </c>
      <c r="E541" s="11" t="s">
        <v>1062</v>
      </c>
      <c r="F541" s="11" t="s">
        <v>1826</v>
      </c>
      <c r="J541" s="11">
        <v>46.6745071411132</v>
      </c>
      <c r="K541" s="11">
        <v>-8.58769512176513</v>
      </c>
      <c r="L541" s="11" t="s">
        <v>1515</v>
      </c>
      <c r="M541" s="11" t="s">
        <v>1515</v>
      </c>
      <c r="N541" s="11" t="s">
        <v>1062</v>
      </c>
      <c r="O541" s="11" t="s">
        <v>1826</v>
      </c>
    </row>
    <row r="542">
      <c r="A542" s="11">
        <v>-41.2182006835937</v>
      </c>
      <c r="B542" s="11">
        <v>38.7623405456543</v>
      </c>
      <c r="C542" s="11" t="s">
        <v>1515</v>
      </c>
      <c r="D542" s="11" t="s">
        <v>1515</v>
      </c>
      <c r="E542" s="11" t="s">
        <v>1062</v>
      </c>
      <c r="F542" s="11" t="s">
        <v>1828</v>
      </c>
      <c r="J542" s="11">
        <v>43.9509582519531</v>
      </c>
      <c r="K542" s="11">
        <v>-18.3346614837646</v>
      </c>
      <c r="L542" s="11" t="s">
        <v>1515</v>
      </c>
      <c r="M542" s="11" t="s">
        <v>1515</v>
      </c>
      <c r="N542" s="11" t="s">
        <v>1062</v>
      </c>
      <c r="O542" s="11" t="s">
        <v>1828</v>
      </c>
    </row>
    <row r="543">
      <c r="A543" s="11">
        <v>55.4553756713867</v>
      </c>
      <c r="B543" s="11">
        <v>32.6964645385742</v>
      </c>
      <c r="C543" s="11" t="s">
        <v>1515</v>
      </c>
      <c r="D543" s="11" t="s">
        <v>1515</v>
      </c>
      <c r="E543" s="11" t="s">
        <v>1062</v>
      </c>
      <c r="F543" s="11" t="s">
        <v>1830</v>
      </c>
      <c r="J543" s="11">
        <v>-0.0589460842311382</v>
      </c>
      <c r="K543" s="11">
        <v>42.8103256225585</v>
      </c>
      <c r="L543" s="11" t="s">
        <v>1515</v>
      </c>
      <c r="M543" s="11" t="s">
        <v>1515</v>
      </c>
      <c r="N543" s="11" t="s">
        <v>1062</v>
      </c>
      <c r="O543" s="11" t="s">
        <v>1830</v>
      </c>
    </row>
    <row r="544">
      <c r="A544" s="11">
        <v>-30.906940460205</v>
      </c>
      <c r="B544" s="11">
        <v>9.29588317871093</v>
      </c>
      <c r="C544" s="11" t="s">
        <v>1515</v>
      </c>
      <c r="D544" s="11" t="s">
        <v>1515</v>
      </c>
      <c r="E544" s="11" t="s">
        <v>1062</v>
      </c>
      <c r="F544" s="11" t="s">
        <v>1832</v>
      </c>
      <c r="J544" s="11">
        <v>4.56836175918579</v>
      </c>
      <c r="K544" s="11">
        <v>21.6218948364257</v>
      </c>
      <c r="L544" s="11" t="s">
        <v>1515</v>
      </c>
      <c r="M544" s="11" t="s">
        <v>1515</v>
      </c>
      <c r="N544" s="11" t="s">
        <v>1062</v>
      </c>
      <c r="O544" s="11" t="s">
        <v>1832</v>
      </c>
    </row>
    <row r="545">
      <c r="A545" s="11">
        <v>-45.1018905639648</v>
      </c>
      <c r="B545" s="11">
        <v>40.8414077758789</v>
      </c>
      <c r="C545" s="11" t="s">
        <v>1515</v>
      </c>
      <c r="D545" s="11" t="s">
        <v>1515</v>
      </c>
      <c r="E545" s="11" t="s">
        <v>1062</v>
      </c>
      <c r="F545" s="11" t="s">
        <v>1834</v>
      </c>
      <c r="J545" s="11">
        <v>12.3978624343872</v>
      </c>
      <c r="K545" s="11">
        <v>40.3947143554687</v>
      </c>
      <c r="L545" s="11" t="s">
        <v>1515</v>
      </c>
      <c r="M545" s="11" t="s">
        <v>1515</v>
      </c>
      <c r="N545" s="11" t="s">
        <v>1062</v>
      </c>
      <c r="O545" s="11" t="s">
        <v>1834</v>
      </c>
    </row>
    <row r="546">
      <c r="A546" s="11">
        <v>1.35980093479156</v>
      </c>
      <c r="B546" s="11">
        <v>-2.95593333244323</v>
      </c>
      <c r="C546" s="11" t="s">
        <v>1515</v>
      </c>
      <c r="D546" s="11" t="s">
        <v>1515</v>
      </c>
      <c r="E546" s="11" t="s">
        <v>1062</v>
      </c>
      <c r="F546" s="11" t="s">
        <v>1836</v>
      </c>
      <c r="J546" s="11">
        <v>10.603006362915</v>
      </c>
      <c r="K546" s="11">
        <v>35.1726608276367</v>
      </c>
      <c r="L546" s="11" t="s">
        <v>1515</v>
      </c>
      <c r="M546" s="11" t="s">
        <v>1515</v>
      </c>
      <c r="N546" s="11" t="s">
        <v>1062</v>
      </c>
      <c r="O546" s="11" t="s">
        <v>1836</v>
      </c>
    </row>
    <row r="547">
      <c r="A547" s="11">
        <v>-45.6397132873535</v>
      </c>
      <c r="B547" s="11">
        <v>45.9593811035156</v>
      </c>
      <c r="C547" s="11" t="s">
        <v>1515</v>
      </c>
      <c r="D547" s="11" t="s">
        <v>1515</v>
      </c>
      <c r="E547" s="11" t="s">
        <v>1062</v>
      </c>
      <c r="F547" s="11" t="s">
        <v>1838</v>
      </c>
      <c r="J547" s="11">
        <v>40.824649810791</v>
      </c>
      <c r="K547" s="11">
        <v>20.0438022613525</v>
      </c>
      <c r="L547" s="11" t="s">
        <v>1515</v>
      </c>
      <c r="M547" s="11" t="s">
        <v>1515</v>
      </c>
      <c r="N547" s="11" t="s">
        <v>1062</v>
      </c>
      <c r="O547" s="11" t="s">
        <v>1838</v>
      </c>
    </row>
    <row r="548">
      <c r="A548" s="11">
        <v>22.2253322601318</v>
      </c>
      <c r="B548" s="11">
        <v>46.8701057434082</v>
      </c>
      <c r="C548" s="11" t="s">
        <v>1515</v>
      </c>
      <c r="D548" s="11" t="s">
        <v>1515</v>
      </c>
      <c r="E548" s="11" t="s">
        <v>1062</v>
      </c>
      <c r="F548" s="11" t="s">
        <v>1840</v>
      </c>
      <c r="J548" s="11">
        <v>8.97939300537109</v>
      </c>
      <c r="K548" s="11">
        <v>13.3330764770507</v>
      </c>
      <c r="L548" s="11" t="s">
        <v>1515</v>
      </c>
      <c r="M548" s="11" t="s">
        <v>1515</v>
      </c>
      <c r="N548" s="11" t="s">
        <v>1062</v>
      </c>
      <c r="O548" s="11" t="s">
        <v>1840</v>
      </c>
    </row>
    <row r="549">
      <c r="A549" s="11">
        <v>21.584150314331</v>
      </c>
      <c r="B549" s="11">
        <v>-1.05848693847656</v>
      </c>
      <c r="C549" s="11" t="s">
        <v>1515</v>
      </c>
      <c r="D549" s="11" t="s">
        <v>1515</v>
      </c>
      <c r="E549" s="11" t="s">
        <v>1062</v>
      </c>
      <c r="F549" s="11" t="s">
        <v>1843</v>
      </c>
      <c r="J549" s="11">
        <v>32.8875541687011</v>
      </c>
      <c r="K549" s="11">
        <v>37.4347038269043</v>
      </c>
      <c r="L549" s="11" t="s">
        <v>1515</v>
      </c>
      <c r="M549" s="11" t="s">
        <v>1515</v>
      </c>
      <c r="N549" s="11" t="s">
        <v>1062</v>
      </c>
      <c r="O549" s="11" t="s">
        <v>1843</v>
      </c>
    </row>
    <row r="550">
      <c r="A550" s="11">
        <v>31.5937576293945</v>
      </c>
      <c r="B550" s="11">
        <v>43.0568466186523</v>
      </c>
      <c r="C550" s="11" t="s">
        <v>1515</v>
      </c>
      <c r="D550" s="11" t="s">
        <v>1515</v>
      </c>
      <c r="E550" s="11" t="s">
        <v>1062</v>
      </c>
      <c r="F550" s="11" t="s">
        <v>1845</v>
      </c>
      <c r="J550" s="11">
        <v>22.4454631805419</v>
      </c>
      <c r="K550" s="11">
        <v>37.9455604553222</v>
      </c>
      <c r="L550" s="11" t="s">
        <v>1515</v>
      </c>
      <c r="M550" s="11" t="s">
        <v>1515</v>
      </c>
      <c r="N550" s="11" t="s">
        <v>1062</v>
      </c>
      <c r="O550" s="11" t="s">
        <v>1845</v>
      </c>
    </row>
    <row r="551">
      <c r="A551" s="11">
        <v>-7.81317424774169</v>
      </c>
      <c r="B551" s="11">
        <v>9.06727313995361</v>
      </c>
      <c r="C551" s="11" t="s">
        <v>1515</v>
      </c>
      <c r="D551" s="11" t="s">
        <v>1515</v>
      </c>
      <c r="E551" s="11" t="s">
        <v>1062</v>
      </c>
      <c r="F551" s="11" t="s">
        <v>1848</v>
      </c>
      <c r="J551" s="11">
        <v>-0.901117205619812</v>
      </c>
      <c r="K551" s="11">
        <v>52.9238700866699</v>
      </c>
      <c r="L551" s="11" t="s">
        <v>1515</v>
      </c>
      <c r="M551" s="11" t="s">
        <v>1515</v>
      </c>
      <c r="N551" s="11" t="s">
        <v>1062</v>
      </c>
      <c r="O551" s="11" t="s">
        <v>1848</v>
      </c>
    </row>
    <row r="552">
      <c r="A552" s="11">
        <v>-13.8073434829711</v>
      </c>
      <c r="B552" s="11">
        <v>14.0199766159057</v>
      </c>
      <c r="C552" s="11" t="s">
        <v>1515</v>
      </c>
      <c r="D552" s="11" t="s">
        <v>1515</v>
      </c>
      <c r="E552" s="11" t="s">
        <v>1062</v>
      </c>
      <c r="F552" s="11" t="s">
        <v>1850</v>
      </c>
      <c r="J552" s="11">
        <v>52.4714050292968</v>
      </c>
      <c r="K552" s="11">
        <v>-19.003189086914</v>
      </c>
      <c r="L552" s="11" t="s">
        <v>1515</v>
      </c>
      <c r="M552" s="11" t="s">
        <v>1515</v>
      </c>
      <c r="N552" s="11" t="s">
        <v>1062</v>
      </c>
      <c r="O552" s="11" t="s">
        <v>1850</v>
      </c>
    </row>
    <row r="553">
      <c r="A553" s="11">
        <v>-25.7076053619384</v>
      </c>
      <c r="B553" s="11">
        <v>2.11206912994384</v>
      </c>
      <c r="C553" s="11" t="s">
        <v>1515</v>
      </c>
      <c r="D553" s="11" t="s">
        <v>1515</v>
      </c>
      <c r="E553" s="11" t="s">
        <v>1062</v>
      </c>
      <c r="F553" s="11" t="s">
        <v>1853</v>
      </c>
      <c r="J553" s="11">
        <v>29.610179901123</v>
      </c>
      <c r="K553" s="11">
        <v>22.6865444183349</v>
      </c>
      <c r="L553" s="11" t="s">
        <v>1515</v>
      </c>
      <c r="M553" s="11" t="s">
        <v>1515</v>
      </c>
      <c r="N553" s="11" t="s">
        <v>1062</v>
      </c>
      <c r="O553" s="11" t="s">
        <v>1853</v>
      </c>
    </row>
    <row r="554">
      <c r="A554" s="11">
        <v>-45.6397132873535</v>
      </c>
      <c r="B554" s="11">
        <v>45.9593811035156</v>
      </c>
      <c r="C554" s="11" t="s">
        <v>1515</v>
      </c>
      <c r="D554" s="11" t="s">
        <v>1515</v>
      </c>
      <c r="E554" s="11" t="s">
        <v>1062</v>
      </c>
      <c r="F554" s="11" t="s">
        <v>1856</v>
      </c>
      <c r="J554" s="11">
        <v>40.824649810791</v>
      </c>
      <c r="K554" s="11">
        <v>20.0438022613525</v>
      </c>
      <c r="L554" s="11" t="s">
        <v>1515</v>
      </c>
      <c r="M554" s="11" t="s">
        <v>1515</v>
      </c>
      <c r="N554" s="11" t="s">
        <v>1062</v>
      </c>
      <c r="O554" s="11" t="s">
        <v>1856</v>
      </c>
    </row>
    <row r="555">
      <c r="A555" s="11">
        <v>-31.4718742370605</v>
      </c>
      <c r="B555" s="11">
        <v>9.68708133697509</v>
      </c>
      <c r="C555" s="11" t="s">
        <v>1515</v>
      </c>
      <c r="D555" s="11" t="s">
        <v>1515</v>
      </c>
      <c r="E555" s="11" t="s">
        <v>1062</v>
      </c>
      <c r="F555" s="11" t="s">
        <v>1858</v>
      </c>
      <c r="J555" s="11">
        <v>4.81643962860107</v>
      </c>
      <c r="K555" s="11">
        <v>21.3841304779052</v>
      </c>
      <c r="L555" s="11" t="s">
        <v>1515</v>
      </c>
      <c r="M555" s="11" t="s">
        <v>1515</v>
      </c>
      <c r="N555" s="11" t="s">
        <v>1062</v>
      </c>
      <c r="O555" s="11" t="s">
        <v>1858</v>
      </c>
    </row>
    <row r="556">
      <c r="A556" s="11">
        <v>-41.7788200378418</v>
      </c>
      <c r="B556" s="11">
        <v>38.5900650024414</v>
      </c>
      <c r="C556" s="11" t="s">
        <v>1515</v>
      </c>
      <c r="D556" s="11" t="s">
        <v>1515</v>
      </c>
      <c r="E556" s="11" t="s">
        <v>1062</v>
      </c>
      <c r="F556" s="11" t="s">
        <v>1860</v>
      </c>
      <c r="J556" s="11">
        <v>44.1870880126953</v>
      </c>
      <c r="K556" s="11">
        <v>-18.3662681579589</v>
      </c>
      <c r="L556" s="11" t="s">
        <v>1515</v>
      </c>
      <c r="M556" s="11" t="s">
        <v>1515</v>
      </c>
      <c r="N556" s="11" t="s">
        <v>1062</v>
      </c>
      <c r="O556" s="11" t="s">
        <v>1860</v>
      </c>
    </row>
    <row r="557">
      <c r="A557" s="11">
        <v>-26.1449012756347</v>
      </c>
      <c r="B557" s="11">
        <v>-3.23798990249633</v>
      </c>
      <c r="C557" s="11" t="s">
        <v>1515</v>
      </c>
      <c r="D557" s="11" t="s">
        <v>1515</v>
      </c>
      <c r="E557" s="11" t="s">
        <v>1062</v>
      </c>
      <c r="F557" s="11" t="s">
        <v>1862</v>
      </c>
      <c r="J557" s="11">
        <v>32.8713760375976</v>
      </c>
      <c r="K557" s="11">
        <v>31.3702583312988</v>
      </c>
      <c r="L557" s="11" t="s">
        <v>1515</v>
      </c>
      <c r="M557" s="11" t="s">
        <v>1515</v>
      </c>
      <c r="N557" s="11" t="s">
        <v>1062</v>
      </c>
      <c r="O557" s="11" t="s">
        <v>1862</v>
      </c>
    </row>
    <row r="558">
      <c r="A558" s="11">
        <v>31.1678752899169</v>
      </c>
      <c r="B558" s="11">
        <v>42.5666580200195</v>
      </c>
      <c r="C558" s="11" t="s">
        <v>1515</v>
      </c>
      <c r="D558" s="11" t="s">
        <v>1515</v>
      </c>
      <c r="E558" s="11" t="s">
        <v>1062</v>
      </c>
      <c r="F558" s="11" t="s">
        <v>1864</v>
      </c>
      <c r="J558" s="11">
        <v>22.8880043029785</v>
      </c>
      <c r="K558" s="11">
        <v>38.5286331176757</v>
      </c>
      <c r="L558" s="11" t="s">
        <v>1515</v>
      </c>
      <c r="M558" s="11" t="s">
        <v>1515</v>
      </c>
      <c r="N558" s="11" t="s">
        <v>1062</v>
      </c>
      <c r="O558" s="11" t="s">
        <v>1864</v>
      </c>
    </row>
    <row r="559">
      <c r="A559" s="11">
        <v>-1.97696912288665</v>
      </c>
      <c r="B559" s="11">
        <v>71.9860000610351</v>
      </c>
      <c r="C559" s="11" t="s">
        <v>1515</v>
      </c>
      <c r="D559" s="11" t="s">
        <v>1515</v>
      </c>
      <c r="E559" s="11" t="s">
        <v>1062</v>
      </c>
      <c r="F559" s="11" t="s">
        <v>1866</v>
      </c>
      <c r="J559" s="11">
        <v>11.1508207321167</v>
      </c>
      <c r="K559" s="11">
        <v>42.5181350708007</v>
      </c>
      <c r="L559" s="11" t="s">
        <v>1515</v>
      </c>
      <c r="M559" s="11" t="s">
        <v>1515</v>
      </c>
      <c r="N559" s="11" t="s">
        <v>1062</v>
      </c>
      <c r="O559" s="11" t="s">
        <v>1866</v>
      </c>
    </row>
    <row r="560">
      <c r="A560" s="11">
        <v>-30.4231090545654</v>
      </c>
      <c r="B560" s="11">
        <v>23.5670471191406</v>
      </c>
      <c r="C560" s="11" t="s">
        <v>1515</v>
      </c>
      <c r="D560" s="11" t="s">
        <v>1515</v>
      </c>
      <c r="E560" s="11" t="s">
        <v>1062</v>
      </c>
      <c r="F560" s="11" t="s">
        <v>1868</v>
      </c>
      <c r="J560" s="11">
        <v>18.2774658203125</v>
      </c>
      <c r="K560" s="11">
        <v>35.8999633789062</v>
      </c>
      <c r="L560" s="11" t="s">
        <v>1515</v>
      </c>
      <c r="M560" s="11" t="s">
        <v>1515</v>
      </c>
      <c r="N560" s="11" t="s">
        <v>1062</v>
      </c>
      <c r="O560" s="11" t="s">
        <v>1868</v>
      </c>
    </row>
    <row r="561">
      <c r="A561" s="11">
        <v>-50.9841346740722</v>
      </c>
      <c r="B561" s="11">
        <v>31.6128063201904</v>
      </c>
      <c r="C561" s="11" t="s">
        <v>1515</v>
      </c>
      <c r="D561" s="11" t="s">
        <v>1515</v>
      </c>
      <c r="E561" s="11" t="s">
        <v>1062</v>
      </c>
      <c r="F561" s="11" t="s">
        <v>1870</v>
      </c>
      <c r="J561" s="11">
        <v>36.8269386291503</v>
      </c>
      <c r="K561" s="11">
        <v>12.9441127777099</v>
      </c>
      <c r="L561" s="11" t="s">
        <v>1515</v>
      </c>
      <c r="M561" s="11" t="s">
        <v>1515</v>
      </c>
      <c r="N561" s="11" t="s">
        <v>1062</v>
      </c>
      <c r="O561" s="11" t="s">
        <v>1870</v>
      </c>
    </row>
    <row r="562">
      <c r="A562" s="11">
        <v>-37.6629028320312</v>
      </c>
      <c r="B562" s="11">
        <v>7.31833171844482</v>
      </c>
      <c r="C562" s="11" t="s">
        <v>1515</v>
      </c>
      <c r="D562" s="11" t="s">
        <v>1515</v>
      </c>
      <c r="E562" s="11" t="s">
        <v>1062</v>
      </c>
      <c r="F562" s="11" t="s">
        <v>1872</v>
      </c>
      <c r="J562" s="11">
        <v>13.6188106536865</v>
      </c>
      <c r="K562" s="11">
        <v>31.7190647125244</v>
      </c>
      <c r="L562" s="11" t="s">
        <v>1515</v>
      </c>
      <c r="M562" s="11" t="s">
        <v>1515</v>
      </c>
      <c r="N562" s="11" t="s">
        <v>1062</v>
      </c>
      <c r="O562" s="11" t="s">
        <v>1872</v>
      </c>
    </row>
    <row r="563">
      <c r="A563" s="11">
        <v>-39.2254486083984</v>
      </c>
      <c r="B563" s="11">
        <v>55.638069152832</v>
      </c>
      <c r="C563" s="11" t="s">
        <v>1515</v>
      </c>
      <c r="D563" s="11" t="s">
        <v>1515</v>
      </c>
      <c r="E563" s="11" t="s">
        <v>1062</v>
      </c>
      <c r="F563" s="11" t="s">
        <v>1875</v>
      </c>
      <c r="J563" s="11">
        <v>28.5187149047851</v>
      </c>
      <c r="K563" s="11">
        <v>9.49070453643798</v>
      </c>
      <c r="L563" s="11" t="s">
        <v>1515</v>
      </c>
      <c r="M563" s="11" t="s">
        <v>1515</v>
      </c>
      <c r="N563" s="11" t="s">
        <v>1062</v>
      </c>
      <c r="O563" s="11" t="s">
        <v>1875</v>
      </c>
    </row>
    <row r="564">
      <c r="A564" s="11">
        <v>35.6551780700683</v>
      </c>
      <c r="B564" s="11">
        <v>2.36127400398254</v>
      </c>
      <c r="C564" s="11" t="s">
        <v>1515</v>
      </c>
      <c r="D564" s="11" t="s">
        <v>1515</v>
      </c>
      <c r="E564" s="11" t="s">
        <v>1062</v>
      </c>
      <c r="F564" s="11" t="s">
        <v>1877</v>
      </c>
      <c r="J564" s="11">
        <v>5.38116693496704</v>
      </c>
      <c r="K564" s="11">
        <v>54.3296203613281</v>
      </c>
      <c r="L564" s="11" t="s">
        <v>1515</v>
      </c>
      <c r="M564" s="11" t="s">
        <v>1515</v>
      </c>
      <c r="N564" s="11" t="s">
        <v>1062</v>
      </c>
      <c r="O564" s="11" t="s">
        <v>1877</v>
      </c>
    </row>
    <row r="565">
      <c r="A565" s="11">
        <v>-44.8536224365234</v>
      </c>
      <c r="B565" s="11">
        <v>16.3917179107666</v>
      </c>
      <c r="C565" s="11" t="s">
        <v>1515</v>
      </c>
      <c r="D565" s="11" t="s">
        <v>1515</v>
      </c>
      <c r="E565" s="11" t="s">
        <v>1062</v>
      </c>
      <c r="F565" s="11" t="s">
        <v>1881</v>
      </c>
      <c r="J565" s="11">
        <v>18.0227890014648</v>
      </c>
      <c r="K565" s="11">
        <v>29.9142417907714</v>
      </c>
      <c r="L565" s="11" t="s">
        <v>1515</v>
      </c>
      <c r="M565" s="11" t="s">
        <v>1515</v>
      </c>
      <c r="N565" s="11" t="s">
        <v>1062</v>
      </c>
      <c r="O565" s="11" t="s">
        <v>1881</v>
      </c>
    </row>
    <row r="566">
      <c r="A566" s="11">
        <v>27.7134342193603</v>
      </c>
      <c r="B566" s="11">
        <v>-2.52807450294494</v>
      </c>
      <c r="C566" s="11" t="s">
        <v>1515</v>
      </c>
      <c r="D566" s="11" t="s">
        <v>1515</v>
      </c>
      <c r="E566" s="11" t="s">
        <v>1062</v>
      </c>
      <c r="F566" s="11" t="s">
        <v>1883</v>
      </c>
      <c r="J566" s="11">
        <v>8.2317361831665</v>
      </c>
      <c r="K566" s="11">
        <v>55.9672393798828</v>
      </c>
      <c r="L566" s="11" t="s">
        <v>1515</v>
      </c>
      <c r="M566" s="11" t="s">
        <v>1515</v>
      </c>
      <c r="N566" s="11" t="s">
        <v>1062</v>
      </c>
      <c r="O566" s="11" t="s">
        <v>1883</v>
      </c>
    </row>
    <row r="567">
      <c r="A567" s="11">
        <v>46.1598358154296</v>
      </c>
      <c r="B567" s="11">
        <v>7.27063369750976</v>
      </c>
      <c r="C567" s="11" t="s">
        <v>1515</v>
      </c>
      <c r="D567" s="11" t="s">
        <v>1515</v>
      </c>
      <c r="E567" s="11" t="s">
        <v>1062</v>
      </c>
      <c r="F567" s="11" t="s">
        <v>1885</v>
      </c>
      <c r="J567" s="11">
        <v>25.9672870635986</v>
      </c>
      <c r="K567" s="11">
        <v>47.0166816711425</v>
      </c>
      <c r="L567" s="11" t="s">
        <v>1515</v>
      </c>
      <c r="M567" s="11" t="s">
        <v>1515</v>
      </c>
      <c r="N567" s="11" t="s">
        <v>1062</v>
      </c>
      <c r="O567" s="11" t="s">
        <v>1885</v>
      </c>
    </row>
    <row r="568">
      <c r="A568" s="11">
        <v>-24.0054874420166</v>
      </c>
      <c r="B568" s="11">
        <v>-10.0183219909667</v>
      </c>
      <c r="C568" s="11" t="s">
        <v>1515</v>
      </c>
      <c r="D568" s="11" t="s">
        <v>1515</v>
      </c>
      <c r="E568" s="11" t="s">
        <v>1062</v>
      </c>
      <c r="F568" s="11" t="s">
        <v>1887</v>
      </c>
      <c r="J568" s="11">
        <v>9.3088846206665</v>
      </c>
      <c r="K568" s="11">
        <v>44.5989074707031</v>
      </c>
      <c r="L568" s="11" t="s">
        <v>1515</v>
      </c>
      <c r="M568" s="11" t="s">
        <v>1515</v>
      </c>
      <c r="N568" s="11" t="s">
        <v>1062</v>
      </c>
      <c r="O568" s="11" t="s">
        <v>1887</v>
      </c>
    </row>
    <row r="569">
      <c r="A569" s="11">
        <v>-58.2743263244628</v>
      </c>
      <c r="B569" s="11">
        <v>14.2419967651367</v>
      </c>
      <c r="C569" s="11" t="s">
        <v>1515</v>
      </c>
      <c r="D569" s="11" t="s">
        <v>1515</v>
      </c>
      <c r="E569" s="11" t="s">
        <v>1062</v>
      </c>
      <c r="F569" s="11" t="s">
        <v>1889</v>
      </c>
      <c r="J569" s="11">
        <v>52.0507850646972</v>
      </c>
      <c r="K569" s="11">
        <v>5.38029384613037</v>
      </c>
      <c r="L569" s="11" t="s">
        <v>1515</v>
      </c>
      <c r="M569" s="11" t="s">
        <v>1515</v>
      </c>
      <c r="N569" s="11" t="s">
        <v>1062</v>
      </c>
      <c r="O569" s="11" t="s">
        <v>1889</v>
      </c>
    </row>
    <row r="570">
      <c r="A570" s="11">
        <v>-44.4927635192871</v>
      </c>
      <c r="B570" s="11">
        <v>38.8828620910644</v>
      </c>
      <c r="C570" s="11" t="s">
        <v>1515</v>
      </c>
      <c r="D570" s="11" t="s">
        <v>1515</v>
      </c>
      <c r="E570" s="11" t="s">
        <v>1062</v>
      </c>
      <c r="F570" s="11" t="s">
        <v>1891</v>
      </c>
      <c r="J570" s="11">
        <v>42.6388435363769</v>
      </c>
      <c r="K570" s="11">
        <v>-20.5574417114257</v>
      </c>
      <c r="L570" s="11" t="s">
        <v>1515</v>
      </c>
      <c r="M570" s="11" t="s">
        <v>1515</v>
      </c>
      <c r="N570" s="11" t="s">
        <v>1062</v>
      </c>
      <c r="O570" s="11" t="s">
        <v>1891</v>
      </c>
    </row>
    <row r="571">
      <c r="A571" s="11">
        <v>-6.52449560165405</v>
      </c>
      <c r="B571" s="11">
        <v>6.60632419586181</v>
      </c>
      <c r="C571" s="11" t="s">
        <v>1515</v>
      </c>
      <c r="D571" s="11" t="s">
        <v>1515</v>
      </c>
      <c r="E571" s="11" t="s">
        <v>1062</v>
      </c>
      <c r="F571" s="11" t="s">
        <v>1893</v>
      </c>
      <c r="J571" s="11">
        <v>28.3282737731933</v>
      </c>
      <c r="K571" s="11">
        <v>14.9709453582763</v>
      </c>
      <c r="L571" s="11" t="s">
        <v>1515</v>
      </c>
      <c r="M571" s="11" t="s">
        <v>1515</v>
      </c>
      <c r="N571" s="11" t="s">
        <v>1062</v>
      </c>
      <c r="O571" s="11" t="s">
        <v>1893</v>
      </c>
    </row>
    <row r="572">
      <c r="A572" s="11">
        <v>-49.2723922729492</v>
      </c>
      <c r="B572" s="11">
        <v>31.487735748291</v>
      </c>
      <c r="C572" s="11" t="s">
        <v>1515</v>
      </c>
      <c r="D572" s="11" t="s">
        <v>1515</v>
      </c>
      <c r="E572" s="11" t="s">
        <v>1062</v>
      </c>
      <c r="F572" s="11" t="s">
        <v>1895</v>
      </c>
      <c r="J572" s="11">
        <v>36.3976860046386</v>
      </c>
      <c r="K572" s="11">
        <v>12.4742546081542</v>
      </c>
      <c r="L572" s="11" t="s">
        <v>1515</v>
      </c>
      <c r="M572" s="11" t="s">
        <v>1515</v>
      </c>
      <c r="N572" s="11" t="s">
        <v>1062</v>
      </c>
      <c r="O572" s="11" t="s">
        <v>1895</v>
      </c>
    </row>
    <row r="573">
      <c r="A573" s="11">
        <v>-59.2298622131347</v>
      </c>
      <c r="B573" s="11">
        <v>29.0985240936279</v>
      </c>
      <c r="C573" s="11" t="s">
        <v>1515</v>
      </c>
      <c r="D573" s="11" t="s">
        <v>1515</v>
      </c>
      <c r="E573" s="11" t="s">
        <v>1062</v>
      </c>
      <c r="F573" s="11" t="s">
        <v>1897</v>
      </c>
      <c r="J573" s="11">
        <v>45.9854774475097</v>
      </c>
      <c r="K573" s="11">
        <v>18.6481533050537</v>
      </c>
      <c r="L573" s="11" t="s">
        <v>1515</v>
      </c>
      <c r="M573" s="11" t="s">
        <v>1515</v>
      </c>
      <c r="N573" s="11" t="s">
        <v>1062</v>
      </c>
      <c r="O573" s="11" t="s">
        <v>1897</v>
      </c>
    </row>
    <row r="574">
      <c r="A574" s="11">
        <v>-39.9092483520507</v>
      </c>
      <c r="B574" s="11">
        <v>27.0713214874267</v>
      </c>
      <c r="C574" s="11" t="s">
        <v>1515</v>
      </c>
      <c r="D574" s="11" t="s">
        <v>1515</v>
      </c>
      <c r="E574" s="11" t="s">
        <v>1062</v>
      </c>
      <c r="F574" s="11" t="s">
        <v>1899</v>
      </c>
      <c r="J574" s="11">
        <v>33.8682441711425</v>
      </c>
      <c r="K574" s="11">
        <v>19.8690395355224</v>
      </c>
      <c r="L574" s="11" t="s">
        <v>1515</v>
      </c>
      <c r="M574" s="11" t="s">
        <v>1515</v>
      </c>
      <c r="N574" s="11" t="s">
        <v>1062</v>
      </c>
      <c r="O574" s="11" t="s">
        <v>1899</v>
      </c>
    </row>
    <row r="575">
      <c r="A575" s="11">
        <v>-31.7932243347167</v>
      </c>
      <c r="B575" s="11">
        <v>15.8440227508544</v>
      </c>
      <c r="C575" s="11" t="s">
        <v>1515</v>
      </c>
      <c r="D575" s="11" t="s">
        <v>1515</v>
      </c>
      <c r="E575" s="11" t="s">
        <v>1062</v>
      </c>
      <c r="F575" s="11" t="s">
        <v>1901</v>
      </c>
      <c r="J575" s="11">
        <v>13.1135740280151</v>
      </c>
      <c r="K575" s="11">
        <v>49.5180931091308</v>
      </c>
      <c r="L575" s="11" t="s">
        <v>1515</v>
      </c>
      <c r="M575" s="11" t="s">
        <v>1515</v>
      </c>
      <c r="N575" s="11" t="s">
        <v>1062</v>
      </c>
      <c r="O575" s="11" t="s">
        <v>1901</v>
      </c>
    </row>
    <row r="576">
      <c r="A576" s="11">
        <v>-7.57890510559082</v>
      </c>
      <c r="B576" s="11">
        <v>2.24105191230773</v>
      </c>
      <c r="C576" s="11" t="s">
        <v>1515</v>
      </c>
      <c r="D576" s="11" t="s">
        <v>1515</v>
      </c>
      <c r="E576" s="11" t="s">
        <v>1062</v>
      </c>
      <c r="F576" s="11" t="s">
        <v>1903</v>
      </c>
      <c r="J576" s="11">
        <v>-6.33352661132812</v>
      </c>
      <c r="K576" s="11">
        <v>-10.5527544021606</v>
      </c>
      <c r="L576" s="11" t="s">
        <v>1515</v>
      </c>
      <c r="M576" s="11" t="s">
        <v>1515</v>
      </c>
      <c r="N576" s="11" t="s">
        <v>1062</v>
      </c>
      <c r="O576" s="11" t="s">
        <v>1903</v>
      </c>
    </row>
    <row r="577">
      <c r="A577" s="11">
        <v>-18.3338718414306</v>
      </c>
      <c r="B577" s="11">
        <v>-13.3796625137329</v>
      </c>
      <c r="C577" s="11" t="s">
        <v>1515</v>
      </c>
      <c r="D577" s="11" t="s">
        <v>1515</v>
      </c>
      <c r="E577" s="11" t="s">
        <v>1062</v>
      </c>
      <c r="F577" s="11" t="s">
        <v>1906</v>
      </c>
      <c r="J577" s="11">
        <v>59.120319366455</v>
      </c>
      <c r="K577" s="11">
        <v>-24.7676258087158</v>
      </c>
      <c r="L577" s="11" t="s">
        <v>1515</v>
      </c>
      <c r="M577" s="11" t="s">
        <v>1515</v>
      </c>
      <c r="N577" s="11" t="s">
        <v>1062</v>
      </c>
      <c r="O577" s="11" t="s">
        <v>1906</v>
      </c>
    </row>
    <row r="578">
      <c r="A578" s="11">
        <v>-7.10118246078491</v>
      </c>
      <c r="B578" s="11">
        <v>-3.59972786903381</v>
      </c>
      <c r="C578" s="11" t="s">
        <v>1515</v>
      </c>
      <c r="D578" s="11" t="s">
        <v>1515</v>
      </c>
      <c r="E578" s="11" t="s">
        <v>1062</v>
      </c>
      <c r="F578" s="11" t="s">
        <v>1908</v>
      </c>
      <c r="J578" s="11">
        <v>16.1719646453857</v>
      </c>
      <c r="K578" s="11">
        <v>65.6688156127929</v>
      </c>
      <c r="L578" s="11" t="s">
        <v>1515</v>
      </c>
      <c r="M578" s="11" t="s">
        <v>1515</v>
      </c>
      <c r="N578" s="11" t="s">
        <v>1062</v>
      </c>
      <c r="O578" s="11" t="s">
        <v>1908</v>
      </c>
    </row>
    <row r="579">
      <c r="A579" s="11">
        <v>-48.2210884094238</v>
      </c>
      <c r="B579" s="11">
        <v>48.9450149536132</v>
      </c>
      <c r="C579" s="11" t="s">
        <v>1515</v>
      </c>
      <c r="D579" s="11" t="s">
        <v>1515</v>
      </c>
      <c r="E579" s="11" t="s">
        <v>1062</v>
      </c>
      <c r="F579" s="11" t="s">
        <v>1909</v>
      </c>
      <c r="J579" s="11">
        <v>39.3156089782714</v>
      </c>
      <c r="K579" s="11">
        <v>17.3143482208251</v>
      </c>
      <c r="L579" s="11" t="s">
        <v>1515</v>
      </c>
      <c r="M579" s="11" t="s">
        <v>1515</v>
      </c>
      <c r="N579" s="11" t="s">
        <v>1062</v>
      </c>
      <c r="O579" s="11" t="s">
        <v>1909</v>
      </c>
    </row>
    <row r="580">
      <c r="A580" s="11">
        <v>-7.80917024612426</v>
      </c>
      <c r="B580" s="11">
        <v>2.72166943550109</v>
      </c>
      <c r="C580" s="11" t="s">
        <v>1515</v>
      </c>
      <c r="D580" s="11" t="s">
        <v>1515</v>
      </c>
      <c r="E580" s="11" t="s">
        <v>1062</v>
      </c>
      <c r="F580" s="11" t="s">
        <v>1912</v>
      </c>
      <c r="J580" s="11">
        <v>-6.34095001220703</v>
      </c>
      <c r="K580" s="11">
        <v>-10.2788028717041</v>
      </c>
      <c r="L580" s="11" t="s">
        <v>1515</v>
      </c>
      <c r="M580" s="11" t="s">
        <v>1515</v>
      </c>
      <c r="N580" s="11" t="s">
        <v>1062</v>
      </c>
      <c r="O580" s="11" t="s">
        <v>1912</v>
      </c>
    </row>
    <row r="581">
      <c r="A581" s="11">
        <v>-38.443302154541</v>
      </c>
      <c r="B581" s="11">
        <v>7.0627794265747</v>
      </c>
      <c r="C581" s="11" t="s">
        <v>1515</v>
      </c>
      <c r="D581" s="11" t="s">
        <v>1515</v>
      </c>
      <c r="E581" s="11" t="s">
        <v>1062</v>
      </c>
      <c r="F581" s="11" t="s">
        <v>1913</v>
      </c>
      <c r="J581" s="11">
        <v>13.6623954772949</v>
      </c>
      <c r="K581" s="11">
        <v>32.2924728393554</v>
      </c>
      <c r="L581" s="11" t="s">
        <v>1515</v>
      </c>
      <c r="M581" s="11" t="s">
        <v>1515</v>
      </c>
      <c r="N581" s="11" t="s">
        <v>1062</v>
      </c>
      <c r="O581" s="11" t="s">
        <v>1913</v>
      </c>
    </row>
    <row r="582">
      <c r="A582" s="11">
        <v>56.3890190124511</v>
      </c>
      <c r="B582" s="11">
        <v>-5.01975917816162</v>
      </c>
      <c r="C582" s="11" t="s">
        <v>1515</v>
      </c>
      <c r="D582" s="11" t="s">
        <v>1515</v>
      </c>
      <c r="E582" s="11" t="s">
        <v>1062</v>
      </c>
      <c r="F582" s="11" t="s">
        <v>1915</v>
      </c>
      <c r="J582" s="11">
        <v>1.51348948478698</v>
      </c>
      <c r="K582" s="11">
        <v>57.104866027832</v>
      </c>
      <c r="L582" s="11" t="s">
        <v>1515</v>
      </c>
      <c r="M582" s="11" t="s">
        <v>1515</v>
      </c>
      <c r="N582" s="11" t="s">
        <v>1062</v>
      </c>
      <c r="O582" s="11" t="s">
        <v>1915</v>
      </c>
    </row>
    <row r="583">
      <c r="A583" s="11">
        <v>-30.3089027404785</v>
      </c>
      <c r="B583" s="11">
        <v>9.6735553741455</v>
      </c>
      <c r="C583" s="11" t="s">
        <v>1515</v>
      </c>
      <c r="D583" s="11" t="s">
        <v>1515</v>
      </c>
      <c r="E583" s="11" t="s">
        <v>1062</v>
      </c>
      <c r="F583" s="11" t="s">
        <v>1917</v>
      </c>
      <c r="J583" s="11">
        <v>5.3508129119873</v>
      </c>
      <c r="K583" s="11">
        <v>21.9623107910156</v>
      </c>
      <c r="L583" s="11" t="s">
        <v>1515</v>
      </c>
      <c r="M583" s="11" t="s">
        <v>1515</v>
      </c>
      <c r="N583" s="11" t="s">
        <v>1062</v>
      </c>
      <c r="O583" s="11" t="s">
        <v>1917</v>
      </c>
    </row>
    <row r="584">
      <c r="A584" s="11">
        <v>-45.2838516235351</v>
      </c>
      <c r="B584" s="11">
        <v>46.3008155822753</v>
      </c>
      <c r="C584" s="11" t="s">
        <v>1515</v>
      </c>
      <c r="D584" s="11" t="s">
        <v>1515</v>
      </c>
      <c r="E584" s="11" t="s">
        <v>1062</v>
      </c>
      <c r="F584" s="11" t="s">
        <v>1919</v>
      </c>
      <c r="J584" s="11">
        <v>40.7740325927734</v>
      </c>
      <c r="K584" s="11">
        <v>20.0106468200683</v>
      </c>
      <c r="L584" s="11" t="s">
        <v>1515</v>
      </c>
      <c r="M584" s="11" t="s">
        <v>1515</v>
      </c>
      <c r="N584" s="11" t="s">
        <v>1062</v>
      </c>
      <c r="O584" s="11" t="s">
        <v>1919</v>
      </c>
    </row>
    <row r="585">
      <c r="A585" s="11">
        <v>-39.1312255859375</v>
      </c>
      <c r="B585" s="11">
        <v>35.0233421325683</v>
      </c>
      <c r="C585" s="11" t="s">
        <v>1515</v>
      </c>
      <c r="D585" s="11" t="s">
        <v>1515</v>
      </c>
      <c r="E585" s="11" t="s">
        <v>1062</v>
      </c>
      <c r="F585" s="11" t="s">
        <v>1921</v>
      </c>
      <c r="J585" s="11">
        <v>44.2033424377441</v>
      </c>
      <c r="K585" s="11">
        <v>-11.647006034851</v>
      </c>
      <c r="L585" s="11" t="s">
        <v>1515</v>
      </c>
      <c r="M585" s="11" t="s">
        <v>1515</v>
      </c>
      <c r="N585" s="11" t="s">
        <v>1062</v>
      </c>
      <c r="O585" s="11" t="s">
        <v>1921</v>
      </c>
    </row>
    <row r="586">
      <c r="A586" s="11">
        <v>-42.1483497619628</v>
      </c>
      <c r="B586" s="11">
        <v>37.7714614868164</v>
      </c>
      <c r="C586" s="11" t="s">
        <v>1515</v>
      </c>
      <c r="D586" s="11" t="s">
        <v>1515</v>
      </c>
      <c r="E586" s="11" t="s">
        <v>1062</v>
      </c>
      <c r="F586" s="11" t="s">
        <v>1923</v>
      </c>
      <c r="J586" s="11">
        <v>44.474193572998</v>
      </c>
      <c r="K586" s="11">
        <v>-18.8304042816162</v>
      </c>
      <c r="L586" s="11" t="s">
        <v>1515</v>
      </c>
      <c r="M586" s="11" t="s">
        <v>1515</v>
      </c>
      <c r="N586" s="11" t="s">
        <v>1062</v>
      </c>
      <c r="O586" s="11" t="s">
        <v>1923</v>
      </c>
    </row>
    <row r="587">
      <c r="A587" s="11">
        <v>-2.21882677078247</v>
      </c>
      <c r="B587" s="11">
        <v>3.21250224113464</v>
      </c>
      <c r="C587" s="11" t="s">
        <v>1515</v>
      </c>
      <c r="D587" s="11" t="s">
        <v>1515</v>
      </c>
      <c r="E587" s="11" t="s">
        <v>1062</v>
      </c>
      <c r="F587" s="11" t="s">
        <v>1926</v>
      </c>
      <c r="J587" s="11">
        <v>-5.73434591293335</v>
      </c>
      <c r="K587" s="11">
        <v>-14.0433206558227</v>
      </c>
      <c r="L587" s="11" t="s">
        <v>1515</v>
      </c>
      <c r="M587" s="11" t="s">
        <v>1515</v>
      </c>
      <c r="N587" s="11" t="s">
        <v>1062</v>
      </c>
      <c r="O587" s="11" t="s">
        <v>1926</v>
      </c>
    </row>
    <row r="588">
      <c r="A588" s="11">
        <v>-44.0743560791015</v>
      </c>
      <c r="B588" s="11">
        <v>23.939790725708</v>
      </c>
      <c r="C588" s="11" t="s">
        <v>1515</v>
      </c>
      <c r="D588" s="11" t="s">
        <v>1515</v>
      </c>
      <c r="E588" s="11" t="s">
        <v>1062</v>
      </c>
      <c r="F588" s="11" t="s">
        <v>1928</v>
      </c>
      <c r="J588" s="11">
        <v>47.2321395874023</v>
      </c>
      <c r="K588" s="11">
        <v>-8.42050075531005</v>
      </c>
      <c r="L588" s="11" t="s">
        <v>1515</v>
      </c>
      <c r="M588" s="11" t="s">
        <v>1515</v>
      </c>
      <c r="N588" s="11" t="s">
        <v>1062</v>
      </c>
      <c r="O588" s="11" t="s">
        <v>1928</v>
      </c>
    </row>
    <row r="589">
      <c r="A589" s="11">
        <v>-33.9397163391113</v>
      </c>
      <c r="B589" s="11">
        <v>14.4625797271728</v>
      </c>
      <c r="C589" s="11" t="s">
        <v>1515</v>
      </c>
      <c r="D589" s="11" t="s">
        <v>1515</v>
      </c>
      <c r="E589" s="11" t="s">
        <v>1062</v>
      </c>
      <c r="F589" s="11" t="s">
        <v>1930</v>
      </c>
      <c r="J589" s="11">
        <v>13.479941368103</v>
      </c>
      <c r="K589" s="11">
        <v>26.0991344451904</v>
      </c>
      <c r="L589" s="11" t="s">
        <v>1515</v>
      </c>
      <c r="M589" s="11" t="s">
        <v>1515</v>
      </c>
      <c r="N589" s="11" t="s">
        <v>1062</v>
      </c>
      <c r="O589" s="11" t="s">
        <v>1930</v>
      </c>
    </row>
    <row r="590">
      <c r="A590" s="11">
        <v>21.3424110412597</v>
      </c>
      <c r="B590" s="11">
        <v>-0.7095587849617</v>
      </c>
      <c r="C590" s="11" t="s">
        <v>1515</v>
      </c>
      <c r="D590" s="11" t="s">
        <v>1515</v>
      </c>
      <c r="E590" s="11" t="s">
        <v>1062</v>
      </c>
      <c r="F590" s="11" t="s">
        <v>1932</v>
      </c>
      <c r="J590" s="11">
        <v>32.8502311706543</v>
      </c>
      <c r="K590" s="11">
        <v>37.4838523864746</v>
      </c>
      <c r="L590" s="11" t="s">
        <v>1515</v>
      </c>
      <c r="M590" s="11" t="s">
        <v>1515</v>
      </c>
      <c r="N590" s="11" t="s">
        <v>1062</v>
      </c>
      <c r="O590" s="11" t="s">
        <v>1932</v>
      </c>
    </row>
    <row r="591">
      <c r="A591" s="11">
        <v>-10.0577039718627</v>
      </c>
      <c r="B591" s="11">
        <v>11.1321306228637</v>
      </c>
      <c r="C591" s="11" t="s">
        <v>1515</v>
      </c>
      <c r="D591" s="11" t="s">
        <v>1515</v>
      </c>
      <c r="E591" s="11" t="s">
        <v>1062</v>
      </c>
      <c r="F591" s="11" t="s">
        <v>1934</v>
      </c>
      <c r="J591" s="11">
        <v>27.1347274780273</v>
      </c>
      <c r="K591" s="11">
        <v>41.4532356262207</v>
      </c>
      <c r="L591" s="11" t="s">
        <v>1515</v>
      </c>
      <c r="M591" s="11" t="s">
        <v>1515</v>
      </c>
      <c r="N591" s="11" t="s">
        <v>1062</v>
      </c>
      <c r="O591" s="11" t="s">
        <v>1934</v>
      </c>
    </row>
    <row r="592">
      <c r="A592" s="11">
        <v>-55.6816024780273</v>
      </c>
      <c r="B592" s="11">
        <v>14.8470478057861</v>
      </c>
      <c r="C592" s="11" t="s">
        <v>1515</v>
      </c>
      <c r="D592" s="11" t="s">
        <v>1515</v>
      </c>
      <c r="E592" s="11" t="s">
        <v>1062</v>
      </c>
      <c r="F592" s="11" t="s">
        <v>1937</v>
      </c>
      <c r="J592" s="11">
        <v>55.6573257446289</v>
      </c>
      <c r="K592" s="11">
        <v>6.20692348480224</v>
      </c>
      <c r="L592" s="11" t="s">
        <v>1515</v>
      </c>
      <c r="M592" s="11" t="s">
        <v>1515</v>
      </c>
      <c r="N592" s="11" t="s">
        <v>1062</v>
      </c>
      <c r="O592" s="11" t="s">
        <v>1937</v>
      </c>
    </row>
    <row r="593">
      <c r="A593" s="11">
        <v>-10.9301280975341</v>
      </c>
      <c r="B593" s="11">
        <v>9.42111492156982</v>
      </c>
      <c r="C593" s="11" t="s">
        <v>1515</v>
      </c>
      <c r="D593" s="11" t="s">
        <v>1515</v>
      </c>
      <c r="E593" s="11" t="s">
        <v>1062</v>
      </c>
      <c r="F593" s="11" t="s">
        <v>1939</v>
      </c>
      <c r="J593" s="11">
        <v>56.0469551086425</v>
      </c>
      <c r="K593" s="11">
        <v>-21.8254470825195</v>
      </c>
      <c r="L593" s="11" t="s">
        <v>1515</v>
      </c>
      <c r="M593" s="11" t="s">
        <v>1515</v>
      </c>
      <c r="N593" s="11" t="s">
        <v>1062</v>
      </c>
      <c r="O593" s="11" t="s">
        <v>1939</v>
      </c>
    </row>
    <row r="594">
      <c r="A594" s="11">
        <v>47.7328147888183</v>
      </c>
      <c r="B594" s="11">
        <v>-2.87859535217285</v>
      </c>
      <c r="C594" s="11" t="s">
        <v>1515</v>
      </c>
      <c r="D594" s="11" t="s">
        <v>1515</v>
      </c>
      <c r="E594" s="11" t="s">
        <v>1062</v>
      </c>
      <c r="F594" s="11" t="s">
        <v>1941</v>
      </c>
      <c r="J594" s="11">
        <v>5.13686466217041</v>
      </c>
      <c r="K594" s="11">
        <v>62.268497467041</v>
      </c>
      <c r="L594" s="11" t="s">
        <v>1515</v>
      </c>
      <c r="M594" s="11" t="s">
        <v>1515</v>
      </c>
      <c r="N594" s="11" t="s">
        <v>1062</v>
      </c>
      <c r="O594" s="11" t="s">
        <v>1941</v>
      </c>
    </row>
    <row r="595">
      <c r="A595" s="11">
        <v>-50.2940063476562</v>
      </c>
      <c r="B595" s="11">
        <v>40.0452690124511</v>
      </c>
      <c r="C595" s="11" t="s">
        <v>1515</v>
      </c>
      <c r="D595" s="11" t="s">
        <v>1515</v>
      </c>
      <c r="E595" s="11" t="s">
        <v>1062</v>
      </c>
      <c r="F595" s="11" t="s">
        <v>1943</v>
      </c>
      <c r="J595" s="11">
        <v>41.3134994506835</v>
      </c>
      <c r="K595" s="11">
        <v>13.7313957214355</v>
      </c>
      <c r="L595" s="11" t="s">
        <v>1515</v>
      </c>
      <c r="M595" s="11" t="s">
        <v>1515</v>
      </c>
      <c r="N595" s="11" t="s">
        <v>1062</v>
      </c>
      <c r="O595" s="11" t="s">
        <v>1943</v>
      </c>
    </row>
    <row r="596">
      <c r="A596" s="11">
        <v>0.287474662065506</v>
      </c>
      <c r="B596" s="11">
        <v>0.753016471862793</v>
      </c>
      <c r="C596" s="11" t="s">
        <v>1515</v>
      </c>
      <c r="D596" s="11" t="s">
        <v>1515</v>
      </c>
      <c r="E596" s="11" t="s">
        <v>1062</v>
      </c>
      <c r="F596" s="11" t="s">
        <v>1945</v>
      </c>
      <c r="J596" s="11">
        <v>10.8419046401977</v>
      </c>
      <c r="K596" s="11">
        <v>16.4861640930175</v>
      </c>
      <c r="L596" s="11" t="s">
        <v>1515</v>
      </c>
      <c r="M596" s="11" t="s">
        <v>1515</v>
      </c>
      <c r="N596" s="11" t="s">
        <v>1062</v>
      </c>
      <c r="O596" s="11" t="s">
        <v>1945</v>
      </c>
    </row>
    <row r="597">
      <c r="A597" s="11">
        <v>-34.6597900390625</v>
      </c>
      <c r="B597" s="11">
        <v>14.400517463684</v>
      </c>
      <c r="C597" s="11" t="s">
        <v>1515</v>
      </c>
      <c r="D597" s="11" t="s">
        <v>1515</v>
      </c>
      <c r="E597" s="11" t="s">
        <v>1062</v>
      </c>
      <c r="F597" s="11" t="s">
        <v>1947</v>
      </c>
      <c r="J597" s="11">
        <v>13.945161819458</v>
      </c>
      <c r="K597" s="11">
        <v>25.4705944061279</v>
      </c>
      <c r="L597" s="11" t="s">
        <v>1515</v>
      </c>
      <c r="M597" s="11" t="s">
        <v>1515</v>
      </c>
      <c r="N597" s="11" t="s">
        <v>1062</v>
      </c>
      <c r="O597" s="11" t="s">
        <v>1947</v>
      </c>
    </row>
    <row r="598">
      <c r="A598" s="11">
        <v>67.8074645996093</v>
      </c>
      <c r="B598" s="11">
        <v>4.59382057189941</v>
      </c>
      <c r="C598" s="11" t="s">
        <v>1515</v>
      </c>
      <c r="D598" s="11" t="s">
        <v>1515</v>
      </c>
      <c r="E598" s="11" t="s">
        <v>1062</v>
      </c>
      <c r="F598" s="11" t="s">
        <v>1950</v>
      </c>
      <c r="J598" s="11">
        <v>-6.14045000076293</v>
      </c>
      <c r="K598" s="11">
        <v>67.2576828002929</v>
      </c>
      <c r="L598" s="11" t="s">
        <v>1515</v>
      </c>
      <c r="M598" s="11" t="s">
        <v>1515</v>
      </c>
      <c r="N598" s="11" t="s">
        <v>1062</v>
      </c>
      <c r="O598" s="11" t="s">
        <v>1950</v>
      </c>
    </row>
    <row r="599">
      <c r="A599" s="11">
        <v>-61.1945457458496</v>
      </c>
      <c r="B599" s="11">
        <v>44.8877449035644</v>
      </c>
      <c r="C599" s="11" t="s">
        <v>1515</v>
      </c>
      <c r="D599" s="11" t="s">
        <v>1515</v>
      </c>
      <c r="E599" s="11" t="s">
        <v>1062</v>
      </c>
      <c r="F599" s="11" t="s">
        <v>1952</v>
      </c>
      <c r="J599" s="11">
        <v>56.8859977722168</v>
      </c>
      <c r="K599" s="11">
        <v>-8.35897350311279</v>
      </c>
      <c r="L599" s="11" t="s">
        <v>1515</v>
      </c>
      <c r="M599" s="11" t="s">
        <v>1515</v>
      </c>
      <c r="N599" s="11" t="s">
        <v>1062</v>
      </c>
      <c r="O599" s="11" t="s">
        <v>1952</v>
      </c>
    </row>
    <row r="600">
      <c r="A600" s="11">
        <v>-35.4128303527832</v>
      </c>
      <c r="B600" s="11">
        <v>11.6735067367553</v>
      </c>
      <c r="C600" s="11" t="s">
        <v>1515</v>
      </c>
      <c r="D600" s="11" t="s">
        <v>1515</v>
      </c>
      <c r="E600" s="11" t="s">
        <v>1062</v>
      </c>
      <c r="F600" s="11" t="s">
        <v>1954</v>
      </c>
      <c r="J600" s="11">
        <v>12.1787328720092</v>
      </c>
      <c r="K600" s="11">
        <v>29.978322982788</v>
      </c>
      <c r="L600" s="11" t="s">
        <v>1515</v>
      </c>
      <c r="M600" s="11" t="s">
        <v>1515</v>
      </c>
      <c r="N600" s="11" t="s">
        <v>1062</v>
      </c>
      <c r="O600" s="11" t="s">
        <v>1954</v>
      </c>
    </row>
    <row r="601">
      <c r="A601" s="11">
        <v>-25.4711627960205</v>
      </c>
      <c r="B601" s="11">
        <v>20.952013015747</v>
      </c>
      <c r="C601" s="11" t="s">
        <v>1515</v>
      </c>
      <c r="D601" s="11" t="s">
        <v>1515</v>
      </c>
      <c r="E601" s="11" t="s">
        <v>1062</v>
      </c>
      <c r="F601" s="11" t="s">
        <v>1956</v>
      </c>
      <c r="J601" s="11">
        <v>14.1959762573242</v>
      </c>
      <c r="K601" s="11">
        <v>38.824047088623</v>
      </c>
      <c r="L601" s="11" t="s">
        <v>1515</v>
      </c>
      <c r="M601" s="11" t="s">
        <v>1515</v>
      </c>
      <c r="N601" s="11" t="s">
        <v>1062</v>
      </c>
      <c r="O601" s="11" t="s">
        <v>1956</v>
      </c>
    </row>
    <row r="602">
      <c r="A602" s="11">
        <v>-56.5328483581543</v>
      </c>
      <c r="B602" s="11">
        <v>12.7892961502075</v>
      </c>
      <c r="C602" s="11" t="s">
        <v>1515</v>
      </c>
      <c r="D602" s="11" t="s">
        <v>1515</v>
      </c>
      <c r="E602" s="11" t="s">
        <v>1062</v>
      </c>
      <c r="F602" s="11" t="s">
        <v>1958</v>
      </c>
      <c r="J602" s="11">
        <v>54.4877853393554</v>
      </c>
      <c r="K602" s="11">
        <v>6.15831470489501</v>
      </c>
      <c r="L602" s="11" t="s">
        <v>1515</v>
      </c>
      <c r="M602" s="11" t="s">
        <v>1515</v>
      </c>
      <c r="N602" s="11" t="s">
        <v>1062</v>
      </c>
      <c r="O602" s="11" t="s">
        <v>1958</v>
      </c>
    </row>
    <row r="603">
      <c r="A603" s="11">
        <v>-29.1735458374023</v>
      </c>
      <c r="B603" s="11">
        <v>20.4363861083984</v>
      </c>
      <c r="C603" s="11" t="s">
        <v>1515</v>
      </c>
      <c r="D603" s="11" t="s">
        <v>1515</v>
      </c>
      <c r="E603" s="11" t="s">
        <v>1062</v>
      </c>
      <c r="F603" s="11" t="s">
        <v>1960</v>
      </c>
      <c r="J603" s="11">
        <v>11.9035148620605</v>
      </c>
      <c r="K603" s="11">
        <v>37.8223876953125</v>
      </c>
      <c r="L603" s="11" t="s">
        <v>1515</v>
      </c>
      <c r="M603" s="11" t="s">
        <v>1515</v>
      </c>
      <c r="N603" s="11" t="s">
        <v>1062</v>
      </c>
      <c r="O603" s="11" t="s">
        <v>1960</v>
      </c>
    </row>
    <row r="604">
      <c r="A604" s="11">
        <v>-26.1449012756347</v>
      </c>
      <c r="B604" s="11">
        <v>-3.23798990249633</v>
      </c>
      <c r="C604" s="11" t="s">
        <v>1515</v>
      </c>
      <c r="D604" s="11" t="s">
        <v>1515</v>
      </c>
      <c r="E604" s="11" t="s">
        <v>1062</v>
      </c>
      <c r="F604" s="11" t="s">
        <v>1962</v>
      </c>
      <c r="J604" s="11">
        <v>32.8742141723632</v>
      </c>
      <c r="K604" s="11">
        <v>31.3741512298584</v>
      </c>
      <c r="L604" s="11" t="s">
        <v>1515</v>
      </c>
      <c r="M604" s="11" t="s">
        <v>1515</v>
      </c>
      <c r="N604" s="11" t="s">
        <v>1062</v>
      </c>
      <c r="O604" s="11" t="s">
        <v>1962</v>
      </c>
    </row>
    <row r="605">
      <c r="A605" s="11">
        <v>-60.7809562683105</v>
      </c>
      <c r="B605" s="11">
        <v>43.2744216918945</v>
      </c>
      <c r="C605" s="11" t="s">
        <v>1515</v>
      </c>
      <c r="D605" s="11" t="s">
        <v>1515</v>
      </c>
      <c r="E605" s="11" t="s">
        <v>1062</v>
      </c>
      <c r="F605" s="11" t="s">
        <v>1965</v>
      </c>
      <c r="J605" s="11">
        <v>56.0946807861328</v>
      </c>
      <c r="K605" s="11">
        <v>-7.42768430709838</v>
      </c>
      <c r="L605" s="11" t="s">
        <v>1515</v>
      </c>
      <c r="M605" s="11" t="s">
        <v>1515</v>
      </c>
      <c r="N605" s="11" t="s">
        <v>1062</v>
      </c>
      <c r="O605" s="11" t="s">
        <v>1965</v>
      </c>
    </row>
    <row r="606">
      <c r="A606" s="11">
        <v>-38.6188926696777</v>
      </c>
      <c r="B606" s="11">
        <v>23.4868621826171</v>
      </c>
      <c r="C606" s="11" t="s">
        <v>1515</v>
      </c>
      <c r="D606" s="11" t="s">
        <v>1515</v>
      </c>
      <c r="E606" s="11" t="s">
        <v>1062</v>
      </c>
      <c r="F606" s="11" t="s">
        <v>1967</v>
      </c>
      <c r="J606" s="11">
        <v>31.0312595367431</v>
      </c>
      <c r="K606" s="11">
        <v>17.6678085327148</v>
      </c>
      <c r="L606" s="11" t="s">
        <v>1515</v>
      </c>
      <c r="M606" s="11" t="s">
        <v>1515</v>
      </c>
      <c r="N606" s="11" t="s">
        <v>1062</v>
      </c>
      <c r="O606" s="11" t="s">
        <v>1967</v>
      </c>
    </row>
    <row r="607">
      <c r="A607" s="11">
        <v>65.4149475097656</v>
      </c>
      <c r="B607" s="11">
        <v>-5.84545421600341</v>
      </c>
      <c r="C607" s="11" t="s">
        <v>1515</v>
      </c>
      <c r="D607" s="11" t="s">
        <v>1515</v>
      </c>
      <c r="E607" s="11" t="s">
        <v>1062</v>
      </c>
      <c r="F607" s="11" t="s">
        <v>1969</v>
      </c>
      <c r="J607" s="11">
        <v>-1.52878642082214</v>
      </c>
      <c r="K607" s="11">
        <v>62.521686553955</v>
      </c>
      <c r="L607" s="11" t="s">
        <v>1515</v>
      </c>
      <c r="M607" s="11" t="s">
        <v>1515</v>
      </c>
      <c r="N607" s="11" t="s">
        <v>1062</v>
      </c>
      <c r="O607" s="11" t="s">
        <v>1969</v>
      </c>
    </row>
    <row r="608">
      <c r="A608" s="11">
        <v>-18.0965270996093</v>
      </c>
      <c r="B608" s="11">
        <v>16.0306663513183</v>
      </c>
      <c r="C608" s="11" t="s">
        <v>1515</v>
      </c>
      <c r="D608" s="11" t="s">
        <v>1515</v>
      </c>
      <c r="E608" s="11" t="s">
        <v>1062</v>
      </c>
      <c r="F608" s="11" t="s">
        <v>1973</v>
      </c>
      <c r="J608" s="11">
        <v>18.2592525482177</v>
      </c>
      <c r="K608" s="11">
        <v>39.1868133544921</v>
      </c>
      <c r="L608" s="11" t="s">
        <v>1515</v>
      </c>
      <c r="M608" s="11" t="s">
        <v>1515</v>
      </c>
      <c r="N608" s="11" t="s">
        <v>1062</v>
      </c>
      <c r="O608" s="11" t="s">
        <v>1973</v>
      </c>
    </row>
    <row r="609">
      <c r="A609" s="11">
        <v>-61.1945457458496</v>
      </c>
      <c r="B609" s="11">
        <v>44.8877449035644</v>
      </c>
      <c r="C609" s="11" t="s">
        <v>1515</v>
      </c>
      <c r="D609" s="11" t="s">
        <v>1515</v>
      </c>
      <c r="E609" s="11" t="s">
        <v>1062</v>
      </c>
      <c r="F609" s="11" t="s">
        <v>1975</v>
      </c>
      <c r="J609" s="11">
        <v>56.5541152954101</v>
      </c>
      <c r="K609" s="11">
        <v>-8.49822235107421</v>
      </c>
      <c r="L609" s="11" t="s">
        <v>1515</v>
      </c>
      <c r="M609" s="11" t="s">
        <v>1515</v>
      </c>
      <c r="N609" s="11" t="s">
        <v>1062</v>
      </c>
      <c r="O609" s="11" t="s">
        <v>1975</v>
      </c>
    </row>
    <row r="610">
      <c r="A610" s="11">
        <v>-17.4371433258056</v>
      </c>
      <c r="B610" s="11">
        <v>6.74829816818237</v>
      </c>
      <c r="C610" s="11" t="s">
        <v>1515</v>
      </c>
      <c r="D610" s="11" t="s">
        <v>1515</v>
      </c>
      <c r="E610" s="11" t="s">
        <v>1062</v>
      </c>
      <c r="F610" s="11" t="s">
        <v>1977</v>
      </c>
      <c r="J610" s="11">
        <v>-11.9917516708374</v>
      </c>
      <c r="K610" s="11">
        <v>55.1096038818359</v>
      </c>
      <c r="L610" s="11" t="s">
        <v>1515</v>
      </c>
      <c r="M610" s="11" t="s">
        <v>1515</v>
      </c>
      <c r="N610" s="11" t="s">
        <v>1062</v>
      </c>
      <c r="O610" s="11" t="s">
        <v>1977</v>
      </c>
    </row>
    <row r="611">
      <c r="A611" s="11">
        <v>-42.378360748291</v>
      </c>
      <c r="B611" s="11">
        <v>38.2661972045898</v>
      </c>
      <c r="C611" s="11" t="s">
        <v>1515</v>
      </c>
      <c r="D611" s="11" t="s">
        <v>1515</v>
      </c>
      <c r="E611" s="11" t="s">
        <v>1062</v>
      </c>
      <c r="F611" s="11" t="s">
        <v>1980</v>
      </c>
      <c r="J611" s="11">
        <v>44.474193572998</v>
      </c>
      <c r="K611" s="11">
        <v>-18.8304042816162</v>
      </c>
      <c r="L611" s="11" t="s">
        <v>1515</v>
      </c>
      <c r="M611" s="11" t="s">
        <v>1515</v>
      </c>
      <c r="N611" s="11" t="s">
        <v>1062</v>
      </c>
      <c r="O611" s="11" t="s">
        <v>1980</v>
      </c>
    </row>
    <row r="612">
      <c r="A612" s="11">
        <v>-41.1155815124511</v>
      </c>
      <c r="B612" s="11">
        <v>14.0115270614624</v>
      </c>
      <c r="C612" s="11" t="s">
        <v>1515</v>
      </c>
      <c r="D612" s="11" t="s">
        <v>1515</v>
      </c>
      <c r="E612" s="11" t="s">
        <v>1062</v>
      </c>
      <c r="F612" s="11" t="s">
        <v>1982</v>
      </c>
      <c r="J612" s="11">
        <v>13.4565343856811</v>
      </c>
      <c r="K612" s="11">
        <v>20.3910388946533</v>
      </c>
      <c r="L612" s="11" t="s">
        <v>1515</v>
      </c>
      <c r="M612" s="11" t="s">
        <v>1515</v>
      </c>
      <c r="N612" s="11" t="s">
        <v>1062</v>
      </c>
      <c r="O612" s="11" t="s">
        <v>1982</v>
      </c>
    </row>
    <row r="613">
      <c r="A613" s="11">
        <v>-60.7809562683105</v>
      </c>
      <c r="B613" s="11">
        <v>43.2744216918945</v>
      </c>
      <c r="C613" s="11" t="s">
        <v>1515</v>
      </c>
      <c r="D613" s="11" t="s">
        <v>1515</v>
      </c>
      <c r="E613" s="11" t="s">
        <v>1062</v>
      </c>
      <c r="F613" s="11" t="s">
        <v>1985</v>
      </c>
      <c r="J613" s="11">
        <v>56.4244079589843</v>
      </c>
      <c r="K613" s="11">
        <v>-6.82304811477661</v>
      </c>
      <c r="L613" s="11" t="s">
        <v>1515</v>
      </c>
      <c r="M613" s="11" t="s">
        <v>1515</v>
      </c>
      <c r="N613" s="11" t="s">
        <v>1062</v>
      </c>
      <c r="O613" s="11" t="s">
        <v>1985</v>
      </c>
    </row>
    <row r="614">
      <c r="A614" s="11">
        <v>-43.6532821655273</v>
      </c>
      <c r="B614" s="11">
        <v>39.5221138000488</v>
      </c>
      <c r="C614" s="11" t="s">
        <v>1515</v>
      </c>
      <c r="D614" s="11" t="s">
        <v>1515</v>
      </c>
      <c r="E614" s="11" t="s">
        <v>1062</v>
      </c>
      <c r="F614" s="11" t="s">
        <v>1987</v>
      </c>
      <c r="J614" s="11">
        <v>42.0184478759765</v>
      </c>
      <c r="K614" s="11">
        <v>-20.3073272705078</v>
      </c>
      <c r="L614" s="11" t="s">
        <v>1515</v>
      </c>
      <c r="M614" s="11" t="s">
        <v>1515</v>
      </c>
      <c r="N614" s="11" t="s">
        <v>1062</v>
      </c>
      <c r="O614" s="11" t="s">
        <v>1987</v>
      </c>
    </row>
    <row r="615">
      <c r="A615" s="11">
        <v>-44.4927635192871</v>
      </c>
      <c r="B615" s="11">
        <v>38.8828620910644</v>
      </c>
      <c r="C615" s="11" t="s">
        <v>1515</v>
      </c>
      <c r="D615" s="11" t="s">
        <v>1515</v>
      </c>
      <c r="E615" s="11" t="s">
        <v>1062</v>
      </c>
      <c r="F615" s="11" t="s">
        <v>1990</v>
      </c>
      <c r="J615" s="11">
        <v>42.0184478759765</v>
      </c>
      <c r="K615" s="11">
        <v>-20.3073272705078</v>
      </c>
      <c r="L615" s="11" t="s">
        <v>1515</v>
      </c>
      <c r="M615" s="11" t="s">
        <v>1515</v>
      </c>
      <c r="N615" s="11" t="s">
        <v>1062</v>
      </c>
      <c r="O615" s="11" t="s">
        <v>1990</v>
      </c>
    </row>
    <row r="616">
      <c r="A616" s="11">
        <v>27.265962600708</v>
      </c>
      <c r="B616" s="11">
        <v>-1.59559142589569</v>
      </c>
      <c r="C616" s="11" t="s">
        <v>1515</v>
      </c>
      <c r="D616" s="11" t="s">
        <v>1515</v>
      </c>
      <c r="E616" s="11" t="s">
        <v>1062</v>
      </c>
      <c r="F616" s="11" t="s">
        <v>1992</v>
      </c>
      <c r="J616" s="11">
        <v>8.62152957916259</v>
      </c>
      <c r="K616" s="11">
        <v>55.846622467041</v>
      </c>
      <c r="L616" s="11" t="s">
        <v>1515</v>
      </c>
      <c r="M616" s="11" t="s">
        <v>1515</v>
      </c>
      <c r="N616" s="11" t="s">
        <v>1062</v>
      </c>
      <c r="O616" s="11" t="s">
        <v>1992</v>
      </c>
    </row>
    <row r="617">
      <c r="A617" s="11">
        <v>-30.7727947235107</v>
      </c>
      <c r="B617" s="11">
        <v>10.669132232666</v>
      </c>
      <c r="C617" s="11" t="s">
        <v>1515</v>
      </c>
      <c r="D617" s="11" t="s">
        <v>1515</v>
      </c>
      <c r="E617" s="11" t="s">
        <v>1062</v>
      </c>
      <c r="F617" s="11" t="s">
        <v>1994</v>
      </c>
      <c r="J617" s="11">
        <v>4.77237892150878</v>
      </c>
      <c r="K617" s="11">
        <v>22.1678981781005</v>
      </c>
      <c r="L617" s="11" t="s">
        <v>1515</v>
      </c>
      <c r="M617" s="11" t="s">
        <v>1515</v>
      </c>
      <c r="N617" s="11" t="s">
        <v>1062</v>
      </c>
      <c r="O617" s="11" t="s">
        <v>1994</v>
      </c>
    </row>
    <row r="618">
      <c r="A618" s="11">
        <v>-58.7235069274902</v>
      </c>
      <c r="B618" s="11">
        <v>13.3835334777832</v>
      </c>
      <c r="C618" s="11" t="s">
        <v>1515</v>
      </c>
      <c r="D618" s="11" t="s">
        <v>1515</v>
      </c>
      <c r="E618" s="11" t="s">
        <v>1062</v>
      </c>
      <c r="F618" s="11" t="s">
        <v>1996</v>
      </c>
      <c r="J618" s="11">
        <v>52.101016998291</v>
      </c>
      <c r="K618" s="11">
        <v>4.47447299957275</v>
      </c>
      <c r="L618" s="11" t="s">
        <v>1515</v>
      </c>
      <c r="M618" s="11" t="s">
        <v>1515</v>
      </c>
      <c r="N618" s="11" t="s">
        <v>1062</v>
      </c>
      <c r="O618" s="11" t="s">
        <v>1996</v>
      </c>
    </row>
    <row r="619">
      <c r="A619" s="11">
        <v>-43.9455413818359</v>
      </c>
      <c r="B619" s="11">
        <v>32.0096092224121</v>
      </c>
      <c r="C619" s="11" t="s">
        <v>1515</v>
      </c>
      <c r="D619" s="11" t="s">
        <v>1515</v>
      </c>
      <c r="E619" s="11" t="s">
        <v>1062</v>
      </c>
      <c r="F619" s="11" t="s">
        <v>1998</v>
      </c>
      <c r="J619" s="11">
        <v>45.1414527893066</v>
      </c>
      <c r="K619" s="11">
        <v>9.40847873687744</v>
      </c>
      <c r="L619" s="11" t="s">
        <v>1515</v>
      </c>
      <c r="M619" s="11" t="s">
        <v>1515</v>
      </c>
      <c r="N619" s="11" t="s">
        <v>1062</v>
      </c>
      <c r="O619" s="11" t="s">
        <v>1998</v>
      </c>
    </row>
    <row r="620">
      <c r="A620" s="11">
        <v>-55.8852653503418</v>
      </c>
      <c r="B620" s="11">
        <v>12.7488470077514</v>
      </c>
      <c r="C620" s="11" t="s">
        <v>1515</v>
      </c>
      <c r="D620" s="11" t="s">
        <v>1515</v>
      </c>
      <c r="E620" s="11" t="s">
        <v>1062</v>
      </c>
      <c r="F620" s="11" t="s">
        <v>2000</v>
      </c>
      <c r="J620" s="11">
        <v>54.0966911315918</v>
      </c>
      <c r="K620" s="11">
        <v>5.80046844482421</v>
      </c>
      <c r="L620" s="11" t="s">
        <v>1515</v>
      </c>
      <c r="M620" s="11" t="s">
        <v>1515</v>
      </c>
      <c r="N620" s="11" t="s">
        <v>1062</v>
      </c>
      <c r="O620" s="11" t="s">
        <v>2000</v>
      </c>
    </row>
    <row r="621">
      <c r="A621" s="11">
        <v>58.732307434082</v>
      </c>
      <c r="B621" s="11">
        <v>1.2651925086975</v>
      </c>
      <c r="C621" s="11" t="s">
        <v>1515</v>
      </c>
      <c r="D621" s="11" t="s">
        <v>1515</v>
      </c>
      <c r="E621" s="11" t="s">
        <v>1062</v>
      </c>
      <c r="F621" s="11" t="s">
        <v>2002</v>
      </c>
      <c r="J621" s="11">
        <v>-2.15017986297607</v>
      </c>
      <c r="K621" s="11">
        <v>56.3093719482421</v>
      </c>
      <c r="L621" s="11" t="s">
        <v>1515</v>
      </c>
      <c r="M621" s="11" t="s">
        <v>1515</v>
      </c>
      <c r="N621" s="11" t="s">
        <v>1062</v>
      </c>
      <c r="O621" s="11" t="s">
        <v>2002</v>
      </c>
    </row>
    <row r="622">
      <c r="A622" s="11">
        <v>-1.97696912288665</v>
      </c>
      <c r="B622" s="11">
        <v>71.9860000610351</v>
      </c>
      <c r="C622" s="11" t="s">
        <v>1515</v>
      </c>
      <c r="D622" s="11" t="s">
        <v>1515</v>
      </c>
      <c r="E622" s="11" t="s">
        <v>1062</v>
      </c>
      <c r="F622" s="11" t="s">
        <v>2004</v>
      </c>
      <c r="J622" s="11">
        <v>11.1508245468139</v>
      </c>
      <c r="K622" s="11">
        <v>42.5181465148925</v>
      </c>
      <c r="L622" s="11" t="s">
        <v>1515</v>
      </c>
      <c r="M622" s="11" t="s">
        <v>1515</v>
      </c>
      <c r="N622" s="11" t="s">
        <v>1062</v>
      </c>
      <c r="O622" s="11" t="s">
        <v>2004</v>
      </c>
    </row>
    <row r="623">
      <c r="A623" s="11">
        <v>65.7531356811523</v>
      </c>
      <c r="B623" s="11">
        <v>-4.82464075088501</v>
      </c>
      <c r="C623" s="11" t="s">
        <v>1515</v>
      </c>
      <c r="D623" s="11" t="s">
        <v>1515</v>
      </c>
      <c r="E623" s="11" t="s">
        <v>1062</v>
      </c>
      <c r="F623" s="11" t="s">
        <v>2006</v>
      </c>
      <c r="J623" s="11">
        <v>-2.73069143295288</v>
      </c>
      <c r="K623" s="11">
        <v>64.6788940429687</v>
      </c>
      <c r="L623" s="11" t="s">
        <v>1515</v>
      </c>
      <c r="M623" s="11" t="s">
        <v>1515</v>
      </c>
      <c r="N623" s="11" t="s">
        <v>1062</v>
      </c>
      <c r="O623" s="11" t="s">
        <v>2006</v>
      </c>
    </row>
    <row r="624">
      <c r="A624" s="11">
        <v>64.4069595336914</v>
      </c>
      <c r="B624" s="11">
        <v>-5.18766355514526</v>
      </c>
      <c r="C624" s="11" t="s">
        <v>1515</v>
      </c>
      <c r="D624" s="11" t="s">
        <v>1515</v>
      </c>
      <c r="E624" s="11" t="s">
        <v>1062</v>
      </c>
      <c r="F624" s="11" t="s">
        <v>2008</v>
      </c>
      <c r="J624" s="11">
        <v>-3.15498042106628</v>
      </c>
      <c r="K624" s="11">
        <v>61.7012634277343</v>
      </c>
      <c r="L624" s="11" t="s">
        <v>1515</v>
      </c>
      <c r="M624" s="11" t="s">
        <v>1515</v>
      </c>
      <c r="N624" s="11" t="s">
        <v>1062</v>
      </c>
      <c r="O624" s="11" t="s">
        <v>2008</v>
      </c>
    </row>
    <row r="625">
      <c r="A625" s="11">
        <v>65.5306549072265</v>
      </c>
      <c r="B625" s="11">
        <v>-2.5149347782135</v>
      </c>
      <c r="C625" s="11" t="s">
        <v>1515</v>
      </c>
      <c r="D625" s="11" t="s">
        <v>1515</v>
      </c>
      <c r="E625" s="11" t="s">
        <v>1062</v>
      </c>
      <c r="F625" s="11" t="s">
        <v>2010</v>
      </c>
      <c r="J625" s="11">
        <v>-1.02709543704986</v>
      </c>
      <c r="K625" s="11">
        <v>60.9528846740722</v>
      </c>
      <c r="L625" s="11" t="s">
        <v>1515</v>
      </c>
      <c r="M625" s="11" t="s">
        <v>1515</v>
      </c>
      <c r="N625" s="11" t="s">
        <v>1062</v>
      </c>
      <c r="O625" s="11" t="s">
        <v>2010</v>
      </c>
    </row>
    <row r="626">
      <c r="A626" s="11">
        <v>-48.3080825805664</v>
      </c>
      <c r="B626" s="11">
        <v>24.7779102325439</v>
      </c>
      <c r="C626" s="11" t="s">
        <v>1515</v>
      </c>
      <c r="D626" s="11" t="s">
        <v>1515</v>
      </c>
      <c r="E626" s="11" t="s">
        <v>1062</v>
      </c>
      <c r="F626" s="11" t="s">
        <v>2013</v>
      </c>
      <c r="J626" s="11">
        <v>40.9427452087402</v>
      </c>
      <c r="K626" s="11">
        <v>-6.22568655014038</v>
      </c>
      <c r="L626" s="11" t="s">
        <v>1515</v>
      </c>
      <c r="M626" s="11" t="s">
        <v>1515</v>
      </c>
      <c r="N626" s="11" t="s">
        <v>1062</v>
      </c>
      <c r="O626" s="11" t="s">
        <v>2013</v>
      </c>
    </row>
    <row r="627">
      <c r="A627" s="11">
        <v>46.3092460632324</v>
      </c>
      <c r="B627" s="11">
        <v>-3.95905303955078</v>
      </c>
      <c r="C627" s="11" t="s">
        <v>1515</v>
      </c>
      <c r="D627" s="11" t="s">
        <v>1515</v>
      </c>
      <c r="E627" s="11" t="s">
        <v>1062</v>
      </c>
      <c r="F627" s="11" t="s">
        <v>2015</v>
      </c>
      <c r="J627" s="11">
        <v>9.13996505737304</v>
      </c>
      <c r="K627" s="11">
        <v>64.0560913085937</v>
      </c>
      <c r="L627" s="11" t="s">
        <v>1515</v>
      </c>
      <c r="M627" s="11" t="s">
        <v>1515</v>
      </c>
      <c r="N627" s="11" t="s">
        <v>1062</v>
      </c>
      <c r="O627" s="11" t="s">
        <v>2015</v>
      </c>
    </row>
    <row r="628">
      <c r="A628" s="11">
        <v>-2.0109372138977</v>
      </c>
      <c r="B628" s="11">
        <v>3.73729872703552</v>
      </c>
      <c r="C628" s="11" t="s">
        <v>1515</v>
      </c>
      <c r="D628" s="11" t="s">
        <v>1515</v>
      </c>
      <c r="E628" s="11" t="s">
        <v>1062</v>
      </c>
      <c r="F628" s="11" t="s">
        <v>2017</v>
      </c>
      <c r="J628" s="11">
        <v>-5.73434591293335</v>
      </c>
      <c r="K628" s="11">
        <v>-14.0433206558227</v>
      </c>
      <c r="L628" s="11" t="s">
        <v>1515</v>
      </c>
      <c r="M628" s="11" t="s">
        <v>1515</v>
      </c>
      <c r="N628" s="11" t="s">
        <v>1062</v>
      </c>
      <c r="O628" s="11" t="s">
        <v>2017</v>
      </c>
    </row>
    <row r="629">
      <c r="A629" s="11">
        <v>-38.891860961914</v>
      </c>
      <c r="B629" s="11">
        <v>55.1219253540039</v>
      </c>
      <c r="C629" s="11" t="s">
        <v>1515</v>
      </c>
      <c r="D629" s="11" t="s">
        <v>1515</v>
      </c>
      <c r="E629" s="11" t="s">
        <v>1062</v>
      </c>
      <c r="F629" s="11" t="s">
        <v>2019</v>
      </c>
      <c r="J629" s="11">
        <v>28.5847854614257</v>
      </c>
      <c r="K629" s="11">
        <v>9.50987243652343</v>
      </c>
      <c r="L629" s="11" t="s">
        <v>1515</v>
      </c>
      <c r="M629" s="11" t="s">
        <v>1515</v>
      </c>
      <c r="N629" s="11" t="s">
        <v>1062</v>
      </c>
      <c r="O629" s="11" t="s">
        <v>2019</v>
      </c>
    </row>
    <row r="630">
      <c r="A630" s="11">
        <v>-38.3401756286621</v>
      </c>
      <c r="B630" s="11">
        <v>44.4083862304687</v>
      </c>
      <c r="C630" s="11" t="s">
        <v>1515</v>
      </c>
      <c r="D630" s="11" t="s">
        <v>1515</v>
      </c>
      <c r="E630" s="11" t="s">
        <v>1062</v>
      </c>
      <c r="F630" s="11" t="s">
        <v>2021</v>
      </c>
      <c r="J630" s="11">
        <v>49.1473541259765</v>
      </c>
      <c r="K630" s="11">
        <v>-11.6253175735473</v>
      </c>
      <c r="L630" s="11" t="s">
        <v>1515</v>
      </c>
      <c r="M630" s="11" t="s">
        <v>1515</v>
      </c>
      <c r="N630" s="11" t="s">
        <v>1062</v>
      </c>
      <c r="O630" s="11" t="s">
        <v>2021</v>
      </c>
    </row>
    <row r="631">
      <c r="A631" s="11">
        <v>-39.7284812927246</v>
      </c>
      <c r="B631" s="11">
        <v>55.309585571289</v>
      </c>
      <c r="C631" s="11" t="s">
        <v>1515</v>
      </c>
      <c r="D631" s="11" t="s">
        <v>1515</v>
      </c>
      <c r="E631" s="11" t="s">
        <v>1062</v>
      </c>
      <c r="F631" s="11" t="s">
        <v>2023</v>
      </c>
      <c r="J631" s="11">
        <v>28.1219253540039</v>
      </c>
      <c r="K631" s="11">
        <v>9.46592807769775</v>
      </c>
      <c r="L631" s="11" t="s">
        <v>1515</v>
      </c>
      <c r="M631" s="11" t="s">
        <v>1515</v>
      </c>
      <c r="N631" s="11" t="s">
        <v>1062</v>
      </c>
      <c r="O631" s="11" t="s">
        <v>2023</v>
      </c>
    </row>
    <row r="632">
      <c r="A632" s="11">
        <v>-48.7050132751464</v>
      </c>
      <c r="B632" s="11">
        <v>24.2100944519042</v>
      </c>
      <c r="C632" s="11" t="s">
        <v>1515</v>
      </c>
      <c r="D632" s="11" t="s">
        <v>1515</v>
      </c>
      <c r="E632" s="11" t="s">
        <v>1062</v>
      </c>
      <c r="F632" s="11" t="s">
        <v>2025</v>
      </c>
      <c r="J632" s="11">
        <v>41.0207176208496</v>
      </c>
      <c r="K632" s="11">
        <v>-5.86967515945434</v>
      </c>
      <c r="L632" s="11" t="s">
        <v>1515</v>
      </c>
      <c r="M632" s="11" t="s">
        <v>1515</v>
      </c>
      <c r="N632" s="11" t="s">
        <v>1062</v>
      </c>
      <c r="O632" s="11" t="s">
        <v>2025</v>
      </c>
    </row>
    <row r="633">
      <c r="A633" s="11">
        <v>-14.1581239700317</v>
      </c>
      <c r="B633" s="11">
        <v>18.3077888488769</v>
      </c>
      <c r="C633" s="11" t="s">
        <v>1515</v>
      </c>
      <c r="D633" s="11" t="s">
        <v>1515</v>
      </c>
      <c r="E633" s="11" t="s">
        <v>1062</v>
      </c>
      <c r="F633" s="11" t="s">
        <v>2027</v>
      </c>
      <c r="J633" s="11">
        <v>16.4371891021728</v>
      </c>
      <c r="K633" s="11">
        <v>23.2604923248291</v>
      </c>
      <c r="L633" s="11" t="s">
        <v>1515</v>
      </c>
      <c r="M633" s="11" t="s">
        <v>1515</v>
      </c>
      <c r="N633" s="11" t="s">
        <v>1062</v>
      </c>
      <c r="O633" s="11" t="s">
        <v>2027</v>
      </c>
    </row>
    <row r="634">
      <c r="A634" s="11">
        <v>-19.6108169555664</v>
      </c>
      <c r="B634" s="11">
        <v>12.2522993087768</v>
      </c>
      <c r="C634" s="11" t="s">
        <v>1515</v>
      </c>
      <c r="D634" s="11" t="s">
        <v>1515</v>
      </c>
      <c r="E634" s="11" t="s">
        <v>1062</v>
      </c>
      <c r="F634" s="11" t="s">
        <v>2029</v>
      </c>
      <c r="J634" s="11">
        <v>-7.01720714569091</v>
      </c>
      <c r="K634" s="11">
        <v>44.0496444702148</v>
      </c>
      <c r="L634" s="11" t="s">
        <v>1515</v>
      </c>
      <c r="M634" s="11" t="s">
        <v>1515</v>
      </c>
      <c r="N634" s="11" t="s">
        <v>1062</v>
      </c>
      <c r="O634" s="11" t="s">
        <v>2029</v>
      </c>
    </row>
    <row r="635">
      <c r="A635" s="11">
        <v>-14.4016389846801</v>
      </c>
      <c r="B635" s="11">
        <v>2.29306125640869</v>
      </c>
      <c r="C635" s="11" t="s">
        <v>1515</v>
      </c>
      <c r="D635" s="11" t="s">
        <v>1515</v>
      </c>
      <c r="E635" s="11" t="s">
        <v>1062</v>
      </c>
      <c r="F635" s="11" t="s">
        <v>2032</v>
      </c>
      <c r="J635" s="11">
        <v>17.5796890258789</v>
      </c>
      <c r="K635" s="11">
        <v>10.1722345352172</v>
      </c>
      <c r="L635" s="11" t="s">
        <v>1515</v>
      </c>
      <c r="M635" s="11" t="s">
        <v>1515</v>
      </c>
      <c r="N635" s="11" t="s">
        <v>1062</v>
      </c>
      <c r="O635" s="11" t="s">
        <v>2032</v>
      </c>
    </row>
    <row r="636">
      <c r="A636" s="11">
        <v>-31.9359874725341</v>
      </c>
      <c r="B636" s="11">
        <v>-26.7203578948974</v>
      </c>
      <c r="C636" s="11" t="s">
        <v>1515</v>
      </c>
      <c r="D636" s="11" t="s">
        <v>1515</v>
      </c>
      <c r="E636" s="11" t="s">
        <v>1062</v>
      </c>
      <c r="F636" s="11" t="s">
        <v>2033</v>
      </c>
      <c r="J636" s="11">
        <v>25.2504386901855</v>
      </c>
      <c r="K636" s="11">
        <v>54.2914390563964</v>
      </c>
      <c r="L636" s="11" t="s">
        <v>1515</v>
      </c>
      <c r="M636" s="11" t="s">
        <v>1515</v>
      </c>
      <c r="N636" s="11" t="s">
        <v>1062</v>
      </c>
      <c r="O636" s="11" t="s">
        <v>2033</v>
      </c>
    </row>
    <row r="637">
      <c r="A637" s="11">
        <v>-13.621750831604</v>
      </c>
      <c r="B637" s="11">
        <v>6.20545005798339</v>
      </c>
      <c r="C637" s="11" t="s">
        <v>1515</v>
      </c>
      <c r="D637" s="11" t="s">
        <v>1515</v>
      </c>
      <c r="E637" s="11" t="s">
        <v>1062</v>
      </c>
      <c r="F637" s="11" t="s">
        <v>2036</v>
      </c>
      <c r="J637" s="11">
        <v>-2.08563256263732</v>
      </c>
      <c r="K637" s="11">
        <v>-13.5026426315307</v>
      </c>
      <c r="L637" s="11" t="s">
        <v>1515</v>
      </c>
      <c r="M637" s="11" t="s">
        <v>1515</v>
      </c>
      <c r="N637" s="11" t="s">
        <v>1062</v>
      </c>
      <c r="O637" s="11" t="s">
        <v>2036</v>
      </c>
    </row>
    <row r="638">
      <c r="A638" s="11">
        <v>-57.7899322509765</v>
      </c>
      <c r="B638" s="11">
        <v>14.9418325424194</v>
      </c>
      <c r="C638" s="11" t="s">
        <v>1515</v>
      </c>
      <c r="D638" s="11" t="s">
        <v>1515</v>
      </c>
      <c r="E638" s="11" t="s">
        <v>1062</v>
      </c>
      <c r="F638" s="11" t="s">
        <v>2038</v>
      </c>
      <c r="J638" s="11">
        <v>52.838939666748</v>
      </c>
      <c r="K638" s="11">
        <v>5.49996995925903</v>
      </c>
      <c r="L638" s="11" t="s">
        <v>1515</v>
      </c>
      <c r="M638" s="11" t="s">
        <v>1515</v>
      </c>
      <c r="N638" s="11" t="s">
        <v>1062</v>
      </c>
      <c r="O638" s="11" t="s">
        <v>2038</v>
      </c>
    </row>
    <row r="639">
      <c r="A639" s="11">
        <v>-6.57716560363769</v>
      </c>
      <c r="B639" s="11">
        <v>-40.0610618591308</v>
      </c>
      <c r="C639" s="11" t="s">
        <v>1515</v>
      </c>
      <c r="D639" s="11" t="s">
        <v>1515</v>
      </c>
      <c r="E639" s="11" t="s">
        <v>1062</v>
      </c>
      <c r="F639" s="11" t="s">
        <v>2041</v>
      </c>
      <c r="J639" s="11">
        <v>6.52775382995605</v>
      </c>
      <c r="K639" s="11">
        <v>37.3989105224609</v>
      </c>
      <c r="L639" s="11" t="s">
        <v>1515</v>
      </c>
      <c r="M639" s="11" t="s">
        <v>1515</v>
      </c>
      <c r="N639" s="11" t="s">
        <v>1062</v>
      </c>
      <c r="O639" s="11" t="s">
        <v>2041</v>
      </c>
    </row>
    <row r="640">
      <c r="A640" s="11">
        <v>29.3190631866455</v>
      </c>
      <c r="B640" s="11">
        <v>4.70013189315795</v>
      </c>
      <c r="C640" s="11" t="s">
        <v>1515</v>
      </c>
      <c r="D640" s="11" t="s">
        <v>1515</v>
      </c>
      <c r="E640" s="11" t="s">
        <v>1062</v>
      </c>
      <c r="F640" s="11" t="s">
        <v>2043</v>
      </c>
      <c r="J640" s="11">
        <v>-3.22012186050415</v>
      </c>
      <c r="K640" s="11">
        <v>48.711685180664</v>
      </c>
      <c r="L640" s="11" t="s">
        <v>1515</v>
      </c>
      <c r="M640" s="11" t="s">
        <v>1515</v>
      </c>
      <c r="N640" s="11" t="s">
        <v>1062</v>
      </c>
      <c r="O640" s="11" t="s">
        <v>2043</v>
      </c>
    </row>
    <row r="641">
      <c r="A641" s="11">
        <v>-62.5358200073242</v>
      </c>
      <c r="B641" s="11">
        <v>12.6929101943969</v>
      </c>
      <c r="C641" s="11" t="s">
        <v>1515</v>
      </c>
      <c r="D641" s="11" t="s">
        <v>1515</v>
      </c>
      <c r="E641" s="11" t="s">
        <v>1062</v>
      </c>
      <c r="F641" s="11" t="s">
        <v>2045</v>
      </c>
      <c r="J641" s="11">
        <v>49.4765472412109</v>
      </c>
      <c r="K641" s="11">
        <v>7.58639669418335</v>
      </c>
      <c r="L641" s="11" t="s">
        <v>1515</v>
      </c>
      <c r="M641" s="11" t="s">
        <v>1515</v>
      </c>
      <c r="N641" s="11" t="s">
        <v>1062</v>
      </c>
      <c r="O641" s="11" t="s">
        <v>2045</v>
      </c>
    </row>
    <row r="642">
      <c r="A642" s="11">
        <v>-34.804817199707</v>
      </c>
      <c r="B642" s="11">
        <v>13.3270273208618</v>
      </c>
      <c r="C642" s="11" t="s">
        <v>1515</v>
      </c>
      <c r="D642" s="11" t="s">
        <v>1515</v>
      </c>
      <c r="E642" s="11" t="s">
        <v>1062</v>
      </c>
      <c r="F642" s="11" t="s">
        <v>2048</v>
      </c>
      <c r="J642" s="11">
        <v>13.6914453506469</v>
      </c>
      <c r="K642" s="11">
        <v>24.8537864685058</v>
      </c>
      <c r="L642" s="11" t="s">
        <v>1515</v>
      </c>
      <c r="M642" s="11" t="s">
        <v>1515</v>
      </c>
      <c r="N642" s="11" t="s">
        <v>1062</v>
      </c>
      <c r="O642" s="11" t="s">
        <v>2048</v>
      </c>
    </row>
    <row r="643">
      <c r="A643" s="11">
        <v>-2.59580659866333</v>
      </c>
      <c r="B643" s="11">
        <v>-1.81672739982604</v>
      </c>
      <c r="C643" s="11" t="s">
        <v>1515</v>
      </c>
      <c r="D643" s="11" t="s">
        <v>1515</v>
      </c>
      <c r="E643" s="11" t="s">
        <v>1062</v>
      </c>
      <c r="F643" s="11" t="s">
        <v>2050</v>
      </c>
      <c r="J643" s="11">
        <v>19.0398025512695</v>
      </c>
      <c r="K643" s="11">
        <v>20.3552074432373</v>
      </c>
      <c r="L643" s="11" t="s">
        <v>1515</v>
      </c>
      <c r="M643" s="11" t="s">
        <v>1515</v>
      </c>
      <c r="N643" s="11" t="s">
        <v>1062</v>
      </c>
      <c r="O643" s="11" t="s">
        <v>2050</v>
      </c>
    </row>
    <row r="644">
      <c r="A644" s="11">
        <v>56.0233612060546</v>
      </c>
      <c r="B644" s="11">
        <v>-5.31279230117797</v>
      </c>
      <c r="C644" s="11" t="s">
        <v>1515</v>
      </c>
      <c r="D644" s="11" t="s">
        <v>1515</v>
      </c>
      <c r="E644" s="11" t="s">
        <v>1062</v>
      </c>
      <c r="F644" s="11" t="s">
        <v>2052</v>
      </c>
      <c r="J644" s="11">
        <v>1.52119445800781</v>
      </c>
      <c r="K644" s="11">
        <v>57.0808944702148</v>
      </c>
      <c r="L644" s="11" t="s">
        <v>1515</v>
      </c>
      <c r="M644" s="11" t="s">
        <v>1515</v>
      </c>
      <c r="N644" s="11" t="s">
        <v>1062</v>
      </c>
      <c r="O644" s="11" t="s">
        <v>2052</v>
      </c>
    </row>
    <row r="645">
      <c r="A645" s="11">
        <v>-6.57716560363769</v>
      </c>
      <c r="B645" s="11">
        <v>-40.0610618591308</v>
      </c>
      <c r="C645" s="11" t="s">
        <v>1515</v>
      </c>
      <c r="D645" s="11" t="s">
        <v>1515</v>
      </c>
      <c r="E645" s="11" t="s">
        <v>1062</v>
      </c>
      <c r="F645" s="11" t="s">
        <v>2055</v>
      </c>
      <c r="J645" s="11">
        <v>7.1069631576538</v>
      </c>
      <c r="K645" s="11">
        <v>37.4189758300781</v>
      </c>
      <c r="L645" s="11" t="s">
        <v>1515</v>
      </c>
      <c r="M645" s="11" t="s">
        <v>1515</v>
      </c>
      <c r="N645" s="11" t="s">
        <v>1062</v>
      </c>
      <c r="O645" s="11" t="s">
        <v>2055</v>
      </c>
    </row>
    <row r="646">
      <c r="A646" s="11">
        <v>46.0071220397949</v>
      </c>
      <c r="B646" s="11">
        <v>-2.08288288116455</v>
      </c>
      <c r="C646" s="11" t="s">
        <v>1515</v>
      </c>
      <c r="D646" s="11" t="s">
        <v>1515</v>
      </c>
      <c r="E646" s="11" t="s">
        <v>1062</v>
      </c>
      <c r="F646" s="11" t="s">
        <v>2057</v>
      </c>
      <c r="J646" s="11">
        <v>6.95809745788574</v>
      </c>
      <c r="K646" s="11">
        <v>62.6985206604003</v>
      </c>
      <c r="L646" s="11" t="s">
        <v>1515</v>
      </c>
      <c r="M646" s="11" t="s">
        <v>1515</v>
      </c>
      <c r="N646" s="11" t="s">
        <v>1062</v>
      </c>
      <c r="O646" s="11" t="s">
        <v>2057</v>
      </c>
    </row>
    <row r="647">
      <c r="A647" s="11">
        <v>-7.10118246078491</v>
      </c>
      <c r="B647" s="11">
        <v>-3.59972786903381</v>
      </c>
      <c r="C647" s="11" t="s">
        <v>1515</v>
      </c>
      <c r="D647" s="11" t="s">
        <v>1515</v>
      </c>
      <c r="E647" s="11" t="s">
        <v>1062</v>
      </c>
      <c r="F647" s="11" t="s">
        <v>2059</v>
      </c>
      <c r="J647" s="11">
        <v>15.7276277542114</v>
      </c>
      <c r="K647" s="11">
        <v>66.0496139526367</v>
      </c>
      <c r="L647" s="11" t="s">
        <v>1515</v>
      </c>
      <c r="M647" s="11" t="s">
        <v>1515</v>
      </c>
      <c r="N647" s="11" t="s">
        <v>1062</v>
      </c>
      <c r="O647" s="11" t="s">
        <v>2059</v>
      </c>
    </row>
    <row r="648">
      <c r="A648" s="11">
        <v>-13.6917476654052</v>
      </c>
      <c r="B648" s="11">
        <v>12.2581052780151</v>
      </c>
      <c r="C648" s="11" t="s">
        <v>1515</v>
      </c>
      <c r="D648" s="11" t="s">
        <v>1515</v>
      </c>
      <c r="E648" s="11" t="s">
        <v>1062</v>
      </c>
      <c r="F648" s="11" t="s">
        <v>2060</v>
      </c>
      <c r="J648" s="11">
        <v>52.8643798828125</v>
      </c>
      <c r="K648" s="11">
        <v>-18.0335693359375</v>
      </c>
      <c r="L648" s="11" t="s">
        <v>1515</v>
      </c>
      <c r="M648" s="11" t="s">
        <v>1515</v>
      </c>
      <c r="N648" s="11" t="s">
        <v>1062</v>
      </c>
      <c r="O648" s="11" t="s">
        <v>2060</v>
      </c>
    </row>
    <row r="649">
      <c r="A649" s="11">
        <v>-58.6038436889648</v>
      </c>
      <c r="B649" s="11">
        <v>30.4532489776611</v>
      </c>
      <c r="C649" s="11" t="s">
        <v>1515</v>
      </c>
      <c r="D649" s="11" t="s">
        <v>1515</v>
      </c>
      <c r="E649" s="11" t="s">
        <v>1062</v>
      </c>
      <c r="F649" s="11" t="s">
        <v>2062</v>
      </c>
      <c r="J649" s="11">
        <v>45.0321578979492</v>
      </c>
      <c r="K649" s="11">
        <v>18.4103260040283</v>
      </c>
      <c r="L649" s="11" t="s">
        <v>1515</v>
      </c>
      <c r="M649" s="11" t="s">
        <v>1515</v>
      </c>
      <c r="N649" s="11" t="s">
        <v>1062</v>
      </c>
      <c r="O649" s="11" t="s">
        <v>2062</v>
      </c>
    </row>
    <row r="650">
      <c r="A650" s="11">
        <v>-3.0835371017456</v>
      </c>
      <c r="B650" s="11">
        <v>-68.461441040039</v>
      </c>
      <c r="C650" s="11" t="s">
        <v>1515</v>
      </c>
      <c r="D650" s="11" t="s">
        <v>1515</v>
      </c>
      <c r="E650" s="11" t="s">
        <v>1062</v>
      </c>
      <c r="F650" s="11" t="s">
        <v>2064</v>
      </c>
      <c r="J650" s="11">
        <v>7.16699934005737</v>
      </c>
      <c r="K650" s="11">
        <v>33.5933952331543</v>
      </c>
      <c r="L650" s="11" t="s">
        <v>1515</v>
      </c>
      <c r="M650" s="11" t="s">
        <v>1515</v>
      </c>
      <c r="N650" s="11" t="s">
        <v>1062</v>
      </c>
      <c r="O650" s="11" t="s">
        <v>2064</v>
      </c>
    </row>
    <row r="651">
      <c r="A651" s="11">
        <v>-38.4992752075195</v>
      </c>
      <c r="B651" s="11">
        <v>34.6704330444335</v>
      </c>
      <c r="C651" s="11" t="s">
        <v>1515</v>
      </c>
      <c r="D651" s="11" t="s">
        <v>1515</v>
      </c>
      <c r="E651" s="11" t="s">
        <v>1062</v>
      </c>
      <c r="F651" s="11" t="s">
        <v>2066</v>
      </c>
      <c r="J651" s="11">
        <v>44.5934219360351</v>
      </c>
      <c r="K651" s="11">
        <v>-12.161392211914</v>
      </c>
      <c r="L651" s="11" t="s">
        <v>1515</v>
      </c>
      <c r="M651" s="11" t="s">
        <v>1515</v>
      </c>
      <c r="N651" s="11" t="s">
        <v>1062</v>
      </c>
      <c r="O651" s="11" t="s">
        <v>2066</v>
      </c>
    </row>
    <row r="652">
      <c r="A652" s="11">
        <v>-50.4831809997558</v>
      </c>
      <c r="B652" s="11">
        <v>32.1623458862304</v>
      </c>
      <c r="C652" s="11" t="s">
        <v>1515</v>
      </c>
      <c r="D652" s="11" t="s">
        <v>1515</v>
      </c>
      <c r="E652" s="11" t="s">
        <v>1062</v>
      </c>
      <c r="F652" s="11" t="s">
        <v>2069</v>
      </c>
      <c r="J652" s="11">
        <v>37.0180854797363</v>
      </c>
      <c r="K652" s="11">
        <v>12.8597440719604</v>
      </c>
      <c r="L652" s="11" t="s">
        <v>1515</v>
      </c>
      <c r="M652" s="11" t="s">
        <v>1515</v>
      </c>
      <c r="N652" s="11" t="s">
        <v>1062</v>
      </c>
      <c r="O652" s="11" t="s">
        <v>2069</v>
      </c>
    </row>
    <row r="653">
      <c r="A653" s="11">
        <v>-30.3922786712646</v>
      </c>
      <c r="B653" s="11">
        <v>35.5484619140625</v>
      </c>
      <c r="C653" s="11" t="s">
        <v>1515</v>
      </c>
      <c r="D653" s="11" t="s">
        <v>1515</v>
      </c>
      <c r="E653" s="11" t="s">
        <v>1062</v>
      </c>
      <c r="F653" s="11" t="s">
        <v>2071</v>
      </c>
      <c r="J653" s="11">
        <v>32.7629051208496</v>
      </c>
      <c r="K653" s="11">
        <v>44.0458030700683</v>
      </c>
      <c r="L653" s="11" t="s">
        <v>1515</v>
      </c>
      <c r="M653" s="11" t="s">
        <v>1515</v>
      </c>
      <c r="N653" s="11" t="s">
        <v>1062</v>
      </c>
      <c r="O653" s="11" t="s">
        <v>2071</v>
      </c>
    </row>
    <row r="654">
      <c r="A654" s="11">
        <v>45.109447479248</v>
      </c>
      <c r="B654" s="11">
        <v>-1.34163963794708</v>
      </c>
      <c r="C654" s="11" t="s">
        <v>1515</v>
      </c>
      <c r="D654" s="11" t="s">
        <v>1515</v>
      </c>
      <c r="E654" s="11" t="s">
        <v>1062</v>
      </c>
      <c r="F654" s="11" t="s">
        <v>2073</v>
      </c>
      <c r="J654" s="11">
        <v>5.80050659179687</v>
      </c>
      <c r="K654" s="11">
        <v>59.7581176757812</v>
      </c>
      <c r="L654" s="11" t="s">
        <v>1515</v>
      </c>
      <c r="M654" s="11" t="s">
        <v>1515</v>
      </c>
      <c r="N654" s="11" t="s">
        <v>1062</v>
      </c>
      <c r="O654" s="11" t="s">
        <v>2073</v>
      </c>
    </row>
    <row r="655">
      <c r="A655" s="11">
        <v>35.9353256225585</v>
      </c>
      <c r="B655" s="11">
        <v>3.34893584251403</v>
      </c>
      <c r="C655" s="11" t="s">
        <v>1515</v>
      </c>
      <c r="D655" s="11" t="s">
        <v>1515</v>
      </c>
      <c r="E655" s="11" t="s">
        <v>1062</v>
      </c>
      <c r="F655" s="11" t="s">
        <v>2076</v>
      </c>
      <c r="J655" s="11">
        <v>4.98911714553833</v>
      </c>
      <c r="K655" s="11">
        <v>54.3009300231933</v>
      </c>
      <c r="L655" s="11" t="s">
        <v>1515</v>
      </c>
      <c r="M655" s="11" t="s">
        <v>1515</v>
      </c>
      <c r="N655" s="11" t="s">
        <v>1062</v>
      </c>
      <c r="O655" s="11" t="s">
        <v>2076</v>
      </c>
    </row>
    <row r="656">
      <c r="A656" s="11">
        <v>-29.027114868164</v>
      </c>
      <c r="B656" s="11">
        <v>28.8715286254882</v>
      </c>
      <c r="C656" s="11" t="s">
        <v>1515</v>
      </c>
      <c r="D656" s="11" t="s">
        <v>1515</v>
      </c>
      <c r="E656" s="11" t="s">
        <v>1062</v>
      </c>
      <c r="F656" s="11" t="s">
        <v>2078</v>
      </c>
      <c r="J656" s="11">
        <v>2.75147318840026</v>
      </c>
      <c r="K656" s="11">
        <v>31.233154296875</v>
      </c>
      <c r="L656" s="11" t="s">
        <v>1515</v>
      </c>
      <c r="M656" s="11" t="s">
        <v>1515</v>
      </c>
      <c r="N656" s="11" t="s">
        <v>1062</v>
      </c>
      <c r="O656" s="11" t="s">
        <v>2078</v>
      </c>
    </row>
    <row r="657">
      <c r="A657" s="11">
        <v>-54.1023063659668</v>
      </c>
      <c r="B657" s="11">
        <v>13.6767997741699</v>
      </c>
      <c r="C657" s="11" t="s">
        <v>1515</v>
      </c>
      <c r="D657" s="11" t="s">
        <v>1515</v>
      </c>
      <c r="E657" s="11" t="s">
        <v>1062</v>
      </c>
      <c r="F657" s="11" t="s">
        <v>2081</v>
      </c>
      <c r="J657" s="11">
        <v>53.7303352355957</v>
      </c>
      <c r="K657" s="11">
        <v>2.95804095268249</v>
      </c>
      <c r="L657" s="11" t="s">
        <v>1515</v>
      </c>
      <c r="M657" s="11" t="s">
        <v>1515</v>
      </c>
      <c r="N657" s="11" t="s">
        <v>1062</v>
      </c>
      <c r="O657" s="11" t="s">
        <v>2081</v>
      </c>
    </row>
    <row r="658">
      <c r="A658" s="11">
        <v>-41.7036514282226</v>
      </c>
      <c r="B658" s="11">
        <v>13.7843198776245</v>
      </c>
      <c r="C658" s="11" t="s">
        <v>1515</v>
      </c>
      <c r="D658" s="11" t="s">
        <v>1515</v>
      </c>
      <c r="E658" s="11" t="s">
        <v>1062</v>
      </c>
      <c r="F658" s="11" t="s">
        <v>2083</v>
      </c>
      <c r="J658" s="11">
        <v>13.3418560028076</v>
      </c>
      <c r="K658" s="11">
        <v>20.1024532318115</v>
      </c>
      <c r="L658" s="11" t="s">
        <v>1515</v>
      </c>
      <c r="M658" s="11" t="s">
        <v>1515</v>
      </c>
      <c r="N658" s="11" t="s">
        <v>1062</v>
      </c>
      <c r="O658" s="11" t="s">
        <v>2083</v>
      </c>
    </row>
    <row r="659">
      <c r="A659" s="11">
        <v>50.3173294067382</v>
      </c>
      <c r="B659" s="11">
        <v>5.13536882400512</v>
      </c>
      <c r="C659" s="11" t="s">
        <v>1515</v>
      </c>
      <c r="D659" s="11" t="s">
        <v>1515</v>
      </c>
      <c r="E659" s="11" t="s">
        <v>1062</v>
      </c>
      <c r="F659" s="11" t="s">
        <v>2085</v>
      </c>
      <c r="J659" s="11">
        <v>2.07272386550903</v>
      </c>
      <c r="K659" s="11">
        <v>50.1250190734863</v>
      </c>
      <c r="L659" s="11" t="s">
        <v>1515</v>
      </c>
      <c r="M659" s="11" t="s">
        <v>1515</v>
      </c>
      <c r="N659" s="11" t="s">
        <v>1062</v>
      </c>
      <c r="O659" s="11" t="s">
        <v>2085</v>
      </c>
    </row>
    <row r="660">
      <c r="A660" s="11">
        <v>-44.0575828552246</v>
      </c>
      <c r="B660" s="11">
        <v>37.911808013916</v>
      </c>
      <c r="C660" s="11" t="s">
        <v>1515</v>
      </c>
      <c r="D660" s="11" t="s">
        <v>1515</v>
      </c>
      <c r="E660" s="11" t="s">
        <v>1062</v>
      </c>
      <c r="F660" s="11" t="s">
        <v>2088</v>
      </c>
      <c r="J660" s="11">
        <v>42.4902153015136</v>
      </c>
      <c r="K660" s="11">
        <v>-21.1843852996826</v>
      </c>
      <c r="L660" s="11" t="s">
        <v>1515</v>
      </c>
      <c r="M660" s="11" t="s">
        <v>1515</v>
      </c>
      <c r="N660" s="11" t="s">
        <v>1062</v>
      </c>
      <c r="O660" s="11" t="s">
        <v>2088</v>
      </c>
    </row>
    <row r="661">
      <c r="A661" s="11">
        <v>-50.6896858215332</v>
      </c>
      <c r="B661" s="11">
        <v>30.698631286621</v>
      </c>
      <c r="C661" s="11" t="s">
        <v>1515</v>
      </c>
      <c r="D661" s="11" t="s">
        <v>1515</v>
      </c>
      <c r="E661" s="11" t="s">
        <v>1062</v>
      </c>
      <c r="F661" s="11" t="s">
        <v>2090</v>
      </c>
      <c r="J661" s="11">
        <v>36.9897384643554</v>
      </c>
      <c r="K661" s="11">
        <v>11.4950065612792</v>
      </c>
      <c r="L661" s="11" t="s">
        <v>1515</v>
      </c>
      <c r="M661" s="11" t="s">
        <v>1515</v>
      </c>
      <c r="N661" s="11" t="s">
        <v>1062</v>
      </c>
      <c r="O661" s="11" t="s">
        <v>2090</v>
      </c>
    </row>
    <row r="662">
      <c r="A662" s="11">
        <v>-38.863426208496</v>
      </c>
      <c r="B662" s="11">
        <v>43.8505706787109</v>
      </c>
      <c r="C662" s="11" t="s">
        <v>1515</v>
      </c>
      <c r="D662" s="11" t="s">
        <v>1515</v>
      </c>
      <c r="E662" s="11" t="s">
        <v>1062</v>
      </c>
      <c r="F662" s="11" t="s">
        <v>2093</v>
      </c>
      <c r="J662" s="11">
        <v>48.5995368957519</v>
      </c>
      <c r="K662" s="11">
        <v>-11.1477880477905</v>
      </c>
      <c r="L662" s="11" t="s">
        <v>1515</v>
      </c>
      <c r="M662" s="11" t="s">
        <v>1515</v>
      </c>
      <c r="N662" s="11" t="s">
        <v>1062</v>
      </c>
      <c r="O662" s="11" t="s">
        <v>2093</v>
      </c>
    </row>
    <row r="663">
      <c r="A663" s="11">
        <v>-6.42584562301635</v>
      </c>
      <c r="B663" s="11">
        <v>7.31248521804809</v>
      </c>
      <c r="C663" s="11" t="s">
        <v>1515</v>
      </c>
      <c r="D663" s="11" t="s">
        <v>1515</v>
      </c>
      <c r="E663" s="11" t="s">
        <v>1062</v>
      </c>
      <c r="F663" s="11" t="s">
        <v>2095</v>
      </c>
      <c r="J663" s="11">
        <v>29.2895851135253</v>
      </c>
      <c r="K663" s="11">
        <v>15.2987995147705</v>
      </c>
      <c r="L663" s="11" t="s">
        <v>1515</v>
      </c>
      <c r="M663" s="11" t="s">
        <v>1515</v>
      </c>
      <c r="N663" s="11" t="s">
        <v>1062</v>
      </c>
      <c r="O663" s="11" t="s">
        <v>2095</v>
      </c>
    </row>
    <row r="664">
      <c r="A664" s="11">
        <v>65.6143112182617</v>
      </c>
      <c r="B664" s="11">
        <v>-3.56810617446899</v>
      </c>
      <c r="C664" s="11" t="s">
        <v>1515</v>
      </c>
      <c r="D664" s="11" t="s">
        <v>1515</v>
      </c>
      <c r="E664" s="11" t="s">
        <v>1062</v>
      </c>
      <c r="F664" s="11" t="s">
        <v>2096</v>
      </c>
      <c r="J664" s="11">
        <v>-1.38530468940734</v>
      </c>
      <c r="K664" s="11">
        <v>61.4968109130859</v>
      </c>
      <c r="L664" s="11" t="s">
        <v>1515</v>
      </c>
      <c r="M664" s="11" t="s">
        <v>1515</v>
      </c>
      <c r="N664" s="11" t="s">
        <v>1062</v>
      </c>
      <c r="O664" s="11" t="s">
        <v>2096</v>
      </c>
    </row>
    <row r="665">
      <c r="A665" s="11">
        <v>-13.0155639648437</v>
      </c>
      <c r="B665" s="11">
        <v>5.23352241516113</v>
      </c>
      <c r="C665" s="11" t="s">
        <v>1515</v>
      </c>
      <c r="D665" s="11" t="s">
        <v>1515</v>
      </c>
      <c r="E665" s="11" t="s">
        <v>1062</v>
      </c>
      <c r="F665" s="11" t="s">
        <v>2098</v>
      </c>
      <c r="J665" s="11">
        <v>-2.08563256263732</v>
      </c>
      <c r="K665" s="11">
        <v>-13.5026426315307</v>
      </c>
      <c r="L665" s="11" t="s">
        <v>1515</v>
      </c>
      <c r="M665" s="11" t="s">
        <v>1515</v>
      </c>
      <c r="N665" s="11" t="s">
        <v>1062</v>
      </c>
      <c r="O665" s="11" t="s">
        <v>2098</v>
      </c>
    </row>
    <row r="666">
      <c r="A666" s="11">
        <v>-34.6447143554687</v>
      </c>
      <c r="B666" s="11">
        <v>20.7913036346435</v>
      </c>
      <c r="C666" s="11" t="s">
        <v>1515</v>
      </c>
      <c r="D666" s="11" t="s">
        <v>1515</v>
      </c>
      <c r="E666" s="11" t="s">
        <v>1062</v>
      </c>
      <c r="F666" s="11" t="s">
        <v>2100</v>
      </c>
      <c r="J666" s="11">
        <v>48.0030136108398</v>
      </c>
      <c r="K666" s="11">
        <v>1.67928671836853</v>
      </c>
      <c r="L666" s="11" t="s">
        <v>1515</v>
      </c>
      <c r="M666" s="11" t="s">
        <v>1515</v>
      </c>
      <c r="N666" s="11" t="s">
        <v>1062</v>
      </c>
      <c r="O666" s="11" t="s">
        <v>2100</v>
      </c>
    </row>
    <row r="667">
      <c r="A667" s="11">
        <v>-30.4132022857666</v>
      </c>
      <c r="B667" s="11">
        <v>34.3856697082519</v>
      </c>
      <c r="C667" s="11" t="s">
        <v>1515</v>
      </c>
      <c r="D667" s="11" t="s">
        <v>1515</v>
      </c>
      <c r="E667" s="11" t="s">
        <v>1062</v>
      </c>
      <c r="F667" s="11" t="s">
        <v>2102</v>
      </c>
      <c r="J667" s="11">
        <v>32.9636001586914</v>
      </c>
      <c r="K667" s="11">
        <v>43.5195846557617</v>
      </c>
      <c r="L667" s="11" t="s">
        <v>1515</v>
      </c>
      <c r="M667" s="11" t="s">
        <v>1515</v>
      </c>
      <c r="N667" s="11" t="s">
        <v>1062</v>
      </c>
      <c r="O667" s="11" t="s">
        <v>2102</v>
      </c>
    </row>
    <row r="668">
      <c r="A668" s="11">
        <v>48.4687347412109</v>
      </c>
      <c r="B668" s="11">
        <v>-4.76391696929931</v>
      </c>
      <c r="C668" s="11" t="s">
        <v>1515</v>
      </c>
      <c r="D668" s="11" t="s">
        <v>1515</v>
      </c>
      <c r="E668" s="11" t="s">
        <v>1062</v>
      </c>
      <c r="F668" s="11" t="s">
        <v>2104</v>
      </c>
      <c r="J668" s="11">
        <v>6.46997928619384</v>
      </c>
      <c r="K668" s="11">
        <v>60.9422874450683</v>
      </c>
      <c r="L668" s="11" t="s">
        <v>1515</v>
      </c>
      <c r="M668" s="11" t="s">
        <v>1515</v>
      </c>
      <c r="N668" s="11" t="s">
        <v>1062</v>
      </c>
      <c r="O668" s="11" t="s">
        <v>2104</v>
      </c>
    </row>
    <row r="669">
      <c r="A669" s="11">
        <v>-5.03698968887329</v>
      </c>
      <c r="B669" s="11">
        <v>4.59808874130249</v>
      </c>
      <c r="C669" s="11" t="s">
        <v>1515</v>
      </c>
      <c r="D669" s="11" t="s">
        <v>1515</v>
      </c>
      <c r="E669" s="11" t="s">
        <v>1062</v>
      </c>
      <c r="F669" s="11" t="s">
        <v>2106</v>
      </c>
      <c r="J669" s="11">
        <v>13.0525093078613</v>
      </c>
      <c r="K669" s="11">
        <v>8.54818058013916</v>
      </c>
      <c r="L669" s="11" t="s">
        <v>1515</v>
      </c>
      <c r="M669" s="11" t="s">
        <v>1515</v>
      </c>
      <c r="N669" s="11" t="s">
        <v>1062</v>
      </c>
      <c r="O669" s="11" t="s">
        <v>2106</v>
      </c>
    </row>
    <row r="670">
      <c r="A670" s="11">
        <v>-9.88677787780761</v>
      </c>
      <c r="B670" s="11">
        <v>13.348608970642</v>
      </c>
      <c r="C670" s="11" t="s">
        <v>1515</v>
      </c>
      <c r="D670" s="11" t="s">
        <v>1515</v>
      </c>
      <c r="E670" s="11" t="s">
        <v>1062</v>
      </c>
      <c r="F670" s="11" t="s">
        <v>2108</v>
      </c>
      <c r="J670" s="11">
        <v>40.3479690551757</v>
      </c>
      <c r="K670" s="11">
        <v>23.2971286773681</v>
      </c>
      <c r="L670" s="11" t="s">
        <v>1515</v>
      </c>
      <c r="M670" s="11" t="s">
        <v>1515</v>
      </c>
      <c r="N670" s="11" t="s">
        <v>1062</v>
      </c>
      <c r="O670" s="11" t="s">
        <v>2108</v>
      </c>
    </row>
    <row r="671">
      <c r="A671" s="11">
        <v>46.7643089294433</v>
      </c>
      <c r="B671" s="11">
        <v>-4.93969392776489</v>
      </c>
      <c r="C671" s="11" t="s">
        <v>1515</v>
      </c>
      <c r="D671" s="11" t="s">
        <v>1515</v>
      </c>
      <c r="E671" s="11" t="s">
        <v>1062</v>
      </c>
      <c r="F671" s="11" t="s">
        <v>2111</v>
      </c>
      <c r="J671" s="11">
        <v>8.32397365570068</v>
      </c>
      <c r="K671" s="11">
        <v>62.5311050415039</v>
      </c>
      <c r="L671" s="11" t="s">
        <v>1515</v>
      </c>
      <c r="M671" s="11" t="s">
        <v>1515</v>
      </c>
      <c r="N671" s="11" t="s">
        <v>1062</v>
      </c>
      <c r="O671" s="11" t="s">
        <v>2111</v>
      </c>
    </row>
    <row r="672">
      <c r="A672" s="11">
        <v>-36.4714202880859</v>
      </c>
      <c r="B672" s="11">
        <v>4.80868339538574</v>
      </c>
      <c r="C672" s="11" t="s">
        <v>1515</v>
      </c>
      <c r="D672" s="11" t="s">
        <v>1515</v>
      </c>
      <c r="E672" s="11" t="s">
        <v>1062</v>
      </c>
      <c r="F672" s="11" t="s">
        <v>2113</v>
      </c>
      <c r="J672" s="11">
        <v>5.71332120895385</v>
      </c>
      <c r="K672" s="11">
        <v>48.8794326782226</v>
      </c>
      <c r="L672" s="11" t="s">
        <v>1515</v>
      </c>
      <c r="M672" s="11" t="s">
        <v>1515</v>
      </c>
      <c r="N672" s="11" t="s">
        <v>1062</v>
      </c>
      <c r="O672" s="11" t="s">
        <v>2113</v>
      </c>
    </row>
    <row r="673">
      <c r="A673" s="11">
        <v>29.7400703430175</v>
      </c>
      <c r="B673" s="11">
        <v>4.23962354660034</v>
      </c>
      <c r="C673" s="11" t="s">
        <v>1515</v>
      </c>
      <c r="D673" s="11" t="s">
        <v>1515</v>
      </c>
      <c r="E673" s="11" t="s">
        <v>1062</v>
      </c>
      <c r="F673" s="11" t="s">
        <v>2115</v>
      </c>
      <c r="J673" s="11">
        <v>-3.01322054862976</v>
      </c>
      <c r="K673" s="11">
        <v>48.3892745971679</v>
      </c>
      <c r="L673" s="11" t="s">
        <v>1515</v>
      </c>
      <c r="M673" s="11" t="s">
        <v>1515</v>
      </c>
      <c r="N673" s="11" t="s">
        <v>1062</v>
      </c>
      <c r="O673" s="11" t="s">
        <v>2115</v>
      </c>
    </row>
    <row r="674">
      <c r="A674" s="11">
        <v>-8.09898281097412</v>
      </c>
      <c r="B674" s="11">
        <v>9.53835296630859</v>
      </c>
      <c r="C674" s="11" t="s">
        <v>1515</v>
      </c>
      <c r="D674" s="11" t="s">
        <v>1515</v>
      </c>
      <c r="E674" s="11" t="s">
        <v>1062</v>
      </c>
      <c r="F674" s="11" t="s">
        <v>2118</v>
      </c>
      <c r="J674" s="11">
        <v>-0.617371201515197</v>
      </c>
      <c r="K674" s="11">
        <v>53.1392021179199</v>
      </c>
      <c r="L674" s="11" t="s">
        <v>1515</v>
      </c>
      <c r="M674" s="11" t="s">
        <v>1515</v>
      </c>
      <c r="N674" s="11" t="s">
        <v>1062</v>
      </c>
      <c r="O674" s="11" t="s">
        <v>2118</v>
      </c>
    </row>
    <row r="675">
      <c r="A675" s="11">
        <v>29.1842002868652</v>
      </c>
      <c r="B675" s="11">
        <v>3.84671664237976</v>
      </c>
      <c r="C675" s="11" t="s">
        <v>1515</v>
      </c>
      <c r="D675" s="11" t="s">
        <v>1515</v>
      </c>
      <c r="E675" s="11" t="s">
        <v>1062</v>
      </c>
      <c r="F675" s="11" t="s">
        <v>2121</v>
      </c>
      <c r="J675" s="11">
        <v>-2.51851344108581</v>
      </c>
      <c r="K675" s="11">
        <v>48.9009056091308</v>
      </c>
      <c r="L675" s="11" t="s">
        <v>1515</v>
      </c>
      <c r="M675" s="11" t="s">
        <v>1515</v>
      </c>
      <c r="N675" s="11" t="s">
        <v>1062</v>
      </c>
      <c r="O675" s="11" t="s">
        <v>2121</v>
      </c>
    </row>
    <row r="676">
      <c r="A676" s="11">
        <v>-23.2769031524658</v>
      </c>
      <c r="B676" s="11">
        <v>16.7290802001953</v>
      </c>
      <c r="C676" s="11" t="s">
        <v>1515</v>
      </c>
      <c r="D676" s="11" t="s">
        <v>1515</v>
      </c>
      <c r="E676" s="11" t="s">
        <v>1062</v>
      </c>
      <c r="F676" s="11" t="s">
        <v>2123</v>
      </c>
      <c r="J676" s="11">
        <v>8.7607307434082</v>
      </c>
      <c r="K676" s="11">
        <v>24.9024143218994</v>
      </c>
      <c r="L676" s="11" t="s">
        <v>1515</v>
      </c>
      <c r="M676" s="11" t="s">
        <v>1515</v>
      </c>
      <c r="N676" s="11" t="s">
        <v>1062</v>
      </c>
      <c r="O676" s="11" t="s">
        <v>2123</v>
      </c>
    </row>
    <row r="677">
      <c r="A677" s="11">
        <v>56.0233612060546</v>
      </c>
      <c r="B677" s="11">
        <v>-5.31279230117797</v>
      </c>
      <c r="C677" s="11" t="s">
        <v>1515</v>
      </c>
      <c r="D677" s="11" t="s">
        <v>1515</v>
      </c>
      <c r="E677" s="11" t="s">
        <v>1062</v>
      </c>
      <c r="F677" s="11" t="s">
        <v>2126</v>
      </c>
      <c r="J677" s="11">
        <v>1.52127051353454</v>
      </c>
      <c r="K677" s="11">
        <v>57.0809898376464</v>
      </c>
      <c r="L677" s="11" t="s">
        <v>1515</v>
      </c>
      <c r="M677" s="11" t="s">
        <v>1515</v>
      </c>
      <c r="N677" s="11" t="s">
        <v>1062</v>
      </c>
      <c r="O677" s="11" t="s">
        <v>2126</v>
      </c>
    </row>
    <row r="678">
      <c r="A678" s="11">
        <v>-11.8816728591918</v>
      </c>
      <c r="B678" s="11">
        <v>10.4244480133056</v>
      </c>
      <c r="C678" s="11" t="s">
        <v>1515</v>
      </c>
      <c r="D678" s="11" t="s">
        <v>1515</v>
      </c>
      <c r="E678" s="11" t="s">
        <v>1062</v>
      </c>
      <c r="F678" s="11" t="s">
        <v>2128</v>
      </c>
      <c r="J678" s="11">
        <v>53.813606262207</v>
      </c>
      <c r="K678" s="11">
        <v>-20.3396415710449</v>
      </c>
      <c r="L678" s="11" t="s">
        <v>1515</v>
      </c>
      <c r="M678" s="11" t="s">
        <v>1515</v>
      </c>
      <c r="N678" s="11" t="s">
        <v>1062</v>
      </c>
      <c r="O678" s="11" t="s">
        <v>2128</v>
      </c>
    </row>
    <row r="679">
      <c r="A679" s="11">
        <v>49.529369354248</v>
      </c>
      <c r="B679" s="11">
        <v>-3.15001559257507</v>
      </c>
      <c r="C679" s="11" t="s">
        <v>1515</v>
      </c>
      <c r="D679" s="11" t="s">
        <v>1515</v>
      </c>
      <c r="E679" s="11" t="s">
        <v>1062</v>
      </c>
      <c r="F679" s="11" t="s">
        <v>2130</v>
      </c>
      <c r="J679" s="11">
        <v>6.7369704246521</v>
      </c>
      <c r="K679" s="11">
        <v>61.8870239257812</v>
      </c>
      <c r="L679" s="11" t="s">
        <v>1515</v>
      </c>
      <c r="M679" s="11" t="s">
        <v>1515</v>
      </c>
      <c r="N679" s="11" t="s">
        <v>1062</v>
      </c>
      <c r="O679" s="11" t="s">
        <v>2130</v>
      </c>
    </row>
    <row r="680">
      <c r="A680" s="11">
        <v>-43.4374618530273</v>
      </c>
      <c r="B680" s="11">
        <v>24.0332107543945</v>
      </c>
      <c r="C680" s="11" t="s">
        <v>1515</v>
      </c>
      <c r="D680" s="11" t="s">
        <v>1515</v>
      </c>
      <c r="E680" s="11" t="s">
        <v>1062</v>
      </c>
      <c r="F680" s="11" t="s">
        <v>2132</v>
      </c>
      <c r="J680" s="11">
        <v>47.1312522888183</v>
      </c>
      <c r="K680" s="11">
        <v>-8.4746561050415</v>
      </c>
      <c r="L680" s="11" t="s">
        <v>1515</v>
      </c>
      <c r="M680" s="11" t="s">
        <v>1515</v>
      </c>
      <c r="N680" s="11" t="s">
        <v>1062</v>
      </c>
      <c r="O680" s="11" t="s">
        <v>2132</v>
      </c>
    </row>
    <row r="681">
      <c r="A681" s="11">
        <v>-12.8903160095214</v>
      </c>
      <c r="B681" s="11">
        <v>13.0369071960449</v>
      </c>
      <c r="C681" s="11" t="s">
        <v>1515</v>
      </c>
      <c r="D681" s="11" t="s">
        <v>1515</v>
      </c>
      <c r="E681" s="11" t="s">
        <v>1062</v>
      </c>
      <c r="F681" s="11" t="s">
        <v>2134</v>
      </c>
      <c r="J681" s="11">
        <v>52.3541450500488</v>
      </c>
      <c r="K681" s="11">
        <v>-18.765432357788</v>
      </c>
      <c r="L681" s="11" t="s">
        <v>1515</v>
      </c>
      <c r="M681" s="11" t="s">
        <v>1515</v>
      </c>
      <c r="N681" s="11" t="s">
        <v>1062</v>
      </c>
      <c r="O681" s="11" t="s">
        <v>2134</v>
      </c>
    </row>
    <row r="682">
      <c r="A682" s="11">
        <v>-11.8706674575805</v>
      </c>
      <c r="B682" s="11">
        <v>26.1373786926269</v>
      </c>
      <c r="C682" s="11" t="s">
        <v>1515</v>
      </c>
      <c r="D682" s="11" t="s">
        <v>1515</v>
      </c>
      <c r="E682" s="11" t="s">
        <v>1062</v>
      </c>
      <c r="F682" s="11" t="s">
        <v>2136</v>
      </c>
      <c r="J682" s="11">
        <v>13.9133014678955</v>
      </c>
      <c r="K682" s="11">
        <v>52.8067512512207</v>
      </c>
      <c r="L682" s="11" t="s">
        <v>1515</v>
      </c>
      <c r="M682" s="11" t="s">
        <v>1515</v>
      </c>
      <c r="N682" s="11" t="s">
        <v>1062</v>
      </c>
      <c r="O682" s="11" t="s">
        <v>2136</v>
      </c>
    </row>
    <row r="683">
      <c r="A683" s="11">
        <v>-54.5074424743652</v>
      </c>
      <c r="B683" s="11">
        <v>15.5510349273681</v>
      </c>
      <c r="C683" s="11" t="s">
        <v>1515</v>
      </c>
      <c r="D683" s="11" t="s">
        <v>1515</v>
      </c>
      <c r="E683" s="11" t="s">
        <v>1062</v>
      </c>
      <c r="F683" s="11" t="s">
        <v>2137</v>
      </c>
      <c r="J683" s="11">
        <v>56.3731002807617</v>
      </c>
      <c r="K683" s="11">
        <v>5.13711357116699</v>
      </c>
      <c r="L683" s="11" t="s">
        <v>1515</v>
      </c>
      <c r="M683" s="11" t="s">
        <v>1515</v>
      </c>
      <c r="N683" s="11" t="s">
        <v>1062</v>
      </c>
      <c r="O683" s="11" t="s">
        <v>2137</v>
      </c>
    </row>
    <row r="684">
      <c r="A684" s="11">
        <v>40.0923805236816</v>
      </c>
      <c r="B684" s="11">
        <v>53.9080085754394</v>
      </c>
      <c r="C684" s="11" t="s">
        <v>1515</v>
      </c>
      <c r="D684" s="11" t="s">
        <v>1515</v>
      </c>
      <c r="E684" s="11" t="s">
        <v>1062</v>
      </c>
      <c r="F684" s="11" t="s">
        <v>2139</v>
      </c>
      <c r="J684" s="11">
        <v>28.2915992736816</v>
      </c>
      <c r="K684" s="11">
        <v>39.4002838134765</v>
      </c>
      <c r="L684" s="11" t="s">
        <v>1515</v>
      </c>
      <c r="M684" s="11" t="s">
        <v>1515</v>
      </c>
      <c r="N684" s="11" t="s">
        <v>1062</v>
      </c>
      <c r="O684" s="11" t="s">
        <v>2139</v>
      </c>
    </row>
    <row r="685">
      <c r="A685" s="11">
        <v>28.0956726074218</v>
      </c>
      <c r="B685" s="11">
        <v>2.62997698783874</v>
      </c>
      <c r="C685" s="11" t="s">
        <v>1515</v>
      </c>
      <c r="D685" s="11" t="s">
        <v>1515</v>
      </c>
      <c r="E685" s="11" t="s">
        <v>1062</v>
      </c>
      <c r="F685" s="11" t="s">
        <v>2142</v>
      </c>
      <c r="J685" s="11">
        <v>2.81514286994934</v>
      </c>
      <c r="K685" s="11">
        <v>58.8551025390625</v>
      </c>
      <c r="L685" s="11" t="s">
        <v>1515</v>
      </c>
      <c r="M685" s="11" t="s">
        <v>1515</v>
      </c>
      <c r="N685" s="11" t="s">
        <v>1062</v>
      </c>
      <c r="O685" s="11" t="s">
        <v>2142</v>
      </c>
    </row>
    <row r="686">
      <c r="A686" s="11">
        <v>-3.09623265266418</v>
      </c>
      <c r="B686" s="11">
        <v>27.8487205505371</v>
      </c>
      <c r="C686" s="11" t="s">
        <v>1515</v>
      </c>
      <c r="D686" s="11" t="s">
        <v>1515</v>
      </c>
      <c r="E686" s="11" t="s">
        <v>1062</v>
      </c>
      <c r="F686" s="11" t="s">
        <v>2144</v>
      </c>
      <c r="J686" s="11">
        <v>13.9467315673828</v>
      </c>
      <c r="K686" s="11">
        <v>50.6987190246582</v>
      </c>
      <c r="L686" s="11" t="s">
        <v>1515</v>
      </c>
      <c r="M686" s="11" t="s">
        <v>1515</v>
      </c>
      <c r="N686" s="11" t="s">
        <v>1062</v>
      </c>
      <c r="O686" s="11" t="s">
        <v>2144</v>
      </c>
    </row>
    <row r="687">
      <c r="A687" s="11">
        <v>10.1610031127929</v>
      </c>
      <c r="B687" s="11">
        <v>7.26316881179809</v>
      </c>
      <c r="C687" s="11" t="s">
        <v>1515</v>
      </c>
      <c r="D687" s="11" t="s">
        <v>1515</v>
      </c>
      <c r="E687" s="11" t="s">
        <v>1062</v>
      </c>
      <c r="F687" s="11" t="s">
        <v>2146</v>
      </c>
      <c r="J687" s="11">
        <v>-1.81615686416625</v>
      </c>
      <c r="K687" s="11">
        <v>68.7721176147461</v>
      </c>
      <c r="L687" s="11" t="s">
        <v>1515</v>
      </c>
      <c r="M687" s="11" t="s">
        <v>1515</v>
      </c>
      <c r="N687" s="11" t="s">
        <v>1062</v>
      </c>
      <c r="O687" s="11" t="s">
        <v>2146</v>
      </c>
    </row>
    <row r="688">
      <c r="A688" s="11">
        <v>-26.8724842071533</v>
      </c>
      <c r="B688" s="11">
        <v>-3.22386860847473</v>
      </c>
      <c r="C688" s="11" t="s">
        <v>1515</v>
      </c>
      <c r="D688" s="11" t="s">
        <v>1515</v>
      </c>
      <c r="E688" s="11" t="s">
        <v>1062</v>
      </c>
      <c r="F688" s="11" t="s">
        <v>2148</v>
      </c>
      <c r="J688" s="11">
        <v>32.5782890319824</v>
      </c>
      <c r="K688" s="11">
        <v>31.7418479919433</v>
      </c>
      <c r="L688" s="11" t="s">
        <v>1515</v>
      </c>
      <c r="M688" s="11" t="s">
        <v>1515</v>
      </c>
      <c r="N688" s="11" t="s">
        <v>1062</v>
      </c>
      <c r="O688" s="11" t="s">
        <v>2148</v>
      </c>
    </row>
    <row r="689">
      <c r="A689" s="11">
        <v>9.84425163269043</v>
      </c>
      <c r="B689" s="11">
        <v>51.909381866455</v>
      </c>
      <c r="C689" s="11" t="s">
        <v>1515</v>
      </c>
      <c r="D689" s="11" t="s">
        <v>1515</v>
      </c>
      <c r="E689" s="11" t="s">
        <v>1062</v>
      </c>
      <c r="F689" s="11" t="s">
        <v>2150</v>
      </c>
      <c r="J689" s="11">
        <v>6.56165695190429</v>
      </c>
      <c r="K689" s="11">
        <v>16.4887332916259</v>
      </c>
      <c r="L689" s="11" t="s">
        <v>1515</v>
      </c>
      <c r="M689" s="11" t="s">
        <v>1515</v>
      </c>
      <c r="N689" s="11" t="s">
        <v>1062</v>
      </c>
      <c r="O689" s="11" t="s">
        <v>2150</v>
      </c>
    </row>
    <row r="690">
      <c r="A690" s="11">
        <v>-15.6173009872436</v>
      </c>
      <c r="B690" s="11">
        <v>11.5146808624267</v>
      </c>
      <c r="C690" s="11" t="s">
        <v>1515</v>
      </c>
      <c r="D690" s="11" t="s">
        <v>1515</v>
      </c>
      <c r="E690" s="11" t="s">
        <v>1062</v>
      </c>
      <c r="F690" s="11" t="s">
        <v>2151</v>
      </c>
      <c r="J690" s="11">
        <v>53.6140060424804</v>
      </c>
      <c r="K690" s="11">
        <v>-19.3957538604736</v>
      </c>
      <c r="L690" s="11" t="s">
        <v>1515</v>
      </c>
      <c r="M690" s="11" t="s">
        <v>1515</v>
      </c>
      <c r="N690" s="11" t="s">
        <v>1062</v>
      </c>
      <c r="O690" s="11" t="s">
        <v>2151</v>
      </c>
    </row>
    <row r="691">
      <c r="A691" s="11">
        <v>-60.7809562683105</v>
      </c>
      <c r="B691" s="11">
        <v>43.2744216918945</v>
      </c>
      <c r="C691" s="11" t="s">
        <v>1515</v>
      </c>
      <c r="D691" s="11" t="s">
        <v>1515</v>
      </c>
      <c r="E691" s="11" t="s">
        <v>1062</v>
      </c>
      <c r="F691" s="11" t="s">
        <v>2152</v>
      </c>
      <c r="J691" s="11">
        <v>57.0023193359375</v>
      </c>
      <c r="K691" s="11">
        <v>-6.7401418685913</v>
      </c>
      <c r="L691" s="11" t="s">
        <v>1515</v>
      </c>
      <c r="M691" s="11" t="s">
        <v>1515</v>
      </c>
      <c r="N691" s="11" t="s">
        <v>1062</v>
      </c>
      <c r="O691" s="11" t="s">
        <v>2152</v>
      </c>
    </row>
    <row r="692">
      <c r="A692" s="11">
        <v>-12.5891351699829</v>
      </c>
      <c r="B692" s="11">
        <v>74.83935546875</v>
      </c>
      <c r="C692" s="11" t="s">
        <v>1515</v>
      </c>
      <c r="D692" s="11" t="s">
        <v>1515</v>
      </c>
      <c r="E692" s="11" t="s">
        <v>1062</v>
      </c>
      <c r="F692" s="11" t="s">
        <v>2154</v>
      </c>
      <c r="J692" s="11">
        <v>29.2172012329101</v>
      </c>
      <c r="K692" s="11">
        <v>35.3181076049804</v>
      </c>
      <c r="L692" s="11" t="s">
        <v>1515</v>
      </c>
      <c r="M692" s="11" t="s">
        <v>1515</v>
      </c>
      <c r="N692" s="11" t="s">
        <v>1062</v>
      </c>
      <c r="O692" s="11" t="s">
        <v>2154</v>
      </c>
    </row>
    <row r="693">
      <c r="A693" s="11">
        <v>-31.717809677124</v>
      </c>
      <c r="B693" s="11">
        <v>19.8350582122802</v>
      </c>
      <c r="C693" s="11" t="s">
        <v>1515</v>
      </c>
      <c r="D693" s="11" t="s">
        <v>1515</v>
      </c>
      <c r="E693" s="11" t="s">
        <v>1062</v>
      </c>
      <c r="F693" s="11" t="s">
        <v>2156</v>
      </c>
      <c r="J693" s="11">
        <v>33.6576766967773</v>
      </c>
      <c r="K693" s="11">
        <v>19.4262523651123</v>
      </c>
      <c r="L693" s="11" t="s">
        <v>1515</v>
      </c>
      <c r="M693" s="11" t="s">
        <v>1515</v>
      </c>
      <c r="N693" s="11" t="s">
        <v>1062</v>
      </c>
      <c r="O693" s="11" t="s">
        <v>2156</v>
      </c>
    </row>
    <row r="694">
      <c r="A694" s="11">
        <v>50.8771438598632</v>
      </c>
      <c r="B694" s="11">
        <v>5.05896759033203</v>
      </c>
      <c r="C694" s="11" t="s">
        <v>1515</v>
      </c>
      <c r="D694" s="11" t="s">
        <v>1515</v>
      </c>
      <c r="E694" s="11" t="s">
        <v>1062</v>
      </c>
      <c r="F694" s="11" t="s">
        <v>2157</v>
      </c>
      <c r="J694" s="11">
        <v>2.07272386550903</v>
      </c>
      <c r="K694" s="11">
        <v>50.1250190734863</v>
      </c>
      <c r="L694" s="11" t="s">
        <v>1515</v>
      </c>
      <c r="M694" s="11" t="s">
        <v>1515</v>
      </c>
      <c r="N694" s="11" t="s">
        <v>1062</v>
      </c>
      <c r="O694" s="11" t="s">
        <v>2157</v>
      </c>
    </row>
    <row r="695">
      <c r="A695" s="11">
        <v>46.6705245971679</v>
      </c>
      <c r="B695" s="11">
        <v>6.80060195922851</v>
      </c>
      <c r="C695" s="11" t="s">
        <v>1515</v>
      </c>
      <c r="D695" s="11" t="s">
        <v>1515</v>
      </c>
      <c r="E695" s="11" t="s">
        <v>1062</v>
      </c>
      <c r="F695" s="11" t="s">
        <v>2159</v>
      </c>
      <c r="J695" s="11">
        <v>26.0658531188964</v>
      </c>
      <c r="K695" s="11">
        <v>46.5442733764648</v>
      </c>
      <c r="L695" s="11" t="s">
        <v>1515</v>
      </c>
      <c r="M695" s="11" t="s">
        <v>1515</v>
      </c>
      <c r="N695" s="11" t="s">
        <v>1062</v>
      </c>
      <c r="O695" s="11" t="s">
        <v>2159</v>
      </c>
    </row>
    <row r="696">
      <c r="A696" s="11">
        <v>20.9806652069091</v>
      </c>
      <c r="B696" s="11">
        <v>-0.82764983177185</v>
      </c>
      <c r="C696" s="11" t="s">
        <v>1515</v>
      </c>
      <c r="D696" s="11" t="s">
        <v>1515</v>
      </c>
      <c r="E696" s="11" t="s">
        <v>1062</v>
      </c>
      <c r="F696" s="11" t="s">
        <v>2161</v>
      </c>
      <c r="J696" s="11">
        <v>32.8502311706543</v>
      </c>
      <c r="K696" s="11">
        <v>37.4838523864746</v>
      </c>
      <c r="L696" s="11" t="s">
        <v>1515</v>
      </c>
      <c r="M696" s="11" t="s">
        <v>1515</v>
      </c>
      <c r="N696" s="11" t="s">
        <v>1062</v>
      </c>
      <c r="O696" s="11" t="s">
        <v>2161</v>
      </c>
    </row>
    <row r="697">
      <c r="A697" s="11">
        <v>-3.56152486801147</v>
      </c>
      <c r="B697" s="11">
        <v>2.22731661796569</v>
      </c>
      <c r="C697" s="11" t="s">
        <v>1515</v>
      </c>
      <c r="D697" s="11" t="s">
        <v>1515</v>
      </c>
      <c r="E697" s="11" t="s">
        <v>1062</v>
      </c>
      <c r="F697" s="11" t="s">
        <v>2163</v>
      </c>
      <c r="J697" s="11">
        <v>13.5623064041137</v>
      </c>
      <c r="K697" s="11">
        <v>48.3761329650878</v>
      </c>
      <c r="L697" s="11" t="s">
        <v>1515</v>
      </c>
      <c r="M697" s="11" t="s">
        <v>1515</v>
      </c>
      <c r="N697" s="11" t="s">
        <v>1062</v>
      </c>
      <c r="O697" s="11" t="s">
        <v>2163</v>
      </c>
    </row>
    <row r="698">
      <c r="A698" s="11">
        <v>-41.1043548583984</v>
      </c>
      <c r="B698" s="11">
        <v>14.6560001373291</v>
      </c>
      <c r="C698" s="11" t="s">
        <v>1515</v>
      </c>
      <c r="D698" s="11" t="s">
        <v>1515</v>
      </c>
      <c r="E698" s="11" t="s">
        <v>1062</v>
      </c>
      <c r="F698" s="11" t="s">
        <v>2165</v>
      </c>
      <c r="J698" s="11">
        <v>12.7915754318237</v>
      </c>
      <c r="K698" s="11">
        <v>20.4400634765625</v>
      </c>
      <c r="L698" s="11" t="s">
        <v>1515</v>
      </c>
      <c r="M698" s="11" t="s">
        <v>1515</v>
      </c>
      <c r="N698" s="11" t="s">
        <v>1062</v>
      </c>
      <c r="O698" s="11" t="s">
        <v>2165</v>
      </c>
    </row>
    <row r="699">
      <c r="A699" s="11">
        <v>-28.3177814483642</v>
      </c>
      <c r="B699" s="11">
        <v>28.8767738342285</v>
      </c>
      <c r="C699" s="11" t="s">
        <v>1515</v>
      </c>
      <c r="D699" s="11" t="s">
        <v>1515</v>
      </c>
      <c r="E699" s="11" t="s">
        <v>1062</v>
      </c>
      <c r="F699" s="11" t="s">
        <v>2167</v>
      </c>
      <c r="J699" s="11">
        <v>3.25526452064514</v>
      </c>
      <c r="K699" s="11">
        <v>31.275894165039</v>
      </c>
      <c r="L699" s="11" t="s">
        <v>1515</v>
      </c>
      <c r="M699" s="11" t="s">
        <v>1515</v>
      </c>
      <c r="N699" s="11" t="s">
        <v>1062</v>
      </c>
      <c r="O699" s="11" t="s">
        <v>2167</v>
      </c>
    </row>
    <row r="700">
      <c r="A700" s="11">
        <v>67.8072357177734</v>
      </c>
      <c r="B700" s="11">
        <v>4.59412860870361</v>
      </c>
      <c r="C700" s="11" t="s">
        <v>1515</v>
      </c>
      <c r="D700" s="11" t="s">
        <v>1515</v>
      </c>
      <c r="E700" s="11" t="s">
        <v>1062</v>
      </c>
      <c r="F700" s="11" t="s">
        <v>2168</v>
      </c>
      <c r="J700" s="11">
        <v>-6.14038372039794</v>
      </c>
      <c r="K700" s="11">
        <v>67.2589340209961</v>
      </c>
      <c r="L700" s="11" t="s">
        <v>1515</v>
      </c>
      <c r="M700" s="11" t="s">
        <v>1515</v>
      </c>
      <c r="N700" s="11" t="s">
        <v>1062</v>
      </c>
      <c r="O700" s="11" t="s">
        <v>2168</v>
      </c>
    </row>
    <row r="701">
      <c r="A701" s="11">
        <v>47.731704711914</v>
      </c>
      <c r="B701" s="11">
        <v>-0.652068495750427</v>
      </c>
      <c r="C701" s="11" t="s">
        <v>1515</v>
      </c>
      <c r="D701" s="11" t="s">
        <v>1515</v>
      </c>
      <c r="E701" s="11" t="s">
        <v>1062</v>
      </c>
      <c r="F701" s="11" t="s">
        <v>2170</v>
      </c>
      <c r="J701" s="11">
        <v>6.28868389129638</v>
      </c>
      <c r="K701" s="11">
        <v>62.5829887390136</v>
      </c>
      <c r="L701" s="11" t="s">
        <v>1515</v>
      </c>
      <c r="M701" s="11" t="s">
        <v>1515</v>
      </c>
      <c r="N701" s="11" t="s">
        <v>1062</v>
      </c>
      <c r="O701" s="11" t="s">
        <v>2170</v>
      </c>
    </row>
    <row r="702">
      <c r="A702" s="11">
        <v>-57.9668502807617</v>
      </c>
      <c r="B702" s="11">
        <v>30.1844329833984</v>
      </c>
      <c r="C702" s="11" t="s">
        <v>1515</v>
      </c>
      <c r="D702" s="11" t="s">
        <v>1515</v>
      </c>
      <c r="E702" s="11" t="s">
        <v>1062</v>
      </c>
      <c r="F702" s="11" t="s">
        <v>2172</v>
      </c>
      <c r="J702" s="11">
        <v>45.0968284606933</v>
      </c>
      <c r="K702" s="11">
        <v>17.8326587677001</v>
      </c>
      <c r="L702" s="11" t="s">
        <v>1515</v>
      </c>
      <c r="M702" s="11" t="s">
        <v>1515</v>
      </c>
      <c r="N702" s="11" t="s">
        <v>1062</v>
      </c>
      <c r="O702" s="11" t="s">
        <v>2172</v>
      </c>
    </row>
    <row r="703">
      <c r="A703" s="11">
        <v>-28.3177814483642</v>
      </c>
      <c r="B703" s="11">
        <v>28.8767738342285</v>
      </c>
      <c r="C703" s="11" t="s">
        <v>1515</v>
      </c>
      <c r="D703" s="11" t="s">
        <v>1515</v>
      </c>
      <c r="E703" s="11" t="s">
        <v>1062</v>
      </c>
      <c r="F703" s="11" t="s">
        <v>2174</v>
      </c>
      <c r="J703" s="11">
        <v>3.25526452064514</v>
      </c>
      <c r="K703" s="11">
        <v>31.275894165039</v>
      </c>
      <c r="L703" s="11" t="s">
        <v>1515</v>
      </c>
      <c r="M703" s="11" t="s">
        <v>1515</v>
      </c>
      <c r="N703" s="11" t="s">
        <v>1062</v>
      </c>
      <c r="O703" s="11" t="s">
        <v>2174</v>
      </c>
    </row>
    <row r="704">
      <c r="A704" s="11">
        <v>5.71081256866455</v>
      </c>
      <c r="B704" s="11">
        <v>56.7328758239746</v>
      </c>
      <c r="C704" s="11" t="s">
        <v>1515</v>
      </c>
      <c r="D704" s="11" t="s">
        <v>1515</v>
      </c>
      <c r="E704" s="11" t="s">
        <v>1062</v>
      </c>
      <c r="F704" s="11" t="s">
        <v>2176</v>
      </c>
      <c r="J704" s="11">
        <v>25.0028667449951</v>
      </c>
      <c r="K704" s="11">
        <v>35.235122680664</v>
      </c>
      <c r="L704" s="11" t="s">
        <v>1515</v>
      </c>
      <c r="M704" s="11" t="s">
        <v>1515</v>
      </c>
      <c r="N704" s="11" t="s">
        <v>1062</v>
      </c>
      <c r="O704" s="11" t="s">
        <v>2176</v>
      </c>
    </row>
    <row r="705">
      <c r="A705" s="11">
        <v>4.91156435012817</v>
      </c>
      <c r="B705" s="11">
        <v>56.5903663635253</v>
      </c>
      <c r="C705" s="11" t="s">
        <v>1515</v>
      </c>
      <c r="D705" s="11" t="s">
        <v>1515</v>
      </c>
      <c r="E705" s="11" t="s">
        <v>1062</v>
      </c>
      <c r="F705" s="11" t="s">
        <v>2178</v>
      </c>
      <c r="J705" s="11">
        <v>25.0407409667968</v>
      </c>
      <c r="K705" s="11">
        <v>35.1537704467773</v>
      </c>
      <c r="L705" s="11" t="s">
        <v>1515</v>
      </c>
      <c r="M705" s="11" t="s">
        <v>1515</v>
      </c>
      <c r="N705" s="11" t="s">
        <v>1062</v>
      </c>
      <c r="O705" s="11" t="s">
        <v>2178</v>
      </c>
    </row>
    <row r="706">
      <c r="A706" s="11">
        <v>28.7129726409912</v>
      </c>
      <c r="B706" s="11">
        <v>4.88011360168457</v>
      </c>
      <c r="C706" s="11" t="s">
        <v>1515</v>
      </c>
      <c r="D706" s="11" t="s">
        <v>1515</v>
      </c>
      <c r="E706" s="11" t="s">
        <v>1062</v>
      </c>
      <c r="F706" s="11" t="s">
        <v>2180</v>
      </c>
      <c r="J706" s="11">
        <v>-2.89777755737304</v>
      </c>
      <c r="K706" s="11">
        <v>49.0100326538085</v>
      </c>
      <c r="L706" s="11" t="s">
        <v>1515</v>
      </c>
      <c r="M706" s="11" t="s">
        <v>1515</v>
      </c>
      <c r="N706" s="11" t="s">
        <v>1062</v>
      </c>
      <c r="O706" s="11" t="s">
        <v>2180</v>
      </c>
    </row>
    <row r="707">
      <c r="A707" s="11">
        <v>-58.8573760986328</v>
      </c>
      <c r="B707" s="11">
        <v>14.8816699981689</v>
      </c>
      <c r="C707" s="11" t="s">
        <v>1515</v>
      </c>
      <c r="D707" s="11" t="s">
        <v>1515</v>
      </c>
      <c r="E707" s="11" t="s">
        <v>1062</v>
      </c>
      <c r="F707" s="11" t="s">
        <v>2183</v>
      </c>
      <c r="J707" s="11">
        <v>51.7127571105957</v>
      </c>
      <c r="K707" s="11">
        <v>6.13400745391845</v>
      </c>
      <c r="L707" s="11" t="s">
        <v>1515</v>
      </c>
      <c r="M707" s="11" t="s">
        <v>1515</v>
      </c>
      <c r="N707" s="11" t="s">
        <v>1062</v>
      </c>
      <c r="O707" s="11" t="s">
        <v>2183</v>
      </c>
    </row>
    <row r="708">
      <c r="A708" s="11">
        <v>-38.9025802612304</v>
      </c>
      <c r="B708" s="11">
        <v>24.7280101776123</v>
      </c>
      <c r="C708" s="11" t="s">
        <v>1515</v>
      </c>
      <c r="D708" s="11" t="s">
        <v>1515</v>
      </c>
      <c r="E708" s="11" t="s">
        <v>1062</v>
      </c>
      <c r="F708" s="11" t="s">
        <v>2185</v>
      </c>
      <c r="J708" s="11">
        <v>31.4792861938476</v>
      </c>
      <c r="K708" s="11">
        <v>17.2924709320068</v>
      </c>
      <c r="L708" s="11" t="s">
        <v>1515</v>
      </c>
      <c r="M708" s="11" t="s">
        <v>1515</v>
      </c>
      <c r="N708" s="11" t="s">
        <v>1062</v>
      </c>
      <c r="O708" s="11" t="s">
        <v>2185</v>
      </c>
    </row>
    <row r="709">
      <c r="A709" s="11">
        <v>49.6513175964355</v>
      </c>
      <c r="B709" s="11">
        <v>0.287902653217315</v>
      </c>
      <c r="C709" s="11" t="s">
        <v>1515</v>
      </c>
      <c r="D709" s="11" t="s">
        <v>1515</v>
      </c>
      <c r="E709" s="11" t="s">
        <v>1062</v>
      </c>
      <c r="F709" s="11" t="s">
        <v>2188</v>
      </c>
      <c r="J709" s="11">
        <v>0.419142812490463</v>
      </c>
      <c r="K709" s="11">
        <v>59.5566139221191</v>
      </c>
      <c r="L709" s="11" t="s">
        <v>1515</v>
      </c>
      <c r="M709" s="11" t="s">
        <v>1515</v>
      </c>
      <c r="N709" s="11" t="s">
        <v>1062</v>
      </c>
      <c r="O709" s="11" t="s">
        <v>2188</v>
      </c>
    </row>
    <row r="710">
      <c r="A710" s="11">
        <v>-51.2591552734375</v>
      </c>
      <c r="B710" s="11">
        <v>39.1411781311035</v>
      </c>
      <c r="C710" s="11" t="s">
        <v>1515</v>
      </c>
      <c r="D710" s="11" t="s">
        <v>1515</v>
      </c>
      <c r="E710" s="11" t="s">
        <v>1062</v>
      </c>
      <c r="F710" s="11" t="s">
        <v>2190</v>
      </c>
      <c r="J710" s="11">
        <v>42.4565200805664</v>
      </c>
      <c r="K710" s="11">
        <v>13.4190006256103</v>
      </c>
      <c r="L710" s="11" t="s">
        <v>1515</v>
      </c>
      <c r="M710" s="11" t="s">
        <v>1515</v>
      </c>
      <c r="N710" s="11" t="s">
        <v>1062</v>
      </c>
      <c r="O710" s="11" t="s">
        <v>2190</v>
      </c>
    </row>
    <row r="711">
      <c r="A711" s="11">
        <v>22.5464706420898</v>
      </c>
      <c r="B711" s="11">
        <v>5.94351482391357</v>
      </c>
      <c r="C711" s="11" t="s">
        <v>1515</v>
      </c>
      <c r="D711" s="11" t="s">
        <v>1515</v>
      </c>
      <c r="E711" s="11" t="s">
        <v>1062</v>
      </c>
      <c r="F711" s="11" t="s">
        <v>2192</v>
      </c>
      <c r="J711" s="11">
        <v>2.19999957084655</v>
      </c>
      <c r="K711" s="11">
        <v>66.3578186035156</v>
      </c>
      <c r="L711" s="11" t="s">
        <v>1515</v>
      </c>
      <c r="M711" s="11" t="s">
        <v>1515</v>
      </c>
      <c r="N711" s="11" t="s">
        <v>1062</v>
      </c>
      <c r="O711" s="11" t="s">
        <v>2192</v>
      </c>
    </row>
    <row r="712">
      <c r="A712" s="11">
        <v>-6.57716560363769</v>
      </c>
      <c r="B712" s="11">
        <v>-40.0610618591308</v>
      </c>
      <c r="C712" s="11" t="s">
        <v>1515</v>
      </c>
      <c r="D712" s="11" t="s">
        <v>1515</v>
      </c>
      <c r="E712" s="11" t="s">
        <v>1062</v>
      </c>
      <c r="F712" s="11" t="s">
        <v>2195</v>
      </c>
      <c r="J712" s="11">
        <v>7.1069631576538</v>
      </c>
      <c r="K712" s="11">
        <v>37.4189758300781</v>
      </c>
      <c r="L712" s="11" t="s">
        <v>1515</v>
      </c>
      <c r="M712" s="11" t="s">
        <v>1515</v>
      </c>
      <c r="N712" s="11" t="s">
        <v>1062</v>
      </c>
      <c r="O712" s="11" t="s">
        <v>2195</v>
      </c>
    </row>
    <row r="713">
      <c r="A713" s="11">
        <v>40.2299079895019</v>
      </c>
      <c r="B713" s="11">
        <v>7.19307327270507</v>
      </c>
      <c r="C713" s="11" t="s">
        <v>1515</v>
      </c>
      <c r="D713" s="11" t="s">
        <v>1515</v>
      </c>
      <c r="E713" s="11" t="s">
        <v>1062</v>
      </c>
      <c r="F713" s="11" t="s">
        <v>2198</v>
      </c>
      <c r="J713" s="11">
        <v>1.42501580715179</v>
      </c>
      <c r="K713" s="11">
        <v>45.1766662597656</v>
      </c>
      <c r="L713" s="11" t="s">
        <v>1515</v>
      </c>
      <c r="M713" s="11" t="s">
        <v>1515</v>
      </c>
      <c r="N713" s="11" t="s">
        <v>1062</v>
      </c>
      <c r="O713" s="11" t="s">
        <v>2198</v>
      </c>
    </row>
    <row r="714">
      <c r="A714" s="11">
        <v>-33.8476600646972</v>
      </c>
      <c r="B714" s="11">
        <v>13.7420225143432</v>
      </c>
      <c r="C714" s="11" t="s">
        <v>1515</v>
      </c>
      <c r="D714" s="11" t="s">
        <v>1515</v>
      </c>
      <c r="E714" s="11" t="s">
        <v>1062</v>
      </c>
      <c r="F714" s="11" t="s">
        <v>2201</v>
      </c>
      <c r="J714" s="11">
        <v>13.3156394958496</v>
      </c>
      <c r="K714" s="11">
        <v>25.3948421478271</v>
      </c>
      <c r="L714" s="11" t="s">
        <v>1515</v>
      </c>
      <c r="M714" s="11" t="s">
        <v>1515</v>
      </c>
      <c r="N714" s="11" t="s">
        <v>1062</v>
      </c>
      <c r="O714" s="11" t="s">
        <v>2201</v>
      </c>
    </row>
    <row r="715">
      <c r="A715" s="11">
        <v>7.19886255264282</v>
      </c>
      <c r="B715" s="11">
        <v>64.8049392700195</v>
      </c>
      <c r="C715" s="11" t="s">
        <v>1515</v>
      </c>
      <c r="D715" s="11" t="s">
        <v>1515</v>
      </c>
      <c r="E715" s="11" t="s">
        <v>1062</v>
      </c>
      <c r="F715" s="11" t="s">
        <v>2203</v>
      </c>
      <c r="J715" s="11">
        <v>15.0873336791992</v>
      </c>
      <c r="K715" s="11">
        <v>13.5906085968017</v>
      </c>
      <c r="L715" s="11" t="s">
        <v>1515</v>
      </c>
      <c r="M715" s="11" t="s">
        <v>1515</v>
      </c>
      <c r="N715" s="11" t="s">
        <v>1062</v>
      </c>
      <c r="O715" s="11" t="s">
        <v>2203</v>
      </c>
    </row>
    <row r="716">
      <c r="A716" s="11">
        <v>64.7265090942382</v>
      </c>
      <c r="B716" s="11">
        <v>-3.13819742202758</v>
      </c>
      <c r="C716" s="11" t="s">
        <v>1515</v>
      </c>
      <c r="D716" s="11" t="s">
        <v>1515</v>
      </c>
      <c r="E716" s="11" t="s">
        <v>1062</v>
      </c>
      <c r="F716" s="11" t="s">
        <v>2205</v>
      </c>
      <c r="J716" s="11">
        <v>-1.12660408020019</v>
      </c>
      <c r="K716" s="11">
        <v>63.3026618957519</v>
      </c>
      <c r="L716" s="11" t="s">
        <v>1515</v>
      </c>
      <c r="M716" s="11" t="s">
        <v>1515</v>
      </c>
      <c r="N716" s="11" t="s">
        <v>1062</v>
      </c>
      <c r="O716" s="11" t="s">
        <v>2205</v>
      </c>
    </row>
    <row r="717">
      <c r="A717" s="11">
        <v>-39.0522346496582</v>
      </c>
      <c r="B717" s="11">
        <v>35.7023735046386</v>
      </c>
      <c r="C717" s="11" t="s">
        <v>1515</v>
      </c>
      <c r="D717" s="11" t="s">
        <v>1515</v>
      </c>
      <c r="E717" s="11" t="s">
        <v>1062</v>
      </c>
      <c r="F717" s="11" t="s">
        <v>2207</v>
      </c>
      <c r="J717" s="11">
        <v>44.9585800170898</v>
      </c>
      <c r="K717" s="11">
        <v>-11.9464359283447</v>
      </c>
      <c r="L717" s="11" t="s">
        <v>1515</v>
      </c>
      <c r="M717" s="11" t="s">
        <v>1515</v>
      </c>
      <c r="N717" s="11" t="s">
        <v>1062</v>
      </c>
      <c r="O717" s="11" t="s">
        <v>2207</v>
      </c>
    </row>
    <row r="718">
      <c r="A718" s="11">
        <v>7.19886255264282</v>
      </c>
      <c r="B718" s="11">
        <v>64.8049392700195</v>
      </c>
      <c r="C718" s="11" t="s">
        <v>1515</v>
      </c>
      <c r="D718" s="11" t="s">
        <v>1515</v>
      </c>
      <c r="E718" s="11" t="s">
        <v>1062</v>
      </c>
      <c r="F718" s="11" t="s">
        <v>2208</v>
      </c>
      <c r="J718" s="11">
        <v>14.643798828125</v>
      </c>
      <c r="K718" s="11">
        <v>14.0625162124633</v>
      </c>
      <c r="L718" s="11" t="s">
        <v>1515</v>
      </c>
      <c r="M718" s="11" t="s">
        <v>1515</v>
      </c>
      <c r="N718" s="11" t="s">
        <v>1062</v>
      </c>
      <c r="O718" s="11" t="s">
        <v>2208</v>
      </c>
    </row>
    <row r="719">
      <c r="A719" s="11">
        <v>-15.4596309661865</v>
      </c>
      <c r="B719" s="11">
        <v>11.5588502883911</v>
      </c>
      <c r="C719" s="11" t="s">
        <v>1515</v>
      </c>
      <c r="D719" s="11" t="s">
        <v>1515</v>
      </c>
      <c r="E719" s="11" t="s">
        <v>1062</v>
      </c>
      <c r="F719" s="11" t="s">
        <v>2210</v>
      </c>
      <c r="J719" s="11">
        <v>53.6808738708496</v>
      </c>
      <c r="K719" s="11">
        <v>-19.3961334228515</v>
      </c>
      <c r="L719" s="11" t="s">
        <v>1515</v>
      </c>
      <c r="M719" s="11" t="s">
        <v>1515</v>
      </c>
      <c r="N719" s="11" t="s">
        <v>1062</v>
      </c>
      <c r="O719" s="11" t="s">
        <v>2210</v>
      </c>
    </row>
    <row r="720">
      <c r="A720" s="11">
        <v>-54.5461082458496</v>
      </c>
      <c r="B720" s="11">
        <v>13.3681488037109</v>
      </c>
      <c r="C720" s="11" t="s">
        <v>1515</v>
      </c>
      <c r="D720" s="11" t="s">
        <v>1515</v>
      </c>
      <c r="E720" s="11" t="s">
        <v>1062</v>
      </c>
      <c r="F720" s="11" t="s">
        <v>2212</v>
      </c>
      <c r="J720" s="11">
        <v>53.7590179443359</v>
      </c>
      <c r="K720" s="11">
        <v>3.04675078392028</v>
      </c>
      <c r="L720" s="11" t="s">
        <v>1515</v>
      </c>
      <c r="M720" s="11" t="s">
        <v>1515</v>
      </c>
      <c r="N720" s="11" t="s">
        <v>1062</v>
      </c>
      <c r="O720" s="11" t="s">
        <v>2212</v>
      </c>
    </row>
    <row r="721">
      <c r="A721" s="11">
        <v>-7.03639316558837</v>
      </c>
      <c r="B721" s="11">
        <v>2.49439239501953</v>
      </c>
      <c r="C721" s="11" t="s">
        <v>1515</v>
      </c>
      <c r="D721" s="11" t="s">
        <v>1515</v>
      </c>
      <c r="E721" s="11" t="s">
        <v>1062</v>
      </c>
      <c r="F721" s="11" t="s">
        <v>2214</v>
      </c>
      <c r="J721" s="11">
        <v>-6.34095001220703</v>
      </c>
      <c r="K721" s="11">
        <v>-10.2788028717041</v>
      </c>
      <c r="L721" s="11" t="s">
        <v>1515</v>
      </c>
      <c r="M721" s="11" t="s">
        <v>1515</v>
      </c>
      <c r="N721" s="11" t="s">
        <v>1062</v>
      </c>
      <c r="O721" s="11" t="s">
        <v>2214</v>
      </c>
    </row>
    <row r="722">
      <c r="A722" s="11">
        <v>-65.4217071533203</v>
      </c>
      <c r="B722" s="11">
        <v>-28.1667137145996</v>
      </c>
      <c r="C722" s="11" t="s">
        <v>1515</v>
      </c>
      <c r="D722" s="11" t="s">
        <v>1515</v>
      </c>
      <c r="E722" s="11" t="s">
        <v>1062</v>
      </c>
      <c r="F722" s="11" t="s">
        <v>2216</v>
      </c>
      <c r="J722" s="11">
        <v>5.10022211074829</v>
      </c>
      <c r="K722" s="11">
        <v>41.8560028076171</v>
      </c>
      <c r="L722" s="11" t="s">
        <v>1515</v>
      </c>
      <c r="M722" s="11" t="s">
        <v>1515</v>
      </c>
      <c r="N722" s="11" t="s">
        <v>1062</v>
      </c>
      <c r="O722" s="11" t="s">
        <v>2216</v>
      </c>
    </row>
    <row r="723">
      <c r="A723" s="11">
        <v>-51.6377487182617</v>
      </c>
      <c r="B723" s="11">
        <v>39.7446784973144</v>
      </c>
      <c r="C723" s="11" t="s">
        <v>1515</v>
      </c>
      <c r="D723" s="11" t="s">
        <v>1515</v>
      </c>
      <c r="E723" s="11" t="s">
        <v>1062</v>
      </c>
      <c r="F723" s="11" t="s">
        <v>2218</v>
      </c>
      <c r="J723" s="11">
        <v>42.3407402038574</v>
      </c>
      <c r="K723" s="11">
        <v>13.8039207458496</v>
      </c>
      <c r="L723" s="11" t="s">
        <v>1515</v>
      </c>
      <c r="M723" s="11" t="s">
        <v>1515</v>
      </c>
      <c r="N723" s="11" t="s">
        <v>1062</v>
      </c>
      <c r="O723" s="11" t="s">
        <v>2218</v>
      </c>
    </row>
    <row r="724">
      <c r="A724" s="11">
        <v>-43.3017463684082</v>
      </c>
      <c r="B724" s="11">
        <v>24.5550155639648</v>
      </c>
      <c r="C724" s="11" t="s">
        <v>1515</v>
      </c>
      <c r="D724" s="11" t="s">
        <v>1515</v>
      </c>
      <c r="E724" s="11" t="s">
        <v>1062</v>
      </c>
      <c r="F724" s="11" t="s">
        <v>2220</v>
      </c>
      <c r="J724" s="11">
        <v>46.6745109558105</v>
      </c>
      <c r="K724" s="11">
        <v>-8.58766746520996</v>
      </c>
      <c r="L724" s="11" t="s">
        <v>1515</v>
      </c>
      <c r="M724" s="11" t="s">
        <v>1515</v>
      </c>
      <c r="N724" s="11" t="s">
        <v>1062</v>
      </c>
      <c r="O724" s="11" t="s">
        <v>2220</v>
      </c>
    </row>
    <row r="725">
      <c r="A725" s="11">
        <v>-56.2932586669921</v>
      </c>
      <c r="B725" s="11">
        <v>11.5103464126586</v>
      </c>
      <c r="C725" s="11" t="s">
        <v>1515</v>
      </c>
      <c r="D725" s="11" t="s">
        <v>1515</v>
      </c>
      <c r="E725" s="11" t="s">
        <v>1062</v>
      </c>
      <c r="F725" s="11" t="s">
        <v>2222</v>
      </c>
      <c r="J725" s="11">
        <v>54.2855339050293</v>
      </c>
      <c r="K725" s="11">
        <v>6.59845495223999</v>
      </c>
      <c r="L725" s="11" t="s">
        <v>1515</v>
      </c>
      <c r="M725" s="11" t="s">
        <v>1515</v>
      </c>
      <c r="N725" s="11" t="s">
        <v>1062</v>
      </c>
      <c r="O725" s="11" t="s">
        <v>2222</v>
      </c>
    </row>
    <row r="726">
      <c r="A726" s="11">
        <v>22.5679607391357</v>
      </c>
      <c r="B726" s="11">
        <v>42.5965538024902</v>
      </c>
      <c r="C726" s="11" t="s">
        <v>1515</v>
      </c>
      <c r="D726" s="11" t="s">
        <v>1515</v>
      </c>
      <c r="E726" s="11" t="s">
        <v>1062</v>
      </c>
      <c r="F726" s="11" t="s">
        <v>2224</v>
      </c>
      <c r="J726" s="11">
        <v>4.9967336654663</v>
      </c>
      <c r="K726" s="11">
        <v>27.2623691558837</v>
      </c>
      <c r="L726" s="11" t="s">
        <v>1515</v>
      </c>
      <c r="M726" s="11" t="s">
        <v>1515</v>
      </c>
      <c r="N726" s="11" t="s">
        <v>1062</v>
      </c>
      <c r="O726" s="11" t="s">
        <v>2224</v>
      </c>
    </row>
    <row r="727">
      <c r="A727" s="11">
        <v>50.1924514770507</v>
      </c>
      <c r="B727" s="11">
        <v>4.55390119552612</v>
      </c>
      <c r="C727" s="11" t="s">
        <v>1515</v>
      </c>
      <c r="D727" s="11" t="s">
        <v>1515</v>
      </c>
      <c r="E727" s="11" t="s">
        <v>1062</v>
      </c>
      <c r="F727" s="11" t="s">
        <v>2226</v>
      </c>
      <c r="J727" s="11">
        <v>2.56620693206787</v>
      </c>
      <c r="K727" s="11">
        <v>50.1338348388671</v>
      </c>
      <c r="L727" s="11" t="s">
        <v>1515</v>
      </c>
      <c r="M727" s="11" t="s">
        <v>1515</v>
      </c>
      <c r="N727" s="11" t="s">
        <v>1062</v>
      </c>
      <c r="O727" s="11" t="s">
        <v>2226</v>
      </c>
    </row>
    <row r="728">
      <c r="A728" s="11">
        <v>63.8531837463378</v>
      </c>
      <c r="B728" s="11">
        <v>-4.01890325546264</v>
      </c>
      <c r="C728" s="11" t="s">
        <v>1515</v>
      </c>
      <c r="D728" s="11" t="s">
        <v>1515</v>
      </c>
      <c r="E728" s="11" t="s">
        <v>1062</v>
      </c>
      <c r="F728" s="11" t="s">
        <v>2228</v>
      </c>
      <c r="J728" s="11">
        <v>-1.85398626327514</v>
      </c>
      <c r="K728" s="11">
        <v>60.6715126037597</v>
      </c>
      <c r="L728" s="11" t="s">
        <v>1515</v>
      </c>
      <c r="M728" s="11" t="s">
        <v>1515</v>
      </c>
      <c r="N728" s="11" t="s">
        <v>1062</v>
      </c>
      <c r="O728" s="11" t="s">
        <v>2228</v>
      </c>
    </row>
    <row r="729">
      <c r="A729" s="11">
        <v>46.822395324707</v>
      </c>
      <c r="B729" s="11">
        <v>7.47801399230957</v>
      </c>
      <c r="C729" s="11" t="s">
        <v>1515</v>
      </c>
      <c r="D729" s="11" t="s">
        <v>1515</v>
      </c>
      <c r="E729" s="11" t="s">
        <v>1062</v>
      </c>
      <c r="F729" s="11" t="s">
        <v>2230</v>
      </c>
      <c r="J729" s="11">
        <v>26.1916828155517</v>
      </c>
      <c r="K729" s="11">
        <v>46.6603050231933</v>
      </c>
      <c r="L729" s="11" t="s">
        <v>1515</v>
      </c>
      <c r="M729" s="11" t="s">
        <v>1515</v>
      </c>
      <c r="N729" s="11" t="s">
        <v>1062</v>
      </c>
      <c r="O729" s="11" t="s">
        <v>2230</v>
      </c>
    </row>
    <row r="730">
      <c r="A730" s="11">
        <v>-24.1889591217041</v>
      </c>
      <c r="B730" s="11">
        <v>25.3085880279541</v>
      </c>
      <c r="C730" s="11" t="s">
        <v>1515</v>
      </c>
      <c r="D730" s="11" t="s">
        <v>1515</v>
      </c>
      <c r="E730" s="11" t="s">
        <v>1062</v>
      </c>
      <c r="F730" s="11" t="s">
        <v>2232</v>
      </c>
      <c r="J730" s="11">
        <v>15.3294248580932</v>
      </c>
      <c r="K730" s="11">
        <v>41.6521492004394</v>
      </c>
      <c r="L730" s="11" t="s">
        <v>1515</v>
      </c>
      <c r="M730" s="11" t="s">
        <v>1515</v>
      </c>
      <c r="N730" s="11" t="s">
        <v>1062</v>
      </c>
      <c r="O730" s="11" t="s">
        <v>2232</v>
      </c>
    </row>
    <row r="731">
      <c r="A731" s="11">
        <v>1.25368344783782</v>
      </c>
      <c r="B731" s="11">
        <v>32.3018035888671</v>
      </c>
      <c r="C731" s="11" t="s">
        <v>1515</v>
      </c>
      <c r="D731" s="11" t="s">
        <v>1515</v>
      </c>
      <c r="E731" s="11" t="s">
        <v>1062</v>
      </c>
      <c r="F731" s="11" t="s">
        <v>2233</v>
      </c>
      <c r="J731" s="11">
        <v>14.6126499176025</v>
      </c>
      <c r="K731" s="11">
        <v>35.7027626037597</v>
      </c>
      <c r="L731" s="11" t="s">
        <v>1515</v>
      </c>
      <c r="M731" s="11" t="s">
        <v>1515</v>
      </c>
      <c r="N731" s="11" t="s">
        <v>1062</v>
      </c>
      <c r="O731" s="11" t="s">
        <v>2233</v>
      </c>
    </row>
    <row r="732">
      <c r="A732" s="11">
        <v>-60.7809562683105</v>
      </c>
      <c r="B732" s="11">
        <v>43.2744216918945</v>
      </c>
      <c r="C732" s="11" t="s">
        <v>1515</v>
      </c>
      <c r="D732" s="11" t="s">
        <v>1515</v>
      </c>
      <c r="E732" s="11" t="s">
        <v>1062</v>
      </c>
      <c r="F732" s="11" t="s">
        <v>2235</v>
      </c>
      <c r="J732" s="11">
        <v>56.5073280334472</v>
      </c>
      <c r="K732" s="11">
        <v>-7.46283960342407</v>
      </c>
      <c r="L732" s="11" t="s">
        <v>1515</v>
      </c>
      <c r="M732" s="11" t="s">
        <v>1515</v>
      </c>
      <c r="N732" s="11" t="s">
        <v>1062</v>
      </c>
      <c r="O732" s="11" t="s">
        <v>2235</v>
      </c>
    </row>
    <row r="733">
      <c r="A733" s="11">
        <v>-49.7521247863769</v>
      </c>
      <c r="B733" s="11">
        <v>30.5958805084228</v>
      </c>
      <c r="C733" s="11" t="s">
        <v>1515</v>
      </c>
      <c r="D733" s="11" t="s">
        <v>1515</v>
      </c>
      <c r="E733" s="11" t="s">
        <v>1062</v>
      </c>
      <c r="F733" s="11" t="s">
        <v>2238</v>
      </c>
      <c r="J733" s="11">
        <v>37.3186874389648</v>
      </c>
      <c r="K733" s="11">
        <v>11.8323345184326</v>
      </c>
      <c r="L733" s="11" t="s">
        <v>1515</v>
      </c>
      <c r="M733" s="11" t="s">
        <v>1515</v>
      </c>
      <c r="N733" s="11" t="s">
        <v>1062</v>
      </c>
      <c r="O733" s="11" t="s">
        <v>2238</v>
      </c>
    </row>
    <row r="734">
      <c r="A734" s="11">
        <v>66.3720092773437</v>
      </c>
      <c r="B734" s="11">
        <v>-4.13832807540893</v>
      </c>
      <c r="C734" s="11" t="s">
        <v>1515</v>
      </c>
      <c r="D734" s="11" t="s">
        <v>1515</v>
      </c>
      <c r="E734" s="11" t="s">
        <v>1062</v>
      </c>
      <c r="F734" s="11" t="s">
        <v>2240</v>
      </c>
      <c r="J734" s="11">
        <v>-2.2291305065155</v>
      </c>
      <c r="K734" s="11">
        <v>61.7009849548339</v>
      </c>
      <c r="L734" s="11" t="s">
        <v>1515</v>
      </c>
      <c r="M734" s="11" t="s">
        <v>1515</v>
      </c>
      <c r="N734" s="11" t="s">
        <v>1062</v>
      </c>
      <c r="O734" s="11" t="s">
        <v>2240</v>
      </c>
    </row>
    <row r="735">
      <c r="A735" s="11">
        <v>-59.0534477233886</v>
      </c>
      <c r="B735" s="11">
        <v>29.9514923095703</v>
      </c>
      <c r="C735" s="11" t="s">
        <v>1515</v>
      </c>
      <c r="D735" s="11" t="s">
        <v>1515</v>
      </c>
      <c r="E735" s="11" t="s">
        <v>1062</v>
      </c>
      <c r="F735" s="11" t="s">
        <v>2242</v>
      </c>
      <c r="J735" s="11">
        <v>45.2042961120605</v>
      </c>
      <c r="K735" s="11">
        <v>18.6345787048339</v>
      </c>
      <c r="L735" s="11" t="s">
        <v>1515</v>
      </c>
      <c r="M735" s="11" t="s">
        <v>1515</v>
      </c>
      <c r="N735" s="11" t="s">
        <v>1062</v>
      </c>
      <c r="O735" s="11" t="s">
        <v>2242</v>
      </c>
    </row>
    <row r="736">
      <c r="A736" s="11">
        <v>-25.7127532958984</v>
      </c>
      <c r="B736" s="11">
        <v>2.11628079414367</v>
      </c>
      <c r="C736" s="11" t="s">
        <v>1515</v>
      </c>
      <c r="D736" s="11" t="s">
        <v>1515</v>
      </c>
      <c r="E736" s="11" t="s">
        <v>1062</v>
      </c>
      <c r="F736" s="11" t="s">
        <v>2244</v>
      </c>
      <c r="J736" s="11">
        <v>29.5945358276367</v>
      </c>
      <c r="K736" s="11">
        <v>22.7012863159179</v>
      </c>
      <c r="L736" s="11" t="s">
        <v>1515</v>
      </c>
      <c r="M736" s="11" t="s">
        <v>1515</v>
      </c>
      <c r="N736" s="11" t="s">
        <v>1062</v>
      </c>
      <c r="O736" s="11" t="s">
        <v>2244</v>
      </c>
    </row>
    <row r="737">
      <c r="A737" s="11">
        <v>9.95377349853515</v>
      </c>
      <c r="B737" s="11">
        <v>-18.8722343444824</v>
      </c>
      <c r="C737" s="11" t="s">
        <v>1515</v>
      </c>
      <c r="D737" s="11" t="s">
        <v>1515</v>
      </c>
      <c r="E737" s="11" t="s">
        <v>1062</v>
      </c>
      <c r="F737" s="11" t="s">
        <v>2246</v>
      </c>
      <c r="J737" s="11">
        <v>5.80201768875122</v>
      </c>
      <c r="K737" s="11">
        <v>48.2550048828125</v>
      </c>
      <c r="L737" s="11" t="s">
        <v>1515</v>
      </c>
      <c r="M737" s="11" t="s">
        <v>1515</v>
      </c>
      <c r="N737" s="11" t="s">
        <v>1062</v>
      </c>
      <c r="O737" s="11" t="s">
        <v>2246</v>
      </c>
    </row>
    <row r="738">
      <c r="A738" s="11">
        <v>-25.4711627960205</v>
      </c>
      <c r="B738" s="11">
        <v>20.952013015747</v>
      </c>
      <c r="C738" s="11" t="s">
        <v>1515</v>
      </c>
      <c r="D738" s="11" t="s">
        <v>1515</v>
      </c>
      <c r="E738" s="11" t="s">
        <v>1062</v>
      </c>
      <c r="F738" s="11" t="s">
        <v>2249</v>
      </c>
      <c r="J738" s="11">
        <v>14.1956768035888</v>
      </c>
      <c r="K738" s="11">
        <v>38.8265991210937</v>
      </c>
      <c r="L738" s="11" t="s">
        <v>1515</v>
      </c>
      <c r="M738" s="11" t="s">
        <v>1515</v>
      </c>
      <c r="N738" s="11" t="s">
        <v>1062</v>
      </c>
      <c r="O738" s="11" t="s">
        <v>2249</v>
      </c>
    </row>
    <row r="739">
      <c r="A739" s="11">
        <v>-35.6253814697265</v>
      </c>
      <c r="B739" s="11">
        <v>21.1400661468505</v>
      </c>
      <c r="C739" s="11" t="s">
        <v>1515</v>
      </c>
      <c r="D739" s="11" t="s">
        <v>1515</v>
      </c>
      <c r="E739" s="11" t="s">
        <v>1062</v>
      </c>
      <c r="F739" s="11" t="s">
        <v>2252</v>
      </c>
      <c r="J739" s="11">
        <v>47.838996887207</v>
      </c>
      <c r="K739" s="11">
        <v>1.61118638515472</v>
      </c>
      <c r="L739" s="11" t="s">
        <v>1515</v>
      </c>
      <c r="M739" s="11" t="s">
        <v>1515</v>
      </c>
      <c r="N739" s="11" t="s">
        <v>1062</v>
      </c>
      <c r="O739" s="11" t="s">
        <v>2252</v>
      </c>
    </row>
    <row r="740">
      <c r="A740" s="11">
        <v>26.7524147033691</v>
      </c>
      <c r="B740" s="11">
        <v>-2.0304410457611</v>
      </c>
      <c r="C740" s="11" t="s">
        <v>1515</v>
      </c>
      <c r="D740" s="11" t="s">
        <v>1515</v>
      </c>
      <c r="E740" s="11" t="s">
        <v>1062</v>
      </c>
      <c r="F740" s="11" t="s">
        <v>2254</v>
      </c>
      <c r="J740" s="11">
        <v>8.27609920501709</v>
      </c>
      <c r="K740" s="11">
        <v>56.5215187072753</v>
      </c>
      <c r="L740" s="11" t="s">
        <v>1515</v>
      </c>
      <c r="M740" s="11" t="s">
        <v>1515</v>
      </c>
      <c r="N740" s="11" t="s">
        <v>1062</v>
      </c>
      <c r="O740" s="11" t="s">
        <v>2254</v>
      </c>
    </row>
    <row r="741">
      <c r="A741" s="11">
        <v>-38.1188774108886</v>
      </c>
      <c r="B741" s="11">
        <v>17.5458583831787</v>
      </c>
      <c r="C741" s="11" t="s">
        <v>1515</v>
      </c>
      <c r="D741" s="11" t="s">
        <v>1515</v>
      </c>
      <c r="E741" s="11" t="s">
        <v>1062</v>
      </c>
      <c r="F741" s="11" t="s">
        <v>2257</v>
      </c>
      <c r="J741" s="11">
        <v>11.3589925765991</v>
      </c>
      <c r="K741" s="11">
        <v>45.722785949707</v>
      </c>
      <c r="L741" s="11" t="s">
        <v>1515</v>
      </c>
      <c r="M741" s="11" t="s">
        <v>1515</v>
      </c>
      <c r="N741" s="11" t="s">
        <v>1062</v>
      </c>
      <c r="O741" s="11" t="s">
        <v>2257</v>
      </c>
    </row>
    <row r="742">
      <c r="A742" s="11">
        <v>-14.1475496292114</v>
      </c>
      <c r="B742" s="11">
        <v>22.8937263488769</v>
      </c>
      <c r="C742" s="11" t="s">
        <v>1515</v>
      </c>
      <c r="D742" s="11" t="s">
        <v>1515</v>
      </c>
      <c r="E742" s="11" t="s">
        <v>1062</v>
      </c>
      <c r="F742" s="11" t="s">
        <v>2260</v>
      </c>
      <c r="J742" s="11">
        <v>10.3164463043212</v>
      </c>
      <c r="K742" s="11">
        <v>47.7058181762695</v>
      </c>
      <c r="L742" s="11" t="s">
        <v>1515</v>
      </c>
      <c r="M742" s="11" t="s">
        <v>1515</v>
      </c>
      <c r="N742" s="11" t="s">
        <v>1062</v>
      </c>
      <c r="O742" s="11" t="s">
        <v>2260</v>
      </c>
    </row>
    <row r="743">
      <c r="A743" s="11">
        <v>-30.0393352508544</v>
      </c>
      <c r="B743" s="11">
        <v>34.3809394836425</v>
      </c>
      <c r="C743" s="11" t="s">
        <v>1515</v>
      </c>
      <c r="D743" s="11" t="s">
        <v>1515</v>
      </c>
      <c r="E743" s="11" t="s">
        <v>1062</v>
      </c>
      <c r="F743" s="11" t="s">
        <v>2262</v>
      </c>
      <c r="J743" s="11">
        <v>32.9707450866699</v>
      </c>
      <c r="K743" s="11">
        <v>43.5017509460449</v>
      </c>
      <c r="L743" s="11" t="s">
        <v>1515</v>
      </c>
      <c r="M743" s="11" t="s">
        <v>1515</v>
      </c>
      <c r="N743" s="11" t="s">
        <v>1062</v>
      </c>
      <c r="O743" s="11" t="s">
        <v>2262</v>
      </c>
    </row>
    <row r="744">
      <c r="A744" s="11">
        <v>-37.5700187683105</v>
      </c>
      <c r="B744" s="11">
        <v>17.1136779785156</v>
      </c>
      <c r="C744" s="11" t="s">
        <v>1515</v>
      </c>
      <c r="D744" s="11" t="s">
        <v>1515</v>
      </c>
      <c r="E744" s="11" t="s">
        <v>1062</v>
      </c>
      <c r="F744" s="11" t="s">
        <v>2264</v>
      </c>
      <c r="J744" s="11">
        <v>11.7459125518798</v>
      </c>
      <c r="K744" s="11">
        <v>45.1359176635742</v>
      </c>
      <c r="L744" s="11" t="s">
        <v>1515</v>
      </c>
      <c r="M744" s="11" t="s">
        <v>1515</v>
      </c>
      <c r="N744" s="11" t="s">
        <v>1062</v>
      </c>
      <c r="O744" s="11" t="s">
        <v>2264</v>
      </c>
    </row>
    <row r="745">
      <c r="A745" s="11">
        <v>-54.8692932128906</v>
      </c>
      <c r="B745" s="11">
        <v>12.1811113357543</v>
      </c>
      <c r="C745" s="11" t="s">
        <v>1515</v>
      </c>
      <c r="D745" s="11" t="s">
        <v>1515</v>
      </c>
      <c r="E745" s="11" t="s">
        <v>1062</v>
      </c>
      <c r="F745" s="11" t="s">
        <v>2266</v>
      </c>
      <c r="J745" s="11">
        <v>54.363483428955</v>
      </c>
      <c r="K745" s="11">
        <v>4.92551755905151</v>
      </c>
      <c r="L745" s="11" t="s">
        <v>1515</v>
      </c>
      <c r="M745" s="11" t="s">
        <v>1515</v>
      </c>
      <c r="N745" s="11" t="s">
        <v>1062</v>
      </c>
      <c r="O745" s="11" t="s">
        <v>2266</v>
      </c>
    </row>
    <row r="746">
      <c r="A746" s="11">
        <v>-11.5878257751464</v>
      </c>
      <c r="B746" s="11">
        <v>11.9516277313232</v>
      </c>
      <c r="C746" s="11" t="s">
        <v>1515</v>
      </c>
      <c r="D746" s="11" t="s">
        <v>1515</v>
      </c>
      <c r="E746" s="11" t="s">
        <v>1062</v>
      </c>
      <c r="F746" s="11" t="s">
        <v>2268</v>
      </c>
      <c r="J746" s="11">
        <v>30.1001358032226</v>
      </c>
      <c r="K746" s="11">
        <v>-13.4433307647705</v>
      </c>
      <c r="L746" s="11" t="s">
        <v>1515</v>
      </c>
      <c r="M746" s="11" t="s">
        <v>1515</v>
      </c>
      <c r="N746" s="11" t="s">
        <v>1062</v>
      </c>
      <c r="O746" s="11" t="s">
        <v>2268</v>
      </c>
    </row>
    <row r="747">
      <c r="A747" s="11">
        <v>66.4505767822265</v>
      </c>
      <c r="B747" s="11">
        <v>-3.15710473060607</v>
      </c>
      <c r="C747" s="11" t="s">
        <v>1515</v>
      </c>
      <c r="D747" s="11" t="s">
        <v>1515</v>
      </c>
      <c r="E747" s="11" t="s">
        <v>1062</v>
      </c>
      <c r="F747" s="11" t="s">
        <v>2271</v>
      </c>
      <c r="J747" s="11">
        <v>-2.3578917980194</v>
      </c>
      <c r="K747" s="11">
        <v>61.0770111083984</v>
      </c>
      <c r="L747" s="11" t="s">
        <v>1515</v>
      </c>
      <c r="M747" s="11" t="s">
        <v>1515</v>
      </c>
      <c r="N747" s="11" t="s">
        <v>1062</v>
      </c>
      <c r="O747" s="11" t="s">
        <v>2271</v>
      </c>
    </row>
    <row r="748">
      <c r="A748" s="11">
        <v>22.5464706420898</v>
      </c>
      <c r="B748" s="11">
        <v>5.94351482391357</v>
      </c>
      <c r="C748" s="11" t="s">
        <v>1515</v>
      </c>
      <c r="D748" s="11" t="s">
        <v>1515</v>
      </c>
      <c r="E748" s="11" t="s">
        <v>1062</v>
      </c>
      <c r="F748" s="11" t="s">
        <v>2273</v>
      </c>
      <c r="J748" s="11">
        <v>2.19999957084655</v>
      </c>
      <c r="K748" s="11">
        <v>66.3578186035156</v>
      </c>
      <c r="L748" s="11" t="s">
        <v>1515</v>
      </c>
      <c r="M748" s="11" t="s">
        <v>1515</v>
      </c>
      <c r="N748" s="11" t="s">
        <v>1062</v>
      </c>
      <c r="O748" s="11" t="s">
        <v>2273</v>
      </c>
    </row>
    <row r="749">
      <c r="A749" s="11">
        <v>-29.8131465911865</v>
      </c>
      <c r="B749" s="11">
        <v>23.9322910308837</v>
      </c>
      <c r="C749" s="11" t="s">
        <v>1515</v>
      </c>
      <c r="D749" s="11" t="s">
        <v>1515</v>
      </c>
      <c r="E749" s="11" t="s">
        <v>1062</v>
      </c>
      <c r="F749" s="11" t="s">
        <v>2275</v>
      </c>
      <c r="J749" s="11">
        <v>17.8985557556152</v>
      </c>
      <c r="K749" s="11">
        <v>35.6999626159668</v>
      </c>
      <c r="L749" s="11" t="s">
        <v>1515</v>
      </c>
      <c r="M749" s="11" t="s">
        <v>1515</v>
      </c>
      <c r="N749" s="11" t="s">
        <v>1062</v>
      </c>
      <c r="O749" s="11" t="s">
        <v>2275</v>
      </c>
    </row>
    <row r="750">
      <c r="A750" s="11">
        <v>25.6875572204589</v>
      </c>
      <c r="B750" s="11">
        <v>1.63774871826171</v>
      </c>
      <c r="C750" s="11" t="s">
        <v>1515</v>
      </c>
      <c r="D750" s="11" t="s">
        <v>1515</v>
      </c>
      <c r="E750" s="11" t="s">
        <v>1062</v>
      </c>
      <c r="F750" s="11" t="s">
        <v>2277</v>
      </c>
      <c r="J750" s="11">
        <v>5.9775972366333</v>
      </c>
      <c r="K750" s="11">
        <v>47.7713928222656</v>
      </c>
      <c r="L750" s="11" t="s">
        <v>1515</v>
      </c>
      <c r="M750" s="11" t="s">
        <v>1515</v>
      </c>
      <c r="N750" s="11" t="s">
        <v>1062</v>
      </c>
      <c r="O750" s="11" t="s">
        <v>2277</v>
      </c>
    </row>
    <row r="751">
      <c r="A751" s="11">
        <v>37.2795600891113</v>
      </c>
      <c r="B751" s="11">
        <v>2.00767374038696</v>
      </c>
      <c r="C751" s="11" t="s">
        <v>1515</v>
      </c>
      <c r="D751" s="11" t="s">
        <v>1515</v>
      </c>
      <c r="E751" s="11" t="s">
        <v>1062</v>
      </c>
      <c r="F751" s="11" t="s">
        <v>2279</v>
      </c>
      <c r="J751" s="11">
        <v>2.46174311637878</v>
      </c>
      <c r="K751" s="11">
        <v>54.2636413574218</v>
      </c>
      <c r="L751" s="11" t="s">
        <v>1515</v>
      </c>
      <c r="M751" s="11" t="s">
        <v>1515</v>
      </c>
      <c r="N751" s="11" t="s">
        <v>1062</v>
      </c>
      <c r="O751" s="11" t="s">
        <v>2279</v>
      </c>
    </row>
    <row r="752">
      <c r="A752" s="11">
        <v>28.5847949981689</v>
      </c>
      <c r="B752" s="11">
        <v>4.21325778961181</v>
      </c>
      <c r="C752" s="11" t="s">
        <v>1515</v>
      </c>
      <c r="D752" s="11" t="s">
        <v>1515</v>
      </c>
      <c r="E752" s="11" t="s">
        <v>1062</v>
      </c>
      <c r="F752" s="11" t="s">
        <v>2281</v>
      </c>
      <c r="J752" s="11">
        <v>-2.58850002288818</v>
      </c>
      <c r="K752" s="11">
        <v>48.4630012512207</v>
      </c>
      <c r="L752" s="11" t="s">
        <v>1515</v>
      </c>
      <c r="M752" s="11" t="s">
        <v>1515</v>
      </c>
      <c r="N752" s="11" t="s">
        <v>1062</v>
      </c>
      <c r="O752" s="11" t="s">
        <v>2281</v>
      </c>
    </row>
    <row r="753">
      <c r="A753" s="11">
        <v>-25.1306095123291</v>
      </c>
      <c r="B753" s="11">
        <v>1.4496818780899</v>
      </c>
      <c r="C753" s="11" t="s">
        <v>1515</v>
      </c>
      <c r="D753" s="11" t="s">
        <v>1515</v>
      </c>
      <c r="E753" s="11" t="s">
        <v>1062</v>
      </c>
      <c r="F753" s="11" t="s">
        <v>2283</v>
      </c>
      <c r="J753" s="11">
        <v>29.5860633850097</v>
      </c>
      <c r="K753" s="11">
        <v>22.7422523498535</v>
      </c>
      <c r="L753" s="11" t="s">
        <v>1515</v>
      </c>
      <c r="M753" s="11" t="s">
        <v>1515</v>
      </c>
      <c r="N753" s="11" t="s">
        <v>1062</v>
      </c>
      <c r="O753" s="11" t="s">
        <v>2283</v>
      </c>
    </row>
    <row r="754">
      <c r="A754" s="11">
        <v>-2.53161978721618</v>
      </c>
      <c r="B754" s="11">
        <v>3.92297530174255</v>
      </c>
      <c r="C754" s="11" t="s">
        <v>1515</v>
      </c>
      <c r="D754" s="11" t="s">
        <v>1515</v>
      </c>
      <c r="E754" s="11" t="s">
        <v>1062</v>
      </c>
      <c r="F754" s="11" t="s">
        <v>2285</v>
      </c>
      <c r="J754" s="11">
        <v>-6.00146389007568</v>
      </c>
      <c r="K754" s="11">
        <v>-14.1642951965332</v>
      </c>
      <c r="L754" s="11" t="s">
        <v>1515</v>
      </c>
      <c r="M754" s="11" t="s">
        <v>1515</v>
      </c>
      <c r="N754" s="11" t="s">
        <v>1062</v>
      </c>
      <c r="O754" s="11" t="s">
        <v>2285</v>
      </c>
    </row>
    <row r="755">
      <c r="A755" s="11">
        <v>-44.4238510131835</v>
      </c>
      <c r="B755" s="11">
        <v>32.1213302612304</v>
      </c>
      <c r="C755" s="11" t="s">
        <v>1515</v>
      </c>
      <c r="D755" s="11" t="s">
        <v>1515</v>
      </c>
      <c r="E755" s="11" t="s">
        <v>1062</v>
      </c>
      <c r="F755" s="11" t="s">
        <v>2287</v>
      </c>
      <c r="J755" s="11">
        <v>45.0714111328125</v>
      </c>
      <c r="K755" s="11">
        <v>9.44773006439209</v>
      </c>
      <c r="L755" s="11" t="s">
        <v>1515</v>
      </c>
      <c r="M755" s="11" t="s">
        <v>1515</v>
      </c>
      <c r="N755" s="11" t="s">
        <v>1062</v>
      </c>
      <c r="O755" s="11" t="s">
        <v>2287</v>
      </c>
    </row>
    <row r="756">
      <c r="A756" s="11">
        <v>-18.8698348999023</v>
      </c>
      <c r="B756" s="11">
        <v>20.3603839874267</v>
      </c>
      <c r="C756" s="11" t="s">
        <v>1515</v>
      </c>
      <c r="D756" s="11" t="s">
        <v>1515</v>
      </c>
      <c r="E756" s="11" t="s">
        <v>1062</v>
      </c>
      <c r="F756" s="11" t="s">
        <v>2290</v>
      </c>
      <c r="J756" s="11">
        <v>19.7579345703125</v>
      </c>
      <c r="K756" s="11">
        <v>44.0045623779296</v>
      </c>
      <c r="L756" s="11" t="s">
        <v>1515</v>
      </c>
      <c r="M756" s="11" t="s">
        <v>1515</v>
      </c>
      <c r="N756" s="11" t="s">
        <v>1062</v>
      </c>
      <c r="O756" s="11" t="s">
        <v>2290</v>
      </c>
    </row>
    <row r="757">
      <c r="A757" s="11">
        <v>-13.6239042282104</v>
      </c>
      <c r="B757" s="11">
        <v>10.0293054580688</v>
      </c>
      <c r="C757" s="11" t="s">
        <v>1515</v>
      </c>
      <c r="D757" s="11" t="s">
        <v>1515</v>
      </c>
      <c r="E757" s="11" t="s">
        <v>1062</v>
      </c>
      <c r="F757" s="11" t="s">
        <v>2293</v>
      </c>
      <c r="J757" s="11">
        <v>11.3000783920288</v>
      </c>
      <c r="K757" s="11">
        <v>6.22399711608886</v>
      </c>
      <c r="L757" s="11" t="s">
        <v>1515</v>
      </c>
      <c r="M757" s="11" t="s">
        <v>1515</v>
      </c>
      <c r="N757" s="11" t="s">
        <v>1062</v>
      </c>
      <c r="O757" s="11" t="s">
        <v>2293</v>
      </c>
    </row>
    <row r="758">
      <c r="A758" s="11">
        <v>35.0752143859863</v>
      </c>
      <c r="B758" s="11">
        <v>2.98784446716308</v>
      </c>
      <c r="C758" s="11" t="s">
        <v>1515</v>
      </c>
      <c r="D758" s="11" t="s">
        <v>1515</v>
      </c>
      <c r="E758" s="11" t="s">
        <v>1062</v>
      </c>
      <c r="F758" s="11" t="s">
        <v>2295</v>
      </c>
      <c r="J758" s="11">
        <v>5.1702914237976</v>
      </c>
      <c r="K758" s="11">
        <v>53.6951179504394</v>
      </c>
      <c r="L758" s="11" t="s">
        <v>1515</v>
      </c>
      <c r="M758" s="11" t="s">
        <v>1515</v>
      </c>
      <c r="N758" s="11" t="s">
        <v>1062</v>
      </c>
      <c r="O758" s="11" t="s">
        <v>2295</v>
      </c>
    </row>
    <row r="759">
      <c r="A759" s="11">
        <v>-48.6272583007812</v>
      </c>
      <c r="B759" s="11">
        <v>47.6201820373535</v>
      </c>
      <c r="C759" s="11" t="s">
        <v>1515</v>
      </c>
      <c r="D759" s="11" t="s">
        <v>1515</v>
      </c>
      <c r="E759" s="11" t="s">
        <v>1062</v>
      </c>
      <c r="F759" s="11" t="s">
        <v>2297</v>
      </c>
      <c r="J759" s="11">
        <v>40.1775016784668</v>
      </c>
      <c r="K759" s="11">
        <v>18.0135955810546</v>
      </c>
      <c r="L759" s="11" t="s">
        <v>1515</v>
      </c>
      <c r="M759" s="11" t="s">
        <v>1515</v>
      </c>
      <c r="N759" s="11" t="s">
        <v>1062</v>
      </c>
      <c r="O759" s="11" t="s">
        <v>2297</v>
      </c>
    </row>
    <row r="760">
      <c r="A760" s="11">
        <v>-49.748119354248</v>
      </c>
      <c r="B760" s="11">
        <v>32.0935668945312</v>
      </c>
      <c r="C760" s="11" t="s">
        <v>1515</v>
      </c>
      <c r="D760" s="11" t="s">
        <v>1515</v>
      </c>
      <c r="E760" s="11" t="s">
        <v>1062</v>
      </c>
      <c r="F760" s="11" t="s">
        <v>2299</v>
      </c>
      <c r="J760" s="11">
        <v>36.3974952697753</v>
      </c>
      <c r="K760" s="11">
        <v>12.335991859436</v>
      </c>
      <c r="L760" s="11" t="s">
        <v>1515</v>
      </c>
      <c r="M760" s="11" t="s">
        <v>1515</v>
      </c>
      <c r="N760" s="11" t="s">
        <v>1062</v>
      </c>
      <c r="O760" s="11" t="s">
        <v>2299</v>
      </c>
    </row>
    <row r="761">
      <c r="A761" s="11">
        <v>54.9614334106445</v>
      </c>
      <c r="B761" s="11">
        <v>-0.334200590848922</v>
      </c>
      <c r="C761" s="11" t="s">
        <v>1515</v>
      </c>
      <c r="D761" s="11" t="s">
        <v>1515</v>
      </c>
      <c r="E761" s="11" t="s">
        <v>1062</v>
      </c>
      <c r="F761" s="11" t="s">
        <v>2302</v>
      </c>
      <c r="J761" s="11">
        <v>4.11276245117187</v>
      </c>
      <c r="K761" s="11">
        <v>56.8291435241699</v>
      </c>
      <c r="L761" s="11" t="s">
        <v>1515</v>
      </c>
      <c r="M761" s="11" t="s">
        <v>1515</v>
      </c>
      <c r="N761" s="11" t="s">
        <v>1062</v>
      </c>
      <c r="O761" s="11" t="s">
        <v>2302</v>
      </c>
    </row>
    <row r="762">
      <c r="A762" s="11">
        <v>27.0754852294921</v>
      </c>
      <c r="B762" s="11">
        <v>-2.62153601646423</v>
      </c>
      <c r="C762" s="11" t="s">
        <v>1515</v>
      </c>
      <c r="D762" s="11" t="s">
        <v>1515</v>
      </c>
      <c r="E762" s="11" t="s">
        <v>1062</v>
      </c>
      <c r="F762" s="11" t="s">
        <v>2304</v>
      </c>
      <c r="J762" s="11">
        <v>8.2317361831665</v>
      </c>
      <c r="K762" s="11">
        <v>55.9672393798828</v>
      </c>
      <c r="L762" s="11" t="s">
        <v>1515</v>
      </c>
      <c r="M762" s="11" t="s">
        <v>1515</v>
      </c>
      <c r="N762" s="11" t="s">
        <v>1062</v>
      </c>
      <c r="O762" s="11" t="s">
        <v>2304</v>
      </c>
    </row>
    <row r="763">
      <c r="A763" s="11">
        <v>-13.110499382019</v>
      </c>
      <c r="B763" s="11">
        <v>74.4573822021484</v>
      </c>
      <c r="C763" s="11" t="s">
        <v>1515</v>
      </c>
      <c r="D763" s="11" t="s">
        <v>1515</v>
      </c>
      <c r="E763" s="11" t="s">
        <v>1062</v>
      </c>
      <c r="F763" s="11" t="s">
        <v>2308</v>
      </c>
      <c r="J763" s="11">
        <v>29.1910209655761</v>
      </c>
      <c r="K763" s="11">
        <v>35.38325881958</v>
      </c>
      <c r="L763" s="11" t="s">
        <v>1515</v>
      </c>
      <c r="M763" s="11" t="s">
        <v>1515</v>
      </c>
      <c r="N763" s="11" t="s">
        <v>1062</v>
      </c>
      <c r="O763" s="11" t="s">
        <v>2308</v>
      </c>
    </row>
    <row r="764">
      <c r="A764" s="11">
        <v>-25.302749633789</v>
      </c>
      <c r="B764" s="11">
        <v>20.2672805786132</v>
      </c>
      <c r="C764" s="11" t="s">
        <v>1515</v>
      </c>
      <c r="D764" s="11" t="s">
        <v>1515</v>
      </c>
      <c r="E764" s="11" t="s">
        <v>1062</v>
      </c>
      <c r="F764" s="11" t="s">
        <v>2310</v>
      </c>
      <c r="J764" s="11">
        <v>14.6557073593139</v>
      </c>
      <c r="K764" s="11">
        <v>38.7958793640136</v>
      </c>
      <c r="L764" s="11" t="s">
        <v>1515</v>
      </c>
      <c r="M764" s="11" t="s">
        <v>1515</v>
      </c>
      <c r="N764" s="11" t="s">
        <v>1062</v>
      </c>
      <c r="O764" s="11" t="s">
        <v>2310</v>
      </c>
    </row>
    <row r="765">
      <c r="A765" s="11">
        <v>-44.4927635192871</v>
      </c>
      <c r="B765" s="11">
        <v>38.8828620910644</v>
      </c>
      <c r="C765" s="11" t="s">
        <v>1515</v>
      </c>
      <c r="D765" s="11" t="s">
        <v>1515</v>
      </c>
      <c r="E765" s="11" t="s">
        <v>1062</v>
      </c>
      <c r="F765" s="11" t="s">
        <v>2313</v>
      </c>
      <c r="J765" s="11">
        <v>41.8379135131835</v>
      </c>
      <c r="K765" s="11">
        <v>-20.9572277069091</v>
      </c>
      <c r="L765" s="11" t="s">
        <v>1515</v>
      </c>
      <c r="M765" s="11" t="s">
        <v>1515</v>
      </c>
      <c r="N765" s="11" t="s">
        <v>1062</v>
      </c>
      <c r="O765" s="11" t="s">
        <v>2313</v>
      </c>
    </row>
    <row r="766">
      <c r="A766" s="11">
        <v>50.8347969055175</v>
      </c>
      <c r="B766" s="11">
        <v>4.47569131851196</v>
      </c>
      <c r="C766" s="11" t="s">
        <v>1515</v>
      </c>
      <c r="D766" s="11" t="s">
        <v>1515</v>
      </c>
      <c r="E766" s="11" t="s">
        <v>1062</v>
      </c>
      <c r="F766" s="11" t="s">
        <v>2314</v>
      </c>
      <c r="J766" s="11">
        <v>1.98444473743438</v>
      </c>
      <c r="K766" s="11">
        <v>50.1592216491699</v>
      </c>
      <c r="L766" s="11" t="s">
        <v>1515</v>
      </c>
      <c r="M766" s="11" t="s">
        <v>1515</v>
      </c>
      <c r="N766" s="11" t="s">
        <v>1062</v>
      </c>
      <c r="O766" s="11" t="s">
        <v>2314</v>
      </c>
    </row>
    <row r="767">
      <c r="A767" s="11">
        <v>-42.1294250488281</v>
      </c>
      <c r="B767" s="11">
        <v>14.2713098526</v>
      </c>
      <c r="C767" s="11" t="s">
        <v>1515</v>
      </c>
      <c r="D767" s="11" t="s">
        <v>1515</v>
      </c>
      <c r="E767" s="11" t="s">
        <v>1062</v>
      </c>
      <c r="F767" s="11" t="s">
        <v>2316</v>
      </c>
      <c r="J767" s="11">
        <v>13.1814002990722</v>
      </c>
      <c r="K767" s="11">
        <v>20.7754955291748</v>
      </c>
      <c r="L767" s="11" t="s">
        <v>1515</v>
      </c>
      <c r="M767" s="11" t="s">
        <v>1515</v>
      </c>
      <c r="N767" s="11" t="s">
        <v>1062</v>
      </c>
      <c r="O767" s="11" t="s">
        <v>2316</v>
      </c>
    </row>
    <row r="768">
      <c r="A768" s="11">
        <v>-65.8503723144531</v>
      </c>
      <c r="B768" s="11">
        <v>-27.6107769012451</v>
      </c>
      <c r="C768" s="11" t="s">
        <v>1515</v>
      </c>
      <c r="D768" s="11" t="s">
        <v>1515</v>
      </c>
      <c r="E768" s="11" t="s">
        <v>1062</v>
      </c>
      <c r="F768" s="11" t="s">
        <v>2318</v>
      </c>
      <c r="J768" s="11">
        <v>5.10022211074829</v>
      </c>
      <c r="K768" s="11">
        <v>41.8560028076171</v>
      </c>
      <c r="L768" s="11" t="s">
        <v>1515</v>
      </c>
      <c r="M768" s="11" t="s">
        <v>1515</v>
      </c>
      <c r="N768" s="11" t="s">
        <v>1062</v>
      </c>
      <c r="O768" s="11" t="s">
        <v>2318</v>
      </c>
    </row>
    <row r="769">
      <c r="A769" s="11">
        <v>50.6279067993164</v>
      </c>
      <c r="B769" s="11">
        <v>-8.05935478210449</v>
      </c>
      <c r="C769" s="11" t="s">
        <v>1515</v>
      </c>
      <c r="D769" s="11" t="s">
        <v>1515</v>
      </c>
      <c r="E769" s="11" t="s">
        <v>1062</v>
      </c>
      <c r="F769" s="11" t="s">
        <v>2320</v>
      </c>
      <c r="J769" s="11">
        <v>2.40719318389892</v>
      </c>
      <c r="K769" s="11">
        <v>59.3745918273925</v>
      </c>
      <c r="L769" s="11" t="s">
        <v>1515</v>
      </c>
      <c r="M769" s="11" t="s">
        <v>1515</v>
      </c>
      <c r="N769" s="11" t="s">
        <v>1062</v>
      </c>
      <c r="O769" s="11" t="s">
        <v>2320</v>
      </c>
    </row>
    <row r="770">
      <c r="A770" s="11">
        <v>-6.57716560363769</v>
      </c>
      <c r="B770" s="11">
        <v>-40.0610618591308</v>
      </c>
      <c r="C770" s="11" t="s">
        <v>1515</v>
      </c>
      <c r="D770" s="11" t="s">
        <v>1515</v>
      </c>
      <c r="E770" s="11" t="s">
        <v>1062</v>
      </c>
      <c r="F770" s="11" t="s">
        <v>2323</v>
      </c>
      <c r="J770" s="11">
        <v>6.82062625885009</v>
      </c>
      <c r="K770" s="11">
        <v>37.886245727539</v>
      </c>
      <c r="L770" s="11" t="s">
        <v>1515</v>
      </c>
      <c r="M770" s="11" t="s">
        <v>1515</v>
      </c>
      <c r="N770" s="11" t="s">
        <v>1062</v>
      </c>
      <c r="O770" s="11" t="s">
        <v>2323</v>
      </c>
    </row>
    <row r="771">
      <c r="A771" s="11">
        <v>-35.2410659790039</v>
      </c>
      <c r="B771" s="11">
        <v>33.3798217773437</v>
      </c>
      <c r="C771" s="11" t="s">
        <v>1515</v>
      </c>
      <c r="D771" s="11" t="s">
        <v>1515</v>
      </c>
      <c r="E771" s="11" t="s">
        <v>1062</v>
      </c>
      <c r="F771" s="11" t="s">
        <v>2325</v>
      </c>
      <c r="J771" s="11">
        <v>5.77900648117065</v>
      </c>
      <c r="K771" s="11">
        <v>48.7900390625</v>
      </c>
      <c r="L771" s="11" t="s">
        <v>1515</v>
      </c>
      <c r="M771" s="11" t="s">
        <v>1515</v>
      </c>
      <c r="N771" s="11" t="s">
        <v>1062</v>
      </c>
      <c r="O771" s="11" t="s">
        <v>2325</v>
      </c>
    </row>
    <row r="772">
      <c r="A772" s="11">
        <v>-42.5374794006347</v>
      </c>
      <c r="B772" s="11">
        <v>29.4942035675048</v>
      </c>
      <c r="C772" s="11" t="s">
        <v>1515</v>
      </c>
      <c r="D772" s="11" t="s">
        <v>1515</v>
      </c>
      <c r="E772" s="11" t="s">
        <v>1062</v>
      </c>
      <c r="F772" s="11" t="s">
        <v>2327</v>
      </c>
      <c r="J772" s="11">
        <v>42.3104286193847</v>
      </c>
      <c r="K772" s="11">
        <v>9.6096019744873</v>
      </c>
      <c r="L772" s="11" t="s">
        <v>1515</v>
      </c>
      <c r="M772" s="11" t="s">
        <v>1515</v>
      </c>
      <c r="N772" s="11" t="s">
        <v>1062</v>
      </c>
      <c r="O772" s="11" t="s">
        <v>2327</v>
      </c>
    </row>
    <row r="773">
      <c r="A773" s="11">
        <v>-38.1476936340332</v>
      </c>
      <c r="B773" s="11">
        <v>35.1583518981933</v>
      </c>
      <c r="C773" s="11" t="s">
        <v>1515</v>
      </c>
      <c r="D773" s="11" t="s">
        <v>1515</v>
      </c>
      <c r="E773" s="11" t="s">
        <v>1062</v>
      </c>
      <c r="F773" s="11" t="s">
        <v>2329</v>
      </c>
      <c r="J773" s="11">
        <v>44.195556640625</v>
      </c>
      <c r="K773" s="11">
        <v>-11.9728803634643</v>
      </c>
      <c r="L773" s="11" t="s">
        <v>1515</v>
      </c>
      <c r="M773" s="11" t="s">
        <v>1515</v>
      </c>
      <c r="N773" s="11" t="s">
        <v>1062</v>
      </c>
      <c r="O773" s="11" t="s">
        <v>2329</v>
      </c>
    </row>
    <row r="774">
      <c r="A774" s="11">
        <v>-29.4035511016845</v>
      </c>
      <c r="B774" s="11">
        <v>19.7871265411376</v>
      </c>
      <c r="C774" s="11" t="s">
        <v>1515</v>
      </c>
      <c r="D774" s="11" t="s">
        <v>1515</v>
      </c>
      <c r="E774" s="11" t="s">
        <v>1062</v>
      </c>
      <c r="F774" s="11" t="s">
        <v>2332</v>
      </c>
      <c r="J774" s="11">
        <v>11.7099733352661</v>
      </c>
      <c r="K774" s="11">
        <v>38.2455215454101</v>
      </c>
      <c r="L774" s="11" t="s">
        <v>1515</v>
      </c>
      <c r="M774" s="11" t="s">
        <v>1515</v>
      </c>
      <c r="N774" s="11" t="s">
        <v>1062</v>
      </c>
      <c r="O774" s="11" t="s">
        <v>2332</v>
      </c>
    </row>
    <row r="775">
      <c r="A775" s="11">
        <v>-6.57716560363769</v>
      </c>
      <c r="B775" s="11">
        <v>-40.0610618591308</v>
      </c>
      <c r="C775" s="11" t="s">
        <v>1515</v>
      </c>
      <c r="D775" s="11" t="s">
        <v>1515</v>
      </c>
      <c r="E775" s="11" t="s">
        <v>1062</v>
      </c>
      <c r="F775" s="11" t="s">
        <v>2335</v>
      </c>
      <c r="J775" s="11">
        <v>6.52775382995605</v>
      </c>
      <c r="K775" s="11">
        <v>37.3989105224609</v>
      </c>
      <c r="L775" s="11" t="s">
        <v>1515</v>
      </c>
      <c r="M775" s="11" t="s">
        <v>1515</v>
      </c>
      <c r="N775" s="11" t="s">
        <v>1062</v>
      </c>
      <c r="O775" s="11" t="s">
        <v>2335</v>
      </c>
    </row>
    <row r="776">
      <c r="A776" s="11">
        <v>27.8390579223632</v>
      </c>
      <c r="B776" s="11">
        <v>-1.87770617008209</v>
      </c>
      <c r="C776" s="11" t="s">
        <v>1515</v>
      </c>
      <c r="D776" s="11" t="s">
        <v>1515</v>
      </c>
      <c r="E776" s="11" t="s">
        <v>1062</v>
      </c>
      <c r="F776" s="11" t="s">
        <v>2337</v>
      </c>
      <c r="J776" s="11">
        <v>8.67461776733398</v>
      </c>
      <c r="K776" s="11">
        <v>56.3580703735351</v>
      </c>
      <c r="L776" s="11" t="s">
        <v>1515</v>
      </c>
      <c r="M776" s="11" t="s">
        <v>1515</v>
      </c>
      <c r="N776" s="11" t="s">
        <v>1062</v>
      </c>
      <c r="O776" s="11" t="s">
        <v>2337</v>
      </c>
    </row>
    <row r="777">
      <c r="A777" s="11">
        <v>37.2795600891113</v>
      </c>
      <c r="B777" s="11">
        <v>2.00767374038696</v>
      </c>
      <c r="C777" s="11" t="s">
        <v>1515</v>
      </c>
      <c r="D777" s="11" t="s">
        <v>1515</v>
      </c>
      <c r="E777" s="11" t="s">
        <v>1062</v>
      </c>
      <c r="F777" s="11" t="s">
        <v>2339</v>
      </c>
      <c r="J777" s="11">
        <v>2.46186518669128</v>
      </c>
      <c r="K777" s="11">
        <v>54.2635803222656</v>
      </c>
      <c r="L777" s="11" t="s">
        <v>1515</v>
      </c>
      <c r="M777" s="11" t="s">
        <v>1515</v>
      </c>
      <c r="N777" s="11" t="s">
        <v>1062</v>
      </c>
      <c r="O777" s="11" t="s">
        <v>2339</v>
      </c>
    </row>
    <row r="778">
      <c r="A778" s="11">
        <v>1.37108671665191</v>
      </c>
      <c r="B778" s="11">
        <v>-2.96941614151</v>
      </c>
      <c r="C778" s="11" t="s">
        <v>1515</v>
      </c>
      <c r="D778" s="11" t="s">
        <v>1515</v>
      </c>
      <c r="E778" s="11" t="s">
        <v>1062</v>
      </c>
      <c r="F778" s="11" t="s">
        <v>2341</v>
      </c>
      <c r="J778" s="11">
        <v>10.6570081710815</v>
      </c>
      <c r="K778" s="11">
        <v>35.2515449523925</v>
      </c>
      <c r="L778" s="11" t="s">
        <v>1515</v>
      </c>
      <c r="M778" s="11" t="s">
        <v>1515</v>
      </c>
      <c r="N778" s="11" t="s">
        <v>1062</v>
      </c>
      <c r="O778" s="11" t="s">
        <v>2341</v>
      </c>
    </row>
    <row r="779">
      <c r="A779" s="11">
        <v>-14.1581239700317</v>
      </c>
      <c r="B779" s="11">
        <v>18.3077888488769</v>
      </c>
      <c r="C779" s="11" t="s">
        <v>1515</v>
      </c>
      <c r="D779" s="11" t="s">
        <v>1515</v>
      </c>
      <c r="E779" s="11" t="s">
        <v>1062</v>
      </c>
      <c r="F779" s="11" t="s">
        <v>2344</v>
      </c>
      <c r="J779" s="11">
        <v>16.4381217956542</v>
      </c>
      <c r="K779" s="11">
        <v>23.2604827880859</v>
      </c>
      <c r="L779" s="11" t="s">
        <v>1515</v>
      </c>
      <c r="M779" s="11" t="s">
        <v>1515</v>
      </c>
      <c r="N779" s="11" t="s">
        <v>1062</v>
      </c>
      <c r="O779" s="11" t="s">
        <v>2344</v>
      </c>
    </row>
    <row r="780">
      <c r="A780" s="11">
        <v>-18.1231822967529</v>
      </c>
      <c r="B780" s="11">
        <v>6.06459379196167</v>
      </c>
      <c r="C780" s="11" t="s">
        <v>1515</v>
      </c>
      <c r="D780" s="11" t="s">
        <v>1515</v>
      </c>
      <c r="E780" s="11" t="s">
        <v>1062</v>
      </c>
      <c r="F780" s="11" t="s">
        <v>2346</v>
      </c>
      <c r="J780" s="11">
        <v>31.0821456909179</v>
      </c>
      <c r="K780" s="11">
        <v>27.5190143585205</v>
      </c>
      <c r="L780" s="11" t="s">
        <v>1515</v>
      </c>
      <c r="M780" s="11" t="s">
        <v>1515</v>
      </c>
      <c r="N780" s="11" t="s">
        <v>1062</v>
      </c>
      <c r="O780" s="11" t="s">
        <v>2346</v>
      </c>
    </row>
    <row r="781">
      <c r="A781" s="11">
        <v>-13.6450843811035</v>
      </c>
      <c r="B781" s="11">
        <v>5.53250885009765</v>
      </c>
      <c r="C781" s="11" t="s">
        <v>1515</v>
      </c>
      <c r="D781" s="11" t="s">
        <v>1515</v>
      </c>
      <c r="E781" s="11" t="s">
        <v>1062</v>
      </c>
      <c r="F781" s="11" t="s">
        <v>2348</v>
      </c>
      <c r="J781" s="11">
        <v>-2.08563256263732</v>
      </c>
      <c r="K781" s="11">
        <v>-13.5026426315307</v>
      </c>
      <c r="L781" s="11" t="s">
        <v>1515</v>
      </c>
      <c r="M781" s="11" t="s">
        <v>1515</v>
      </c>
      <c r="N781" s="11" t="s">
        <v>1062</v>
      </c>
      <c r="O781" s="11" t="s">
        <v>2348</v>
      </c>
    </row>
    <row r="782">
      <c r="A782" s="11">
        <v>4.90558576583862</v>
      </c>
      <c r="B782" s="11">
        <v>56.5891304016113</v>
      </c>
      <c r="C782" s="11" t="s">
        <v>1515</v>
      </c>
      <c r="D782" s="11" t="s">
        <v>1515</v>
      </c>
      <c r="E782" s="11" t="s">
        <v>1062</v>
      </c>
      <c r="F782" s="11" t="s">
        <v>2351</v>
      </c>
      <c r="J782" s="11">
        <v>25.0783309936523</v>
      </c>
      <c r="K782" s="11">
        <v>35.0865478515625</v>
      </c>
      <c r="L782" s="11" t="s">
        <v>1515</v>
      </c>
      <c r="M782" s="11" t="s">
        <v>1515</v>
      </c>
      <c r="N782" s="11" t="s">
        <v>1062</v>
      </c>
      <c r="O782" s="11" t="s">
        <v>2351</v>
      </c>
    </row>
    <row r="783">
      <c r="A783" s="11">
        <v>-14.403504371643</v>
      </c>
      <c r="B783" s="11">
        <v>2.29492759704589</v>
      </c>
      <c r="C783" s="11" t="s">
        <v>1515</v>
      </c>
      <c r="D783" s="11" t="s">
        <v>1515</v>
      </c>
      <c r="E783" s="11" t="s">
        <v>1062</v>
      </c>
      <c r="F783" s="11" t="s">
        <v>2353</v>
      </c>
      <c r="J783" s="11">
        <v>17.5798015594482</v>
      </c>
      <c r="K783" s="11">
        <v>10.1716356277465</v>
      </c>
      <c r="L783" s="11" t="s">
        <v>1515</v>
      </c>
      <c r="M783" s="11" t="s">
        <v>1515</v>
      </c>
      <c r="N783" s="11" t="s">
        <v>1062</v>
      </c>
      <c r="O783" s="11" t="s">
        <v>2353</v>
      </c>
    </row>
    <row r="784">
      <c r="A784" s="11">
        <v>7.19886255264282</v>
      </c>
      <c r="B784" s="11">
        <v>64.8049392700195</v>
      </c>
      <c r="C784" s="11" t="s">
        <v>1515</v>
      </c>
      <c r="D784" s="11" t="s">
        <v>1515</v>
      </c>
      <c r="E784" s="11" t="s">
        <v>1062</v>
      </c>
      <c r="F784" s="11" t="s">
        <v>2355</v>
      </c>
      <c r="J784" s="11">
        <v>14.6953935623168</v>
      </c>
      <c r="K784" s="11">
        <v>13.6518497467041</v>
      </c>
      <c r="L784" s="11" t="s">
        <v>1515</v>
      </c>
      <c r="M784" s="11" t="s">
        <v>1515</v>
      </c>
      <c r="N784" s="11" t="s">
        <v>1062</v>
      </c>
      <c r="O784" s="11" t="s">
        <v>2355</v>
      </c>
    </row>
    <row r="785">
      <c r="A785" s="11">
        <v>-31.3365287780761</v>
      </c>
      <c r="B785" s="11">
        <v>10.3821077346801</v>
      </c>
      <c r="C785" s="11" t="s">
        <v>1515</v>
      </c>
      <c r="D785" s="11" t="s">
        <v>1515</v>
      </c>
      <c r="E785" s="11" t="s">
        <v>1062</v>
      </c>
      <c r="F785" s="11" t="s">
        <v>2358</v>
      </c>
      <c r="J785" s="11">
        <v>5.56698036193847</v>
      </c>
      <c r="K785" s="11">
        <v>21.4275207519531</v>
      </c>
      <c r="L785" s="11" t="s">
        <v>1515</v>
      </c>
      <c r="M785" s="11" t="s">
        <v>1515</v>
      </c>
      <c r="N785" s="11" t="s">
        <v>1062</v>
      </c>
      <c r="O785" s="11" t="s">
        <v>2358</v>
      </c>
    </row>
    <row r="786">
      <c r="A786" s="11">
        <v>-23.661916732788</v>
      </c>
      <c r="B786" s="11">
        <v>24.7984542846679</v>
      </c>
      <c r="C786" s="11" t="s">
        <v>1515</v>
      </c>
      <c r="D786" s="11" t="s">
        <v>1515</v>
      </c>
      <c r="E786" s="11" t="s">
        <v>1062</v>
      </c>
      <c r="F786" s="11" t="s">
        <v>2360</v>
      </c>
      <c r="J786" s="11">
        <v>14.3804426193237</v>
      </c>
      <c r="K786" s="11">
        <v>42.3606872558593</v>
      </c>
      <c r="L786" s="11" t="s">
        <v>1515</v>
      </c>
      <c r="M786" s="11" t="s">
        <v>1515</v>
      </c>
      <c r="N786" s="11" t="s">
        <v>1062</v>
      </c>
      <c r="O786" s="11" t="s">
        <v>2360</v>
      </c>
    </row>
    <row r="787">
      <c r="A787" s="11">
        <v>-38.4073219299316</v>
      </c>
      <c r="B787" s="11">
        <v>22.9134578704834</v>
      </c>
      <c r="C787" s="11" t="s">
        <v>1515</v>
      </c>
      <c r="D787" s="11" t="s">
        <v>1515</v>
      </c>
      <c r="E787" s="11" t="s">
        <v>1062</v>
      </c>
      <c r="F787" s="11" t="s">
        <v>2362</v>
      </c>
      <c r="J787" s="11">
        <v>30.6151256561279</v>
      </c>
      <c r="K787" s="11">
        <v>18.3541889190673</v>
      </c>
      <c r="L787" s="11" t="s">
        <v>1515</v>
      </c>
      <c r="M787" s="11" t="s">
        <v>1515</v>
      </c>
      <c r="N787" s="11" t="s">
        <v>1062</v>
      </c>
      <c r="O787" s="11" t="s">
        <v>2362</v>
      </c>
    </row>
    <row r="788">
      <c r="A788" s="11">
        <v>47.0644035339355</v>
      </c>
      <c r="B788" s="11">
        <v>-3.42506551742553</v>
      </c>
      <c r="C788" s="11" t="s">
        <v>1515</v>
      </c>
      <c r="D788" s="11" t="s">
        <v>1515</v>
      </c>
      <c r="E788" s="11" t="s">
        <v>1062</v>
      </c>
      <c r="F788" s="11" t="s">
        <v>2364</v>
      </c>
      <c r="J788" s="11">
        <v>7.14275169372558</v>
      </c>
      <c r="K788" s="11">
        <v>60.79638671875</v>
      </c>
      <c r="L788" s="11" t="s">
        <v>1515</v>
      </c>
      <c r="M788" s="11" t="s">
        <v>1515</v>
      </c>
      <c r="N788" s="11" t="s">
        <v>1062</v>
      </c>
      <c r="O788" s="11" t="s">
        <v>2364</v>
      </c>
    </row>
    <row r="789">
      <c r="A789" s="11">
        <v>-37.6881866455078</v>
      </c>
      <c r="B789" s="11">
        <v>43.7806434631347</v>
      </c>
      <c r="C789" s="11" t="s">
        <v>1515</v>
      </c>
      <c r="D789" s="11" t="s">
        <v>1515</v>
      </c>
      <c r="E789" s="11" t="s">
        <v>1062</v>
      </c>
      <c r="F789" s="11" t="s">
        <v>2366</v>
      </c>
      <c r="J789" s="11">
        <v>48.6970520019531</v>
      </c>
      <c r="K789" s="11">
        <v>-11.5224914550781</v>
      </c>
      <c r="L789" s="11" t="s">
        <v>1515</v>
      </c>
      <c r="M789" s="11" t="s">
        <v>1515</v>
      </c>
      <c r="N789" s="11" t="s">
        <v>1062</v>
      </c>
      <c r="O789" s="11" t="s">
        <v>2366</v>
      </c>
    </row>
    <row r="790">
      <c r="A790" s="11">
        <v>-36.2288589477539</v>
      </c>
      <c r="B790" s="11">
        <v>34.1808586120605</v>
      </c>
      <c r="C790" s="11" t="s">
        <v>1515</v>
      </c>
      <c r="D790" s="11" t="s">
        <v>1515</v>
      </c>
      <c r="E790" s="11" t="s">
        <v>1062</v>
      </c>
      <c r="F790" s="11" t="s">
        <v>2368</v>
      </c>
      <c r="J790" s="11">
        <v>5.90116548538208</v>
      </c>
      <c r="K790" s="11">
        <v>46.1897468566894</v>
      </c>
      <c r="L790" s="11" t="s">
        <v>1515</v>
      </c>
      <c r="M790" s="11" t="s">
        <v>1515</v>
      </c>
      <c r="N790" s="11" t="s">
        <v>1062</v>
      </c>
      <c r="O790" s="11" t="s">
        <v>2368</v>
      </c>
    </row>
    <row r="791">
      <c r="A791" s="11">
        <v>-50.7820434570312</v>
      </c>
      <c r="B791" s="11">
        <v>40.8292694091796</v>
      </c>
      <c r="C791" s="11" t="s">
        <v>1515</v>
      </c>
      <c r="D791" s="11" t="s">
        <v>1515</v>
      </c>
      <c r="E791" s="11" t="s">
        <v>1062</v>
      </c>
      <c r="F791" s="11" t="s">
        <v>2370</v>
      </c>
      <c r="J791" s="11">
        <v>41.6685676574707</v>
      </c>
      <c r="K791" s="11">
        <v>13.9891719818115</v>
      </c>
      <c r="L791" s="11" t="s">
        <v>1515</v>
      </c>
      <c r="M791" s="11" t="s">
        <v>1515</v>
      </c>
      <c r="N791" s="11" t="s">
        <v>1062</v>
      </c>
      <c r="O791" s="11" t="s">
        <v>2370</v>
      </c>
    </row>
    <row r="792">
      <c r="A792" s="11">
        <v>-47.5158424377441</v>
      </c>
      <c r="B792" s="11">
        <v>24.7938213348388</v>
      </c>
      <c r="C792" s="11" t="s">
        <v>1515</v>
      </c>
      <c r="D792" s="11" t="s">
        <v>1515</v>
      </c>
      <c r="E792" s="11" t="s">
        <v>1062</v>
      </c>
      <c r="F792" s="11" t="s">
        <v>2372</v>
      </c>
      <c r="J792" s="11">
        <v>40.4346542358398</v>
      </c>
      <c r="K792" s="11">
        <v>-7.01295852661132</v>
      </c>
      <c r="L792" s="11" t="s">
        <v>1515</v>
      </c>
      <c r="M792" s="11" t="s">
        <v>1515</v>
      </c>
      <c r="N792" s="11" t="s">
        <v>1062</v>
      </c>
      <c r="O792" s="11" t="s">
        <v>2372</v>
      </c>
    </row>
    <row r="793">
      <c r="A793" s="11">
        <v>64.8536834716796</v>
      </c>
      <c r="B793" s="11">
        <v>-1.7135282754898</v>
      </c>
      <c r="C793" s="11" t="s">
        <v>1515</v>
      </c>
      <c r="D793" s="11" t="s">
        <v>1515</v>
      </c>
      <c r="E793" s="11" t="s">
        <v>1062</v>
      </c>
      <c r="F793" s="11" t="s">
        <v>2374</v>
      </c>
      <c r="J793" s="11">
        <v>-2.77269601821899</v>
      </c>
      <c r="K793" s="11">
        <v>62.5129241943359</v>
      </c>
      <c r="L793" s="11" t="s">
        <v>1515</v>
      </c>
      <c r="M793" s="11" t="s">
        <v>1515</v>
      </c>
      <c r="N793" s="11" t="s">
        <v>1062</v>
      </c>
      <c r="O793" s="11" t="s">
        <v>2374</v>
      </c>
    </row>
    <row r="794">
      <c r="A794" s="11">
        <v>-42.5794029235839</v>
      </c>
      <c r="B794" s="11">
        <v>28.8220596313476</v>
      </c>
      <c r="C794" s="11" t="s">
        <v>1515</v>
      </c>
      <c r="D794" s="11" t="s">
        <v>1515</v>
      </c>
      <c r="E794" s="11" t="s">
        <v>1062</v>
      </c>
      <c r="F794" s="11" t="s">
        <v>2376</v>
      </c>
      <c r="J794" s="11">
        <v>42.4355506896972</v>
      </c>
      <c r="K794" s="11">
        <v>9.53280639648437</v>
      </c>
      <c r="L794" s="11" t="s">
        <v>1515</v>
      </c>
      <c r="M794" s="11" t="s">
        <v>1515</v>
      </c>
      <c r="N794" s="11" t="s">
        <v>1062</v>
      </c>
      <c r="O794" s="11" t="s">
        <v>2376</v>
      </c>
    </row>
    <row r="795">
      <c r="A795" s="11">
        <v>31.8708400726318</v>
      </c>
      <c r="B795" s="11">
        <v>35.2241172790527</v>
      </c>
      <c r="C795" s="11" t="s">
        <v>1515</v>
      </c>
      <c r="D795" s="11" t="s">
        <v>1515</v>
      </c>
      <c r="E795" s="11" t="s">
        <v>1062</v>
      </c>
      <c r="F795" s="11" t="s">
        <v>2379</v>
      </c>
      <c r="J795" s="11">
        <v>18.381118774414</v>
      </c>
      <c r="K795" s="11">
        <v>57.258560180664</v>
      </c>
      <c r="L795" s="11" t="s">
        <v>1515</v>
      </c>
      <c r="M795" s="11" t="s">
        <v>1515</v>
      </c>
      <c r="N795" s="11" t="s">
        <v>1062</v>
      </c>
      <c r="O795" s="11" t="s">
        <v>2379</v>
      </c>
    </row>
    <row r="796">
      <c r="A796" s="11">
        <v>-62.3768272399902</v>
      </c>
      <c r="B796" s="11">
        <v>45.0391616821289</v>
      </c>
      <c r="C796" s="11" t="s">
        <v>1515</v>
      </c>
      <c r="D796" s="11" t="s">
        <v>1515</v>
      </c>
      <c r="E796" s="11" t="s">
        <v>1062</v>
      </c>
      <c r="F796" s="11" t="s">
        <v>2381</v>
      </c>
      <c r="J796" s="11">
        <v>57.7010307312011</v>
      </c>
      <c r="K796" s="11">
        <v>-8.70893669128418</v>
      </c>
      <c r="L796" s="11" t="s">
        <v>1515</v>
      </c>
      <c r="M796" s="11" t="s">
        <v>1515</v>
      </c>
      <c r="N796" s="11" t="s">
        <v>1062</v>
      </c>
      <c r="O796" s="11" t="s">
        <v>2381</v>
      </c>
    </row>
    <row r="797">
      <c r="A797" s="11">
        <v>-35.4060020446777</v>
      </c>
      <c r="B797" s="11">
        <v>27.7732849121093</v>
      </c>
      <c r="C797" s="11" t="s">
        <v>1515</v>
      </c>
      <c r="D797" s="11" t="s">
        <v>1515</v>
      </c>
      <c r="E797" s="11" t="s">
        <v>1062</v>
      </c>
      <c r="F797" s="11" t="s">
        <v>2383</v>
      </c>
      <c r="J797" s="11">
        <v>15.0208959579467</v>
      </c>
      <c r="K797" s="11">
        <v>45.4889907836914</v>
      </c>
      <c r="L797" s="11" t="s">
        <v>1515</v>
      </c>
      <c r="M797" s="11" t="s">
        <v>1515</v>
      </c>
      <c r="N797" s="11" t="s">
        <v>1062</v>
      </c>
      <c r="O797" s="11" t="s">
        <v>2383</v>
      </c>
    </row>
    <row r="798">
      <c r="A798" s="11">
        <v>-47.0085372924804</v>
      </c>
      <c r="B798" s="11">
        <v>48.4675254821777</v>
      </c>
      <c r="C798" s="11" t="s">
        <v>1515</v>
      </c>
      <c r="D798" s="11" t="s">
        <v>1515</v>
      </c>
      <c r="E798" s="11" t="s">
        <v>1062</v>
      </c>
      <c r="F798" s="11" t="s">
        <v>2385</v>
      </c>
      <c r="J798" s="11">
        <v>38.96040725708</v>
      </c>
      <c r="K798" s="11">
        <v>17.7486667633056</v>
      </c>
      <c r="L798" s="11" t="s">
        <v>1515</v>
      </c>
      <c r="M798" s="11" t="s">
        <v>1515</v>
      </c>
      <c r="N798" s="11" t="s">
        <v>1062</v>
      </c>
      <c r="O798" s="11" t="s">
        <v>2385</v>
      </c>
    </row>
    <row r="799">
      <c r="A799" s="11">
        <v>-31.747179031372</v>
      </c>
      <c r="B799" s="11">
        <v>-27.3890590667724</v>
      </c>
      <c r="C799" s="11" t="s">
        <v>1515</v>
      </c>
      <c r="D799" s="11" t="s">
        <v>1515</v>
      </c>
      <c r="E799" s="11" t="s">
        <v>1062</v>
      </c>
      <c r="F799" s="11" t="s">
        <v>2387</v>
      </c>
      <c r="J799" s="11">
        <v>25.5154380798339</v>
      </c>
      <c r="K799" s="11">
        <v>54.5630569458007</v>
      </c>
      <c r="L799" s="11" t="s">
        <v>1515</v>
      </c>
      <c r="M799" s="11" t="s">
        <v>1515</v>
      </c>
      <c r="N799" s="11" t="s">
        <v>1062</v>
      </c>
      <c r="O799" s="11" t="s">
        <v>2387</v>
      </c>
    </row>
    <row r="800">
      <c r="A800" s="11">
        <v>-7.92768716812133</v>
      </c>
      <c r="B800" s="11">
        <v>25.5748596191406</v>
      </c>
      <c r="C800" s="11" t="s">
        <v>1515</v>
      </c>
      <c r="D800" s="11" t="s">
        <v>1515</v>
      </c>
      <c r="E800" s="11" t="s">
        <v>1062</v>
      </c>
      <c r="F800" s="11" t="s">
        <v>2389</v>
      </c>
      <c r="J800" s="11">
        <v>21.3332195281982</v>
      </c>
      <c r="K800" s="11">
        <v>15.8854370117187</v>
      </c>
      <c r="L800" s="11" t="s">
        <v>1515</v>
      </c>
      <c r="M800" s="11" t="s">
        <v>1515</v>
      </c>
      <c r="N800" s="11" t="s">
        <v>1062</v>
      </c>
      <c r="O800" s="11" t="s">
        <v>2389</v>
      </c>
    </row>
    <row r="801">
      <c r="A801" s="11">
        <v>-10.6975774765014</v>
      </c>
      <c r="B801" s="11">
        <v>1.28606081008911</v>
      </c>
      <c r="C801" s="11" t="s">
        <v>1515</v>
      </c>
      <c r="D801" s="11" t="s">
        <v>1515</v>
      </c>
      <c r="E801" s="11" t="s">
        <v>1062</v>
      </c>
      <c r="F801" s="11" t="s">
        <v>2391</v>
      </c>
      <c r="J801" s="11">
        <v>-9.55432987213134</v>
      </c>
      <c r="K801" s="11">
        <v>-12.171311378479</v>
      </c>
      <c r="L801" s="11" t="s">
        <v>1515</v>
      </c>
      <c r="M801" s="11" t="s">
        <v>1515</v>
      </c>
      <c r="N801" s="11" t="s">
        <v>1062</v>
      </c>
      <c r="O801" s="11" t="s">
        <v>2391</v>
      </c>
    </row>
    <row r="802">
      <c r="A802" s="11">
        <v>-35.0637435913085</v>
      </c>
      <c r="B802" s="11">
        <v>13.9302644729614</v>
      </c>
      <c r="C802" s="11" t="s">
        <v>1515</v>
      </c>
      <c r="D802" s="11" t="s">
        <v>1515</v>
      </c>
      <c r="E802" s="11" t="s">
        <v>1062</v>
      </c>
      <c r="F802" s="11" t="s">
        <v>2393</v>
      </c>
      <c r="J802" s="11">
        <v>13.9997339248657</v>
      </c>
      <c r="K802" s="11">
        <v>25.2308712005615</v>
      </c>
      <c r="L802" s="11" t="s">
        <v>1515</v>
      </c>
      <c r="M802" s="11" t="s">
        <v>1515</v>
      </c>
      <c r="N802" s="11" t="s">
        <v>1062</v>
      </c>
      <c r="O802" s="11" t="s">
        <v>2393</v>
      </c>
    </row>
    <row r="803">
      <c r="A803" s="11">
        <v>-50.2940063476562</v>
      </c>
      <c r="B803" s="11">
        <v>40.0452690124511</v>
      </c>
      <c r="C803" s="11" t="s">
        <v>1515</v>
      </c>
      <c r="D803" s="11" t="s">
        <v>1515</v>
      </c>
      <c r="E803" s="11" t="s">
        <v>1062</v>
      </c>
      <c r="F803" s="11" t="s">
        <v>2394</v>
      </c>
      <c r="J803" s="11">
        <v>41.2386093139648</v>
      </c>
      <c r="K803" s="11">
        <v>13.43541431427</v>
      </c>
      <c r="L803" s="11" t="s">
        <v>1515</v>
      </c>
      <c r="M803" s="11" t="s">
        <v>1515</v>
      </c>
      <c r="N803" s="11" t="s">
        <v>1062</v>
      </c>
      <c r="O803" s="11" t="s">
        <v>2394</v>
      </c>
    </row>
    <row r="804">
      <c r="A804" s="11">
        <v>30.4380645751953</v>
      </c>
      <c r="B804" s="11">
        <v>42.5646324157714</v>
      </c>
      <c r="C804" s="11" t="s">
        <v>1515</v>
      </c>
      <c r="D804" s="11" t="s">
        <v>1515</v>
      </c>
      <c r="E804" s="11" t="s">
        <v>1062</v>
      </c>
      <c r="F804" s="11" t="s">
        <v>2396</v>
      </c>
      <c r="J804" s="11">
        <v>22.1829490661621</v>
      </c>
      <c r="K804" s="11">
        <v>38.7983970642089</v>
      </c>
      <c r="L804" s="11" t="s">
        <v>1515</v>
      </c>
      <c r="M804" s="11" t="s">
        <v>1515</v>
      </c>
      <c r="N804" s="11" t="s">
        <v>1062</v>
      </c>
      <c r="O804" s="11" t="s">
        <v>2396</v>
      </c>
    </row>
    <row r="805">
      <c r="A805" s="11">
        <v>-56.7246017456054</v>
      </c>
      <c r="B805" s="11">
        <v>12.0487070083618</v>
      </c>
      <c r="C805" s="11" t="s">
        <v>1515</v>
      </c>
      <c r="D805" s="11" t="s">
        <v>1515</v>
      </c>
      <c r="E805" s="11" t="s">
        <v>1062</v>
      </c>
      <c r="F805" s="11" t="s">
        <v>2397</v>
      </c>
      <c r="J805" s="11">
        <v>54.4061622619628</v>
      </c>
      <c r="K805" s="11">
        <v>6.78036880493164</v>
      </c>
      <c r="L805" s="11" t="s">
        <v>1515</v>
      </c>
      <c r="M805" s="11" t="s">
        <v>1515</v>
      </c>
      <c r="N805" s="11" t="s">
        <v>1062</v>
      </c>
      <c r="O805" s="11" t="s">
        <v>2397</v>
      </c>
    </row>
    <row r="806">
      <c r="A806" s="11">
        <v>-3.0835371017456</v>
      </c>
      <c r="B806" s="11">
        <v>-68.461441040039</v>
      </c>
      <c r="C806" s="11" t="s">
        <v>1515</v>
      </c>
      <c r="D806" s="11" t="s">
        <v>1515</v>
      </c>
      <c r="E806" s="11" t="s">
        <v>1062</v>
      </c>
      <c r="F806" s="11" t="s">
        <v>2399</v>
      </c>
      <c r="J806" s="11">
        <v>7.47401905059814</v>
      </c>
      <c r="K806" s="11">
        <v>33.3350830078125</v>
      </c>
      <c r="L806" s="11" t="s">
        <v>1515</v>
      </c>
      <c r="M806" s="11" t="s">
        <v>1515</v>
      </c>
      <c r="N806" s="11" t="s">
        <v>1062</v>
      </c>
      <c r="O806" s="11" t="s">
        <v>2399</v>
      </c>
    </row>
    <row r="807">
      <c r="A807" s="11">
        <v>-8.36870765686035</v>
      </c>
      <c r="B807" s="11">
        <v>8.76556396484375</v>
      </c>
      <c r="C807" s="11" t="s">
        <v>1515</v>
      </c>
      <c r="D807" s="11" t="s">
        <v>1515</v>
      </c>
      <c r="E807" s="11" t="s">
        <v>1062</v>
      </c>
      <c r="F807" s="11" t="s">
        <v>2402</v>
      </c>
      <c r="J807" s="11">
        <v>-0.636732339859008</v>
      </c>
      <c r="K807" s="11">
        <v>52.8973426818847</v>
      </c>
      <c r="L807" s="11" t="s">
        <v>1515</v>
      </c>
      <c r="M807" s="11" t="s">
        <v>1515</v>
      </c>
      <c r="N807" s="11" t="s">
        <v>1062</v>
      </c>
      <c r="O807" s="11" t="s">
        <v>2402</v>
      </c>
    </row>
    <row r="808">
      <c r="A808" s="11">
        <v>-66.526741027832</v>
      </c>
      <c r="B808" s="11">
        <v>-28.5642528533935</v>
      </c>
      <c r="C808" s="11" t="s">
        <v>1515</v>
      </c>
      <c r="D808" s="11" t="s">
        <v>1515</v>
      </c>
      <c r="E808" s="11" t="s">
        <v>1062</v>
      </c>
      <c r="F808" s="11" t="s">
        <v>2404</v>
      </c>
      <c r="J808" s="11">
        <v>5.50162363052368</v>
      </c>
      <c r="K808" s="11">
        <v>42.5297584533691</v>
      </c>
      <c r="L808" s="11" t="s">
        <v>1515</v>
      </c>
      <c r="M808" s="11" t="s">
        <v>1515</v>
      </c>
      <c r="N808" s="11" t="s">
        <v>1062</v>
      </c>
      <c r="O808" s="11" t="s">
        <v>2404</v>
      </c>
    </row>
    <row r="809">
      <c r="A809" s="11">
        <v>-23.661916732788</v>
      </c>
      <c r="B809" s="11">
        <v>24.7984542846679</v>
      </c>
      <c r="C809" s="11" t="s">
        <v>1515</v>
      </c>
      <c r="D809" s="11" t="s">
        <v>1515</v>
      </c>
      <c r="E809" s="11" t="s">
        <v>1062</v>
      </c>
      <c r="F809" s="11" t="s">
        <v>2406</v>
      </c>
      <c r="J809" s="11">
        <v>14.3803720474243</v>
      </c>
      <c r="K809" s="11">
        <v>42.3601989746093</v>
      </c>
      <c r="L809" s="11" t="s">
        <v>1515</v>
      </c>
      <c r="M809" s="11" t="s">
        <v>1515</v>
      </c>
      <c r="N809" s="11" t="s">
        <v>1062</v>
      </c>
      <c r="O809" s="11" t="s">
        <v>2406</v>
      </c>
    </row>
    <row r="810">
      <c r="A810" s="11">
        <v>67.516357421875</v>
      </c>
      <c r="B810" s="11">
        <v>-2.57792854309082</v>
      </c>
      <c r="C810" s="11" t="s">
        <v>1515</v>
      </c>
      <c r="D810" s="11" t="s">
        <v>1515</v>
      </c>
      <c r="E810" s="11" t="s">
        <v>1062</v>
      </c>
      <c r="F810" s="11" t="s">
        <v>2409</v>
      </c>
      <c r="J810" s="11">
        <v>-3.4421648979187</v>
      </c>
      <c r="K810" s="11">
        <v>60.8132629394531</v>
      </c>
      <c r="L810" s="11" t="s">
        <v>1515</v>
      </c>
      <c r="M810" s="11" t="s">
        <v>1515</v>
      </c>
      <c r="N810" s="11" t="s">
        <v>1062</v>
      </c>
      <c r="O810" s="11" t="s">
        <v>2409</v>
      </c>
    </row>
    <row r="811">
      <c r="A811" s="11">
        <v>47.8496131896972</v>
      </c>
      <c r="B811" s="11">
        <v>-1.89841878414154</v>
      </c>
      <c r="C811" s="11" t="s">
        <v>1515</v>
      </c>
      <c r="D811" s="11" t="s">
        <v>1515</v>
      </c>
      <c r="E811" s="11" t="s">
        <v>1062</v>
      </c>
      <c r="F811" s="11" t="s">
        <v>2411</v>
      </c>
      <c r="J811" s="11">
        <v>6.15518760681152</v>
      </c>
      <c r="K811" s="11">
        <v>63.2245903015136</v>
      </c>
      <c r="L811" s="11" t="s">
        <v>1515</v>
      </c>
      <c r="M811" s="11" t="s">
        <v>1515</v>
      </c>
      <c r="N811" s="11" t="s">
        <v>1062</v>
      </c>
      <c r="O811" s="11" t="s">
        <v>2411</v>
      </c>
    </row>
    <row r="812">
      <c r="A812" s="11">
        <v>35.0752143859863</v>
      </c>
      <c r="B812" s="11">
        <v>2.98784446716308</v>
      </c>
      <c r="C812" s="11" t="s">
        <v>1515</v>
      </c>
      <c r="D812" s="11" t="s">
        <v>1515</v>
      </c>
      <c r="E812" s="11" t="s">
        <v>1062</v>
      </c>
      <c r="F812" s="11" t="s">
        <v>2414</v>
      </c>
      <c r="J812" s="11">
        <v>4.87170696258544</v>
      </c>
      <c r="K812" s="11">
        <v>53.9186401367187</v>
      </c>
      <c r="L812" s="11" t="s">
        <v>1515</v>
      </c>
      <c r="M812" s="11" t="s">
        <v>1515</v>
      </c>
      <c r="N812" s="11" t="s">
        <v>1062</v>
      </c>
      <c r="O812" s="11" t="s">
        <v>2414</v>
      </c>
    </row>
    <row r="813">
      <c r="A813" s="11">
        <v>-41.7199020385742</v>
      </c>
      <c r="B813" s="11">
        <v>14.8023767471313</v>
      </c>
      <c r="C813" s="11" t="s">
        <v>1515</v>
      </c>
      <c r="D813" s="11" t="s">
        <v>1515</v>
      </c>
      <c r="E813" s="11" t="s">
        <v>1062</v>
      </c>
      <c r="F813" s="11" t="s">
        <v>2417</v>
      </c>
      <c r="J813" s="11">
        <v>12.9952707290649</v>
      </c>
      <c r="K813" s="11">
        <v>20.0993881225585</v>
      </c>
      <c r="L813" s="11" t="s">
        <v>1515</v>
      </c>
      <c r="M813" s="11" t="s">
        <v>1515</v>
      </c>
      <c r="N813" s="11" t="s">
        <v>1062</v>
      </c>
      <c r="O813" s="11" t="s">
        <v>2417</v>
      </c>
    </row>
    <row r="814">
      <c r="A814" s="11">
        <v>-37.5262260437011</v>
      </c>
      <c r="B814" s="11">
        <v>8.14706993103027</v>
      </c>
      <c r="C814" s="11" t="s">
        <v>1515</v>
      </c>
      <c r="D814" s="11" t="s">
        <v>1515</v>
      </c>
      <c r="E814" s="11" t="s">
        <v>1062</v>
      </c>
      <c r="F814" s="11" t="s">
        <v>2419</v>
      </c>
      <c r="J814" s="11">
        <v>12.9391059875488</v>
      </c>
      <c r="K814" s="11">
        <v>32.4363670349121</v>
      </c>
      <c r="L814" s="11" t="s">
        <v>1515</v>
      </c>
      <c r="M814" s="11" t="s">
        <v>1515</v>
      </c>
      <c r="N814" s="11" t="s">
        <v>1062</v>
      </c>
      <c r="O814" s="11" t="s">
        <v>2419</v>
      </c>
    </row>
    <row r="815">
      <c r="A815" s="11">
        <v>7.19886255264282</v>
      </c>
      <c r="B815" s="11">
        <v>64.8049392700195</v>
      </c>
      <c r="C815" s="11" t="s">
        <v>1515</v>
      </c>
      <c r="D815" s="11" t="s">
        <v>1515</v>
      </c>
      <c r="E815" s="11" t="s">
        <v>1062</v>
      </c>
      <c r="F815" s="11" t="s">
        <v>2421</v>
      </c>
      <c r="J815" s="11">
        <v>15.005558013916</v>
      </c>
      <c r="K815" s="11">
        <v>14.2470436096191</v>
      </c>
      <c r="L815" s="11" t="s">
        <v>1515</v>
      </c>
      <c r="M815" s="11" t="s">
        <v>1515</v>
      </c>
      <c r="N815" s="11" t="s">
        <v>1062</v>
      </c>
      <c r="O815" s="11" t="s">
        <v>2421</v>
      </c>
    </row>
    <row r="816">
      <c r="A816" s="11">
        <v>37.9267921447753</v>
      </c>
      <c r="B816" s="11">
        <v>38.7031059265136</v>
      </c>
      <c r="C816" s="11" t="s">
        <v>1515</v>
      </c>
      <c r="D816" s="11" t="s">
        <v>1515</v>
      </c>
      <c r="E816" s="11" t="s">
        <v>1062</v>
      </c>
      <c r="F816" s="11" t="s">
        <v>2424</v>
      </c>
      <c r="J816" s="11">
        <v>8.33988857269287</v>
      </c>
      <c r="K816" s="11">
        <v>51.2486686706543</v>
      </c>
      <c r="L816" s="11" t="s">
        <v>1515</v>
      </c>
      <c r="M816" s="11" t="s">
        <v>1515</v>
      </c>
      <c r="N816" s="11" t="s">
        <v>1062</v>
      </c>
      <c r="O816" s="11" t="s">
        <v>2424</v>
      </c>
    </row>
    <row r="817">
      <c r="A817" s="11">
        <v>-65.6785202026367</v>
      </c>
      <c r="B817" s="11">
        <v>-28.887315750122</v>
      </c>
      <c r="C817" s="11" t="s">
        <v>1515</v>
      </c>
      <c r="D817" s="11" t="s">
        <v>1515</v>
      </c>
      <c r="E817" s="11" t="s">
        <v>1062</v>
      </c>
      <c r="F817" s="11" t="s">
        <v>2425</v>
      </c>
      <c r="J817" s="11">
        <v>5.73203706741333</v>
      </c>
      <c r="K817" s="11">
        <v>41.6104545593261</v>
      </c>
      <c r="L817" s="11" t="s">
        <v>1515</v>
      </c>
      <c r="M817" s="11" t="s">
        <v>1515</v>
      </c>
      <c r="N817" s="11" t="s">
        <v>1062</v>
      </c>
      <c r="O817" s="11" t="s">
        <v>2425</v>
      </c>
    </row>
    <row r="818">
      <c r="A818" s="11">
        <v>55.1163520812988</v>
      </c>
      <c r="B818" s="11">
        <v>-0.33591428399086</v>
      </c>
      <c r="C818" s="11" t="s">
        <v>1515</v>
      </c>
      <c r="D818" s="11" t="s">
        <v>1515</v>
      </c>
      <c r="E818" s="11" t="s">
        <v>1062</v>
      </c>
      <c r="F818" s="11" t="s">
        <v>2427</v>
      </c>
      <c r="J818" s="11">
        <v>4.15099096298217</v>
      </c>
      <c r="K818" s="11">
        <v>56.8037643432617</v>
      </c>
      <c r="L818" s="11" t="s">
        <v>1515</v>
      </c>
      <c r="M818" s="11" t="s">
        <v>1515</v>
      </c>
      <c r="N818" s="11" t="s">
        <v>1062</v>
      </c>
      <c r="O818" s="11" t="s">
        <v>2427</v>
      </c>
    </row>
    <row r="819">
      <c r="A819" s="11">
        <v>-24.1889591217041</v>
      </c>
      <c r="B819" s="11">
        <v>25.3085880279541</v>
      </c>
      <c r="C819" s="11" t="s">
        <v>1515</v>
      </c>
      <c r="D819" s="11" t="s">
        <v>1515</v>
      </c>
      <c r="E819" s="11" t="s">
        <v>1062</v>
      </c>
      <c r="F819" s="11" t="s">
        <v>2429</v>
      </c>
      <c r="J819" s="11">
        <v>15.3295059204101</v>
      </c>
      <c r="K819" s="11">
        <v>41.6517829895019</v>
      </c>
      <c r="L819" s="11" t="s">
        <v>1515</v>
      </c>
      <c r="M819" s="11" t="s">
        <v>1515</v>
      </c>
      <c r="N819" s="11" t="s">
        <v>1062</v>
      </c>
      <c r="O819" s="11" t="s">
        <v>2429</v>
      </c>
    </row>
    <row r="820">
      <c r="A820" s="11">
        <v>-50.1525650024414</v>
      </c>
      <c r="B820" s="11">
        <v>31.1873378753662</v>
      </c>
      <c r="C820" s="11" t="s">
        <v>1515</v>
      </c>
      <c r="D820" s="11" t="s">
        <v>1515</v>
      </c>
      <c r="E820" s="11" t="s">
        <v>1062</v>
      </c>
      <c r="F820" s="11" t="s">
        <v>2431</v>
      </c>
      <c r="J820" s="11">
        <v>37.3186874389648</v>
      </c>
      <c r="K820" s="11">
        <v>11.8323345184326</v>
      </c>
      <c r="L820" s="11" t="s">
        <v>1515</v>
      </c>
      <c r="M820" s="11" t="s">
        <v>1515</v>
      </c>
      <c r="N820" s="11" t="s">
        <v>1062</v>
      </c>
      <c r="O820" s="11" t="s">
        <v>2431</v>
      </c>
    </row>
    <row r="821">
      <c r="A821" s="11">
        <v>1.25503623485565</v>
      </c>
      <c r="B821" s="11">
        <v>32.300968170166</v>
      </c>
      <c r="C821" s="11" t="s">
        <v>1515</v>
      </c>
      <c r="D821" s="11" t="s">
        <v>1515</v>
      </c>
      <c r="E821" s="11" t="s">
        <v>1062</v>
      </c>
      <c r="F821" s="11" t="s">
        <v>2433</v>
      </c>
      <c r="J821" s="11">
        <v>14.6388998031616</v>
      </c>
      <c r="K821" s="11">
        <v>35.6873474121093</v>
      </c>
      <c r="L821" s="11" t="s">
        <v>1515</v>
      </c>
      <c r="M821" s="11" t="s">
        <v>1515</v>
      </c>
      <c r="N821" s="11" t="s">
        <v>1062</v>
      </c>
      <c r="O821" s="11" t="s">
        <v>2433</v>
      </c>
    </row>
    <row r="822">
      <c r="A822" s="11">
        <v>-38.4871520996093</v>
      </c>
      <c r="B822" s="11">
        <v>36.0068778991699</v>
      </c>
      <c r="C822" s="11" t="s">
        <v>1515</v>
      </c>
      <c r="D822" s="11" t="s">
        <v>1515</v>
      </c>
      <c r="E822" s="11" t="s">
        <v>1062</v>
      </c>
      <c r="F822" s="11" t="s">
        <v>2435</v>
      </c>
      <c r="J822" s="11">
        <v>44.9162635803222</v>
      </c>
      <c r="K822" s="11">
        <v>-11.6210231781005</v>
      </c>
      <c r="L822" s="11" t="s">
        <v>1515</v>
      </c>
      <c r="M822" s="11" t="s">
        <v>1515</v>
      </c>
      <c r="N822" s="11" t="s">
        <v>1062</v>
      </c>
      <c r="O822" s="11" t="s">
        <v>2435</v>
      </c>
    </row>
    <row r="823">
      <c r="A823" s="11">
        <v>-21.1008052825927</v>
      </c>
      <c r="B823" s="11">
        <v>-44.5745620727539</v>
      </c>
      <c r="C823" s="11" t="s">
        <v>1390</v>
      </c>
      <c r="D823" s="11" t="s">
        <v>1390</v>
      </c>
      <c r="E823" s="11" t="s">
        <v>1062</v>
      </c>
      <c r="F823" s="11" t="s">
        <v>1391</v>
      </c>
      <c r="J823" s="11">
        <v>-4.14909648895263</v>
      </c>
      <c r="K823" s="11">
        <v>-45.799949645996</v>
      </c>
      <c r="L823" s="11" t="s">
        <v>1390</v>
      </c>
      <c r="M823" s="11" t="s">
        <v>1390</v>
      </c>
      <c r="N823" s="11" t="s">
        <v>1062</v>
      </c>
      <c r="O823" s="11" t="s">
        <v>1391</v>
      </c>
    </row>
    <row r="824">
      <c r="A824" s="11">
        <v>5.95444917678833</v>
      </c>
      <c r="B824" s="11">
        <v>-19.3655414581298</v>
      </c>
      <c r="C824" s="11" t="s">
        <v>1390</v>
      </c>
      <c r="D824" s="11" t="s">
        <v>1390</v>
      </c>
      <c r="E824" s="11" t="s">
        <v>1062</v>
      </c>
      <c r="F824" s="11" t="s">
        <v>1394</v>
      </c>
      <c r="J824" s="11">
        <v>-2.46211576461792</v>
      </c>
      <c r="K824" s="11">
        <v>-34.1237411499023</v>
      </c>
      <c r="L824" s="11" t="s">
        <v>1390</v>
      </c>
      <c r="M824" s="11" t="s">
        <v>1390</v>
      </c>
      <c r="N824" s="11" t="s">
        <v>1062</v>
      </c>
      <c r="O824" s="11" t="s">
        <v>1394</v>
      </c>
    </row>
    <row r="825">
      <c r="A825" s="11">
        <v>-13.2379293441772</v>
      </c>
      <c r="B825" s="11">
        <v>-52.16552734375</v>
      </c>
      <c r="C825" s="11" t="s">
        <v>1390</v>
      </c>
      <c r="D825" s="11" t="s">
        <v>1390</v>
      </c>
      <c r="E825" s="11" t="s">
        <v>1062</v>
      </c>
      <c r="F825" s="11" t="s">
        <v>1397</v>
      </c>
      <c r="J825" s="11">
        <v>-23.5059337615966</v>
      </c>
      <c r="K825" s="11">
        <v>-42.7239189147949</v>
      </c>
      <c r="L825" s="11" t="s">
        <v>1390</v>
      </c>
      <c r="M825" s="11" t="s">
        <v>1390</v>
      </c>
      <c r="N825" s="11" t="s">
        <v>1062</v>
      </c>
      <c r="O825" s="11" t="s">
        <v>1397</v>
      </c>
    </row>
    <row r="826">
      <c r="A826" s="11">
        <v>4.41157817840576</v>
      </c>
      <c r="B826" s="11">
        <v>-48.1176795959472</v>
      </c>
      <c r="C826" s="11" t="s">
        <v>1390</v>
      </c>
      <c r="D826" s="11" t="s">
        <v>1390</v>
      </c>
      <c r="E826" s="11" t="s">
        <v>1062</v>
      </c>
      <c r="F826" s="11" t="s">
        <v>1399</v>
      </c>
      <c r="J826" s="11">
        <v>-28.9000701904296</v>
      </c>
      <c r="K826" s="11">
        <v>-49.2514762878418</v>
      </c>
      <c r="L826" s="11" t="s">
        <v>1390</v>
      </c>
      <c r="M826" s="11" t="s">
        <v>1390</v>
      </c>
      <c r="N826" s="11" t="s">
        <v>1062</v>
      </c>
      <c r="O826" s="11" t="s">
        <v>1399</v>
      </c>
    </row>
    <row r="827">
      <c r="A827" s="11">
        <v>-15.4476070404052</v>
      </c>
      <c r="B827" s="11">
        <v>-58.1701965332031</v>
      </c>
      <c r="C827" s="11" t="s">
        <v>1390</v>
      </c>
      <c r="D827" s="11" t="s">
        <v>1390</v>
      </c>
      <c r="E827" s="11" t="s">
        <v>1062</v>
      </c>
      <c r="F827" s="11" t="s">
        <v>1401</v>
      </c>
      <c r="J827" s="11">
        <v>-21.1288146972656</v>
      </c>
      <c r="K827" s="11">
        <v>-37.7505683898925</v>
      </c>
      <c r="L827" s="11" t="s">
        <v>1390</v>
      </c>
      <c r="M827" s="11" t="s">
        <v>1390</v>
      </c>
      <c r="N827" s="11" t="s">
        <v>1062</v>
      </c>
      <c r="O827" s="11" t="s">
        <v>1401</v>
      </c>
    </row>
    <row r="828">
      <c r="A828" s="11">
        <v>-19.9023685455322</v>
      </c>
      <c r="B828" s="11">
        <v>-42.8140678405761</v>
      </c>
      <c r="C828" s="11" t="s">
        <v>1390</v>
      </c>
      <c r="D828" s="11" t="s">
        <v>1390</v>
      </c>
      <c r="E828" s="11" t="s">
        <v>1062</v>
      </c>
      <c r="F828" s="11" t="s">
        <v>1403</v>
      </c>
      <c r="J828" s="11">
        <v>-4.51651287078857</v>
      </c>
      <c r="K828" s="11">
        <v>-46.6400566101074</v>
      </c>
      <c r="L828" s="11" t="s">
        <v>1390</v>
      </c>
      <c r="M828" s="11" t="s">
        <v>1390</v>
      </c>
      <c r="N828" s="11" t="s">
        <v>1062</v>
      </c>
      <c r="O828" s="11" t="s">
        <v>1403</v>
      </c>
    </row>
    <row r="829">
      <c r="A829" s="11">
        <v>1.47863399982452</v>
      </c>
      <c r="B829" s="11">
        <v>-33.5339050292968</v>
      </c>
      <c r="C829" s="11" t="s">
        <v>1390</v>
      </c>
      <c r="D829" s="11" t="s">
        <v>1390</v>
      </c>
      <c r="E829" s="11" t="s">
        <v>1062</v>
      </c>
      <c r="F829" s="11" t="s">
        <v>1405</v>
      </c>
      <c r="J829" s="11">
        <v>-32.8263130187988</v>
      </c>
      <c r="K829" s="11">
        <v>-48.2392501831054</v>
      </c>
      <c r="L829" s="11" t="s">
        <v>1390</v>
      </c>
      <c r="M829" s="11" t="s">
        <v>1390</v>
      </c>
      <c r="N829" s="11" t="s">
        <v>1062</v>
      </c>
      <c r="O829" s="11" t="s">
        <v>1405</v>
      </c>
    </row>
    <row r="830">
      <c r="A830" s="11">
        <v>9.83799266815185</v>
      </c>
      <c r="B830" s="11">
        <v>-19.3846206665039</v>
      </c>
      <c r="C830" s="11" t="s">
        <v>1390</v>
      </c>
      <c r="D830" s="11" t="s">
        <v>1390</v>
      </c>
      <c r="E830" s="11" t="s">
        <v>1062</v>
      </c>
      <c r="F830" s="11" t="s">
        <v>1407</v>
      </c>
      <c r="J830" s="11">
        <v>-30.4889755249023</v>
      </c>
      <c r="K830" s="11">
        <v>-47.1618423461914</v>
      </c>
      <c r="L830" s="11" t="s">
        <v>1390</v>
      </c>
      <c r="M830" s="11" t="s">
        <v>1390</v>
      </c>
      <c r="N830" s="11" t="s">
        <v>1062</v>
      </c>
      <c r="O830" s="11" t="s">
        <v>1407</v>
      </c>
    </row>
    <row r="831">
      <c r="A831" s="11">
        <v>6.91170263290405</v>
      </c>
      <c r="B831" s="11">
        <v>-30.7848472595214</v>
      </c>
      <c r="C831" s="11" t="s">
        <v>1390</v>
      </c>
      <c r="D831" s="11" t="s">
        <v>1390</v>
      </c>
      <c r="E831" s="11" t="s">
        <v>1062</v>
      </c>
      <c r="F831" s="11" t="s">
        <v>1409</v>
      </c>
      <c r="J831" s="11">
        <v>-32.3295135498046</v>
      </c>
      <c r="K831" s="11">
        <v>-45.7872505187988</v>
      </c>
      <c r="L831" s="11" t="s">
        <v>1390</v>
      </c>
      <c r="M831" s="11" t="s">
        <v>1390</v>
      </c>
      <c r="N831" s="11" t="s">
        <v>1062</v>
      </c>
      <c r="O831" s="11" t="s">
        <v>1409</v>
      </c>
    </row>
    <row r="832">
      <c r="A832" s="11">
        <v>-54.1482887268066</v>
      </c>
      <c r="B832" s="11">
        <v>-28.6515522003173</v>
      </c>
      <c r="C832" s="11" t="s">
        <v>1390</v>
      </c>
      <c r="D832" s="11" t="s">
        <v>1390</v>
      </c>
      <c r="E832" s="11" t="s">
        <v>1062</v>
      </c>
      <c r="F832" s="11" t="s">
        <v>1411</v>
      </c>
      <c r="J832" s="11">
        <v>-28.3604068756103</v>
      </c>
      <c r="K832" s="11">
        <v>-46.9961891174316</v>
      </c>
      <c r="L832" s="11" t="s">
        <v>1390</v>
      </c>
      <c r="M832" s="11" t="s">
        <v>1390</v>
      </c>
      <c r="N832" s="11" t="s">
        <v>1062</v>
      </c>
      <c r="O832" s="11" t="s">
        <v>1411</v>
      </c>
    </row>
    <row r="833">
      <c r="A833" s="11">
        <v>22.8147830963134</v>
      </c>
      <c r="B833" s="11">
        <v>-16.7239646911621</v>
      </c>
      <c r="C833" s="11" t="s">
        <v>1390</v>
      </c>
      <c r="D833" s="11" t="s">
        <v>1390</v>
      </c>
      <c r="E833" s="11" t="s">
        <v>1062</v>
      </c>
      <c r="F833" s="11" t="s">
        <v>1414</v>
      </c>
      <c r="J833" s="11">
        <v>-30.3849067687988</v>
      </c>
      <c r="K833" s="11">
        <v>-53.486026763916</v>
      </c>
      <c r="L833" s="11" t="s">
        <v>1390</v>
      </c>
      <c r="M833" s="11" t="s">
        <v>1390</v>
      </c>
      <c r="N833" s="11" t="s">
        <v>1062</v>
      </c>
      <c r="O833" s="11" t="s">
        <v>1414</v>
      </c>
    </row>
    <row r="834">
      <c r="A834" s="11">
        <v>-26.5736865997314</v>
      </c>
      <c r="B834" s="11">
        <v>-54.1782569885253</v>
      </c>
      <c r="C834" s="11" t="s">
        <v>1390</v>
      </c>
      <c r="D834" s="11" t="s">
        <v>1390</v>
      </c>
      <c r="E834" s="11" t="s">
        <v>1062</v>
      </c>
      <c r="F834" s="11" t="s">
        <v>1416</v>
      </c>
      <c r="J834" s="11">
        <v>-11.9931516647338</v>
      </c>
      <c r="K834" s="11">
        <v>-45.807258605957</v>
      </c>
      <c r="L834" s="11" t="s">
        <v>1390</v>
      </c>
      <c r="M834" s="11" t="s">
        <v>1390</v>
      </c>
      <c r="N834" s="11" t="s">
        <v>1062</v>
      </c>
      <c r="O834" s="11" t="s">
        <v>1416</v>
      </c>
    </row>
    <row r="835">
      <c r="A835" s="11">
        <v>-4.21035861968994</v>
      </c>
      <c r="B835" s="11">
        <v>-18.048620223999</v>
      </c>
      <c r="C835" s="11" t="s">
        <v>1390</v>
      </c>
      <c r="D835" s="11" t="s">
        <v>1390</v>
      </c>
      <c r="E835" s="11" t="s">
        <v>1062</v>
      </c>
      <c r="F835" s="11" t="s">
        <v>1418</v>
      </c>
      <c r="J835" s="11">
        <v>-8.10021591186523</v>
      </c>
      <c r="K835" s="11">
        <v>-30.3743801116943</v>
      </c>
      <c r="L835" s="11" t="s">
        <v>1390</v>
      </c>
      <c r="M835" s="11" t="s">
        <v>1390</v>
      </c>
      <c r="N835" s="11" t="s">
        <v>1062</v>
      </c>
      <c r="O835" s="11" t="s">
        <v>1418</v>
      </c>
    </row>
    <row r="836">
      <c r="A836" s="11">
        <v>-16.6358661651611</v>
      </c>
      <c r="B836" s="11">
        <v>-57.7438201904296</v>
      </c>
      <c r="C836" s="11" t="s">
        <v>1390</v>
      </c>
      <c r="D836" s="11" t="s">
        <v>1390</v>
      </c>
      <c r="E836" s="11" t="s">
        <v>1062</v>
      </c>
      <c r="F836" s="11" t="s">
        <v>1420</v>
      </c>
      <c r="J836" s="11">
        <v>-21.0994987487792</v>
      </c>
      <c r="K836" s="11">
        <v>-36.7971611022949</v>
      </c>
      <c r="L836" s="11" t="s">
        <v>1390</v>
      </c>
      <c r="M836" s="11" t="s">
        <v>1390</v>
      </c>
      <c r="N836" s="11" t="s">
        <v>1062</v>
      </c>
      <c r="O836" s="11" t="s">
        <v>1420</v>
      </c>
    </row>
    <row r="837">
      <c r="A837" s="11">
        <v>24.8991870880126</v>
      </c>
      <c r="B837" s="11">
        <v>-32.0516510009765</v>
      </c>
      <c r="C837" s="11" t="s">
        <v>1390</v>
      </c>
      <c r="D837" s="11" t="s">
        <v>1390</v>
      </c>
      <c r="E837" s="11" t="s">
        <v>1062</v>
      </c>
      <c r="F837" s="11" t="s">
        <v>1422</v>
      </c>
      <c r="J837" s="11">
        <v>-34.3371047973632</v>
      </c>
      <c r="K837" s="11">
        <v>-44.7626762390136</v>
      </c>
      <c r="L837" s="11" t="s">
        <v>1390</v>
      </c>
      <c r="M837" s="11" t="s">
        <v>1390</v>
      </c>
      <c r="N837" s="11" t="s">
        <v>1062</v>
      </c>
      <c r="O837" s="11" t="s">
        <v>1422</v>
      </c>
    </row>
    <row r="838">
      <c r="A838" s="11">
        <v>7.7912802696228</v>
      </c>
      <c r="B838" s="11">
        <v>-37.6844520568847</v>
      </c>
      <c r="C838" s="11" t="s">
        <v>1390</v>
      </c>
      <c r="D838" s="11" t="s">
        <v>1390</v>
      </c>
      <c r="E838" s="11" t="s">
        <v>1062</v>
      </c>
      <c r="F838" s="11" t="s">
        <v>1424</v>
      </c>
      <c r="J838" s="11">
        <v>-32.3754844665527</v>
      </c>
      <c r="K838" s="11">
        <v>-50.3765983581543</v>
      </c>
      <c r="L838" s="11" t="s">
        <v>1390</v>
      </c>
      <c r="M838" s="11" t="s">
        <v>1390</v>
      </c>
      <c r="N838" s="11" t="s">
        <v>1062</v>
      </c>
      <c r="O838" s="11" t="s">
        <v>1424</v>
      </c>
    </row>
    <row r="839">
      <c r="A839" s="11">
        <v>0.522824823856353</v>
      </c>
      <c r="B839" s="11">
        <v>-25.1458644866943</v>
      </c>
      <c r="C839" s="11" t="s">
        <v>1390</v>
      </c>
      <c r="D839" s="11" t="s">
        <v>1390</v>
      </c>
      <c r="E839" s="11" t="s">
        <v>1062</v>
      </c>
      <c r="F839" s="11" t="s">
        <v>1427</v>
      </c>
      <c r="J839" s="11">
        <v>-39.8906555175781</v>
      </c>
      <c r="K839" s="11">
        <v>-48.216983795166</v>
      </c>
      <c r="L839" s="11" t="s">
        <v>1390</v>
      </c>
      <c r="M839" s="11" t="s">
        <v>1390</v>
      </c>
      <c r="N839" s="11" t="s">
        <v>1062</v>
      </c>
      <c r="O839" s="11" t="s">
        <v>1427</v>
      </c>
    </row>
    <row r="840">
      <c r="A840" s="11">
        <v>-16.04319190979</v>
      </c>
      <c r="B840" s="11">
        <v>-47.9744415283203</v>
      </c>
      <c r="C840" s="11" t="s">
        <v>1390</v>
      </c>
      <c r="D840" s="11" t="s">
        <v>1390</v>
      </c>
      <c r="E840" s="11" t="s">
        <v>1062</v>
      </c>
      <c r="F840" s="11" t="s">
        <v>1429</v>
      </c>
      <c r="J840" s="11">
        <v>-8.5684232711792</v>
      </c>
      <c r="K840" s="11">
        <v>-50.1479835510253</v>
      </c>
      <c r="L840" s="11" t="s">
        <v>1390</v>
      </c>
      <c r="M840" s="11" t="s">
        <v>1390</v>
      </c>
      <c r="N840" s="11" t="s">
        <v>1062</v>
      </c>
      <c r="O840" s="11" t="s">
        <v>1429</v>
      </c>
    </row>
    <row r="841">
      <c r="A841" s="11">
        <v>14.1948451995849</v>
      </c>
      <c r="B841" s="11">
        <v>-39.3952713012695</v>
      </c>
      <c r="C841" s="11" t="s">
        <v>1390</v>
      </c>
      <c r="D841" s="11" t="s">
        <v>1390</v>
      </c>
      <c r="E841" s="11" t="s">
        <v>1062</v>
      </c>
      <c r="F841" s="11" t="s">
        <v>1431</v>
      </c>
      <c r="J841" s="11">
        <v>-42.624095916748</v>
      </c>
      <c r="K841" s="11">
        <v>-44.9307441711425</v>
      </c>
      <c r="L841" s="11" t="s">
        <v>1390</v>
      </c>
      <c r="M841" s="11" t="s">
        <v>1390</v>
      </c>
      <c r="N841" s="11" t="s">
        <v>1062</v>
      </c>
      <c r="O841" s="11" t="s">
        <v>1431</v>
      </c>
    </row>
    <row r="842">
      <c r="A842" s="11">
        <v>-2.46584486961364</v>
      </c>
      <c r="B842" s="11">
        <v>-24.4527378082275</v>
      </c>
      <c r="C842" s="11" t="s">
        <v>1390</v>
      </c>
      <c r="D842" s="11" t="s">
        <v>1390</v>
      </c>
      <c r="E842" s="11" t="s">
        <v>1062</v>
      </c>
      <c r="F842" s="11" t="s">
        <v>1433</v>
      </c>
      <c r="J842" s="11">
        <v>-38.7648315429687</v>
      </c>
      <c r="K842" s="11">
        <v>-49.654556274414</v>
      </c>
      <c r="L842" s="11" t="s">
        <v>1390</v>
      </c>
      <c r="M842" s="11" t="s">
        <v>1390</v>
      </c>
      <c r="N842" s="11" t="s">
        <v>1062</v>
      </c>
      <c r="O842" s="11" t="s">
        <v>1433</v>
      </c>
    </row>
    <row r="843">
      <c r="A843" s="11">
        <v>-5.54186010360717</v>
      </c>
      <c r="B843" s="11">
        <v>-47.1192016601562</v>
      </c>
      <c r="C843" s="11" t="s">
        <v>1390</v>
      </c>
      <c r="D843" s="11" t="s">
        <v>1390</v>
      </c>
      <c r="E843" s="11" t="s">
        <v>1062</v>
      </c>
      <c r="F843" s="11" t="s">
        <v>1435</v>
      </c>
      <c r="J843" s="11">
        <v>-36.2430458068847</v>
      </c>
      <c r="K843" s="11">
        <v>-38.9591674804687</v>
      </c>
      <c r="L843" s="11" t="s">
        <v>1390</v>
      </c>
      <c r="M843" s="11" t="s">
        <v>1390</v>
      </c>
      <c r="N843" s="11" t="s">
        <v>1062</v>
      </c>
      <c r="O843" s="11" t="s">
        <v>1435</v>
      </c>
    </row>
    <row r="844">
      <c r="A844" s="11">
        <v>-5.90059995651245</v>
      </c>
      <c r="B844" s="11">
        <v>-14.3944358825683</v>
      </c>
      <c r="C844" s="11" t="s">
        <v>1390</v>
      </c>
      <c r="D844" s="11" t="s">
        <v>1390</v>
      </c>
      <c r="E844" s="11" t="s">
        <v>1062</v>
      </c>
      <c r="F844" s="11" t="s">
        <v>1437</v>
      </c>
      <c r="J844" s="11">
        <v>-5.46502065658569</v>
      </c>
      <c r="K844" s="11">
        <v>-19.6763038635253</v>
      </c>
      <c r="L844" s="11" t="s">
        <v>1390</v>
      </c>
      <c r="M844" s="11" t="s">
        <v>1390</v>
      </c>
      <c r="N844" s="11" t="s">
        <v>1062</v>
      </c>
      <c r="O844" s="11" t="s">
        <v>1437</v>
      </c>
    </row>
    <row r="845">
      <c r="A845" s="11">
        <v>-19.3904514312744</v>
      </c>
      <c r="B845" s="11">
        <v>-19.3659877777099</v>
      </c>
      <c r="C845" s="11" t="s">
        <v>1390</v>
      </c>
      <c r="D845" s="11" t="s">
        <v>1390</v>
      </c>
      <c r="E845" s="11" t="s">
        <v>1062</v>
      </c>
      <c r="F845" s="11" t="s">
        <v>1440</v>
      </c>
      <c r="J845" s="11">
        <v>10.9510231018066</v>
      </c>
      <c r="K845" s="11">
        <v>-6.50409078598022</v>
      </c>
      <c r="L845" s="11" t="s">
        <v>1390</v>
      </c>
      <c r="M845" s="11" t="s">
        <v>1390</v>
      </c>
      <c r="N845" s="11" t="s">
        <v>1062</v>
      </c>
      <c r="O845" s="11" t="s">
        <v>1440</v>
      </c>
    </row>
    <row r="846">
      <c r="A846" s="11">
        <v>-15.4476070404052</v>
      </c>
      <c r="B846" s="11">
        <v>-58.1701965332031</v>
      </c>
      <c r="C846" s="11" t="s">
        <v>1390</v>
      </c>
      <c r="D846" s="11" t="s">
        <v>1390</v>
      </c>
      <c r="E846" s="11" t="s">
        <v>1062</v>
      </c>
      <c r="F846" s="11" t="s">
        <v>1443</v>
      </c>
      <c r="J846" s="11">
        <v>-20.6758651733398</v>
      </c>
      <c r="K846" s="11">
        <v>-37.6491584777832</v>
      </c>
      <c r="L846" s="11" t="s">
        <v>1390</v>
      </c>
      <c r="M846" s="11" t="s">
        <v>1390</v>
      </c>
      <c r="N846" s="11" t="s">
        <v>1062</v>
      </c>
      <c r="O846" s="11" t="s">
        <v>1443</v>
      </c>
    </row>
    <row r="847">
      <c r="A847" s="11">
        <v>-26.9444828033447</v>
      </c>
      <c r="B847" s="11">
        <v>-55.6118850708007</v>
      </c>
      <c r="C847" s="11" t="s">
        <v>1390</v>
      </c>
      <c r="D847" s="11" t="s">
        <v>1390</v>
      </c>
      <c r="E847" s="11" t="s">
        <v>1062</v>
      </c>
      <c r="F847" s="11" t="s">
        <v>1444</v>
      </c>
      <c r="J847" s="11">
        <v>-11.4095821380615</v>
      </c>
      <c r="K847" s="11">
        <v>-45.1121368408203</v>
      </c>
      <c r="L847" s="11" t="s">
        <v>1390</v>
      </c>
      <c r="M847" s="11" t="s">
        <v>1390</v>
      </c>
      <c r="N847" s="11" t="s">
        <v>1062</v>
      </c>
      <c r="O847" s="11" t="s">
        <v>1444</v>
      </c>
    </row>
    <row r="848">
      <c r="A848" s="11">
        <v>13.0282258987426</v>
      </c>
      <c r="B848" s="11">
        <v>-38.6971015930175</v>
      </c>
      <c r="C848" s="11" t="s">
        <v>1390</v>
      </c>
      <c r="D848" s="11" t="s">
        <v>1390</v>
      </c>
      <c r="E848" s="11" t="s">
        <v>1062</v>
      </c>
      <c r="F848" s="11" t="s">
        <v>1449</v>
      </c>
      <c r="J848" s="11">
        <v>-43.212890625</v>
      </c>
      <c r="K848" s="11">
        <v>-45.3864631652832</v>
      </c>
      <c r="L848" s="11" t="s">
        <v>1390</v>
      </c>
      <c r="M848" s="11" t="s">
        <v>1390</v>
      </c>
      <c r="N848" s="11" t="s">
        <v>1062</v>
      </c>
      <c r="O848" s="11" t="s">
        <v>1449</v>
      </c>
    </row>
    <row r="849">
      <c r="A849" s="11">
        <v>22.6701526641845</v>
      </c>
      <c r="B849" s="11">
        <v>-23.6969566345214</v>
      </c>
      <c r="C849" s="11" t="s">
        <v>1390</v>
      </c>
      <c r="D849" s="11" t="s">
        <v>1390</v>
      </c>
      <c r="E849" s="11" t="s">
        <v>1062</v>
      </c>
      <c r="F849" s="11" t="s">
        <v>1451</v>
      </c>
      <c r="J849" s="11">
        <v>-11.738408088684</v>
      </c>
      <c r="K849" s="11">
        <v>-30.837251663208</v>
      </c>
      <c r="L849" s="11" t="s">
        <v>1390</v>
      </c>
      <c r="M849" s="11" t="s">
        <v>1390</v>
      </c>
      <c r="N849" s="11" t="s">
        <v>1062</v>
      </c>
      <c r="O849" s="11" t="s">
        <v>1451</v>
      </c>
    </row>
    <row r="850">
      <c r="A850" s="11">
        <v>-11.8060007095336</v>
      </c>
      <c r="B850" s="11">
        <v>-24.6538677215576</v>
      </c>
      <c r="C850" s="11" t="s">
        <v>1390</v>
      </c>
      <c r="D850" s="11" t="s">
        <v>1390</v>
      </c>
      <c r="E850" s="11" t="s">
        <v>1062</v>
      </c>
      <c r="F850" s="11" t="s">
        <v>1454</v>
      </c>
      <c r="J850" s="11">
        <v>50.591438293457</v>
      </c>
      <c r="K850" s="11">
        <v>1.49585092067718</v>
      </c>
      <c r="L850" s="11" t="s">
        <v>1390</v>
      </c>
      <c r="M850" s="11" t="s">
        <v>1390</v>
      </c>
      <c r="N850" s="11" t="s">
        <v>1062</v>
      </c>
      <c r="O850" s="11" t="s">
        <v>1454</v>
      </c>
    </row>
    <row r="851">
      <c r="A851" s="11">
        <v>-19.6607093811035</v>
      </c>
      <c r="B851" s="11">
        <v>-64.4563217163086</v>
      </c>
      <c r="C851" s="11" t="s">
        <v>1390</v>
      </c>
      <c r="D851" s="11" t="s">
        <v>1390</v>
      </c>
      <c r="E851" s="11" t="s">
        <v>1062</v>
      </c>
      <c r="F851" s="11" t="s">
        <v>1456</v>
      </c>
      <c r="J851" s="11">
        <v>-24.6365966796875</v>
      </c>
      <c r="K851" s="11">
        <v>-34.0673065185546</v>
      </c>
      <c r="L851" s="11" t="s">
        <v>1390</v>
      </c>
      <c r="M851" s="11" t="s">
        <v>1390</v>
      </c>
      <c r="N851" s="11" t="s">
        <v>1062</v>
      </c>
      <c r="O851" s="11" t="s">
        <v>1456</v>
      </c>
    </row>
    <row r="852">
      <c r="A852" s="11">
        <v>-15.3950700759887</v>
      </c>
      <c r="B852" s="11">
        <v>-37.1381568908691</v>
      </c>
      <c r="C852" s="11" t="s">
        <v>1390</v>
      </c>
      <c r="D852" s="11" t="s">
        <v>1390</v>
      </c>
      <c r="E852" s="11" t="s">
        <v>1062</v>
      </c>
      <c r="F852" s="11" t="s">
        <v>1458</v>
      </c>
      <c r="J852" s="11">
        <v>-23.8612995147705</v>
      </c>
      <c r="K852" s="11">
        <v>-47.0773086547851</v>
      </c>
      <c r="L852" s="11" t="s">
        <v>1390</v>
      </c>
      <c r="M852" s="11" t="s">
        <v>1390</v>
      </c>
      <c r="N852" s="11" t="s">
        <v>1062</v>
      </c>
      <c r="O852" s="11" t="s">
        <v>1458</v>
      </c>
    </row>
    <row r="853">
      <c r="A853" s="11">
        <v>2.54366707801818</v>
      </c>
      <c r="B853" s="11">
        <v>-35.1334991455078</v>
      </c>
      <c r="C853" s="11" t="s">
        <v>1390</v>
      </c>
      <c r="D853" s="11" t="s">
        <v>1390</v>
      </c>
      <c r="E853" s="11" t="s">
        <v>1062</v>
      </c>
      <c r="F853" s="11" t="s">
        <v>1460</v>
      </c>
      <c r="J853" s="11">
        <v>-28.5248508453369</v>
      </c>
      <c r="K853" s="11">
        <v>-43.2281913757324</v>
      </c>
      <c r="L853" s="11" t="s">
        <v>1390</v>
      </c>
      <c r="M853" s="11" t="s">
        <v>1390</v>
      </c>
      <c r="N853" s="11" t="s">
        <v>1062</v>
      </c>
      <c r="O853" s="11" t="s">
        <v>1460</v>
      </c>
    </row>
    <row r="854">
      <c r="A854" s="11">
        <v>-31.4506607055664</v>
      </c>
      <c r="B854" s="11">
        <v>-52.5066184997558</v>
      </c>
      <c r="C854" s="11" t="s">
        <v>1390</v>
      </c>
      <c r="D854" s="11" t="s">
        <v>1390</v>
      </c>
      <c r="E854" s="11" t="s">
        <v>1062</v>
      </c>
      <c r="F854" s="11" t="s">
        <v>1462</v>
      </c>
      <c r="J854" s="11">
        <v>-15.7347936630249</v>
      </c>
      <c r="K854" s="11">
        <v>-40.53271484375</v>
      </c>
      <c r="L854" s="11" t="s">
        <v>1390</v>
      </c>
      <c r="M854" s="11" t="s">
        <v>1390</v>
      </c>
      <c r="N854" s="11" t="s">
        <v>1062</v>
      </c>
      <c r="O854" s="11" t="s">
        <v>1462</v>
      </c>
    </row>
    <row r="855">
      <c r="A855" s="11">
        <v>-19.7108287811279</v>
      </c>
      <c r="B855" s="11">
        <v>-43.8860397338867</v>
      </c>
      <c r="C855" s="11" t="s">
        <v>1390</v>
      </c>
      <c r="D855" s="11" t="s">
        <v>1390</v>
      </c>
      <c r="E855" s="11" t="s">
        <v>1062</v>
      </c>
      <c r="F855" s="11" t="s">
        <v>1464</v>
      </c>
      <c r="J855" s="11">
        <v>-5.14730358123779</v>
      </c>
      <c r="K855" s="11">
        <v>-45.8296318054199</v>
      </c>
      <c r="L855" s="11" t="s">
        <v>1390</v>
      </c>
      <c r="M855" s="11" t="s">
        <v>1390</v>
      </c>
      <c r="N855" s="11" t="s">
        <v>1062</v>
      </c>
      <c r="O855" s="11" t="s">
        <v>1464</v>
      </c>
    </row>
    <row r="856">
      <c r="A856" s="11">
        <v>13.3879776000976</v>
      </c>
      <c r="B856" s="11">
        <v>-32.6933441162109</v>
      </c>
      <c r="C856" s="11" t="s">
        <v>1390</v>
      </c>
      <c r="D856" s="11" t="s">
        <v>1390</v>
      </c>
      <c r="E856" s="11" t="s">
        <v>1062</v>
      </c>
      <c r="F856" s="11" t="s">
        <v>1467</v>
      </c>
      <c r="J856" s="11">
        <v>-34.3829956054687</v>
      </c>
      <c r="K856" s="11">
        <v>-54.0568885803222</v>
      </c>
      <c r="L856" s="11" t="s">
        <v>1390</v>
      </c>
      <c r="M856" s="11" t="s">
        <v>1390</v>
      </c>
      <c r="N856" s="11" t="s">
        <v>1062</v>
      </c>
      <c r="O856" s="11" t="s">
        <v>1467</v>
      </c>
    </row>
    <row r="857">
      <c r="A857" s="11">
        <v>-21.5234603881835</v>
      </c>
      <c r="B857" s="11">
        <v>-41.2925224304199</v>
      </c>
      <c r="C857" s="11" t="s">
        <v>1390</v>
      </c>
      <c r="D857" s="11" t="s">
        <v>1390</v>
      </c>
      <c r="E857" s="11" t="s">
        <v>1062</v>
      </c>
      <c r="F857" s="11" t="s">
        <v>1469</v>
      </c>
      <c r="J857" s="11">
        <v>6.52380514144897</v>
      </c>
      <c r="K857" s="11">
        <v>-46.4755859375</v>
      </c>
      <c r="L857" s="11" t="s">
        <v>1390</v>
      </c>
      <c r="M857" s="11" t="s">
        <v>1390</v>
      </c>
      <c r="N857" s="11" t="s">
        <v>1062</v>
      </c>
      <c r="O857" s="11" t="s">
        <v>1469</v>
      </c>
    </row>
    <row r="858">
      <c r="A858" s="11">
        <v>-1.70554292201995</v>
      </c>
      <c r="B858" s="11">
        <v>-15.1533784866333</v>
      </c>
      <c r="C858" s="11" t="s">
        <v>1390</v>
      </c>
      <c r="D858" s="11" t="s">
        <v>1390</v>
      </c>
      <c r="E858" s="11" t="s">
        <v>1062</v>
      </c>
      <c r="F858" s="11" t="s">
        <v>1471</v>
      </c>
      <c r="J858" s="11">
        <v>-5.44039916992187</v>
      </c>
      <c r="K858" s="11">
        <v>-32.3191566467285</v>
      </c>
      <c r="L858" s="11" t="s">
        <v>1390</v>
      </c>
      <c r="M858" s="11" t="s">
        <v>1390</v>
      </c>
      <c r="N858" s="11" t="s">
        <v>1062</v>
      </c>
      <c r="O858" s="11" t="s">
        <v>1471</v>
      </c>
    </row>
    <row r="859">
      <c r="A859" s="11">
        <v>0.46002921462059</v>
      </c>
      <c r="B859" s="11">
        <v>-38.5420379638671</v>
      </c>
      <c r="C859" s="11" t="s">
        <v>1390</v>
      </c>
      <c r="D859" s="11" t="s">
        <v>1390</v>
      </c>
      <c r="E859" s="11" t="s">
        <v>1062</v>
      </c>
      <c r="F859" s="11" t="s">
        <v>1473</v>
      </c>
      <c r="J859" s="11">
        <v>-33.3047904968261</v>
      </c>
      <c r="K859" s="11">
        <v>-41.5206642150878</v>
      </c>
      <c r="L859" s="11" t="s">
        <v>1390</v>
      </c>
      <c r="M859" s="11" t="s">
        <v>1390</v>
      </c>
      <c r="N859" s="11" t="s">
        <v>1062</v>
      </c>
      <c r="O859" s="11" t="s">
        <v>1473</v>
      </c>
    </row>
    <row r="860">
      <c r="A860" s="11">
        <v>5.95444917678833</v>
      </c>
      <c r="B860" s="11">
        <v>-19.3655414581298</v>
      </c>
      <c r="C860" s="11" t="s">
        <v>1390</v>
      </c>
      <c r="D860" s="11" t="s">
        <v>1390</v>
      </c>
      <c r="E860" s="11" t="s">
        <v>1062</v>
      </c>
      <c r="F860" s="11" t="s">
        <v>1475</v>
      </c>
      <c r="J860" s="11">
        <v>-2.46211576461792</v>
      </c>
      <c r="K860" s="11">
        <v>-34.1237411499023</v>
      </c>
      <c r="L860" s="11" t="s">
        <v>1390</v>
      </c>
      <c r="M860" s="11" t="s">
        <v>1390</v>
      </c>
      <c r="N860" s="11" t="s">
        <v>1062</v>
      </c>
      <c r="O860" s="11" t="s">
        <v>1475</v>
      </c>
    </row>
    <row r="861">
      <c r="A861" s="11">
        <v>-17.1114597320556</v>
      </c>
      <c r="B861" s="11">
        <v>-24.9126834869384</v>
      </c>
      <c r="C861" s="11" t="s">
        <v>1390</v>
      </c>
      <c r="D861" s="11" t="s">
        <v>1390</v>
      </c>
      <c r="E861" s="11" t="s">
        <v>1062</v>
      </c>
      <c r="F861" s="11" t="s">
        <v>1477</v>
      </c>
      <c r="J861" s="11">
        <v>-16.4709796905517</v>
      </c>
      <c r="K861" s="11">
        <v>-48.0368194580078</v>
      </c>
      <c r="L861" s="11" t="s">
        <v>1390</v>
      </c>
      <c r="M861" s="11" t="s">
        <v>1390</v>
      </c>
      <c r="N861" s="11" t="s">
        <v>1062</v>
      </c>
      <c r="O861" s="11" t="s">
        <v>1477</v>
      </c>
    </row>
    <row r="862">
      <c r="A862" s="11">
        <v>2.15404510498046</v>
      </c>
      <c r="B862" s="11">
        <v>-28.5436763763427</v>
      </c>
      <c r="C862" s="11" t="s">
        <v>1390</v>
      </c>
      <c r="D862" s="11" t="s">
        <v>1390</v>
      </c>
      <c r="E862" s="11" t="s">
        <v>1062</v>
      </c>
      <c r="F862" s="11" t="s">
        <v>1480</v>
      </c>
      <c r="J862" s="11">
        <v>-21.0184116363525</v>
      </c>
      <c r="K862" s="11">
        <v>-41.0923271179199</v>
      </c>
      <c r="L862" s="11" t="s">
        <v>1390</v>
      </c>
      <c r="M862" s="11" t="s">
        <v>1390</v>
      </c>
      <c r="N862" s="11" t="s">
        <v>1062</v>
      </c>
      <c r="O862" s="11" t="s">
        <v>1480</v>
      </c>
    </row>
    <row r="863">
      <c r="A863" s="11">
        <v>10.7711477279663</v>
      </c>
      <c r="B863" s="11">
        <v>-44.901626586914</v>
      </c>
      <c r="C863" s="11" t="s">
        <v>1390</v>
      </c>
      <c r="D863" s="11" t="s">
        <v>1390</v>
      </c>
      <c r="E863" s="11" t="s">
        <v>1062</v>
      </c>
      <c r="F863" s="11" t="s">
        <v>1482</v>
      </c>
      <c r="J863" s="11">
        <v>-37.0322952270507</v>
      </c>
      <c r="K863" s="11">
        <v>-44.8601455688476</v>
      </c>
      <c r="L863" s="11" t="s">
        <v>1390</v>
      </c>
      <c r="M863" s="11" t="s">
        <v>1390</v>
      </c>
      <c r="N863" s="11" t="s">
        <v>1062</v>
      </c>
      <c r="O863" s="11" t="s">
        <v>1482</v>
      </c>
    </row>
    <row r="864">
      <c r="A864" s="11">
        <v>0.736642479896545</v>
      </c>
      <c r="B864" s="11">
        <v>-39.8862800598144</v>
      </c>
      <c r="C864" s="11" t="s">
        <v>1390</v>
      </c>
      <c r="D864" s="11" t="s">
        <v>1390</v>
      </c>
      <c r="E864" s="11" t="s">
        <v>1062</v>
      </c>
      <c r="F864" s="11" t="s">
        <v>1487</v>
      </c>
      <c r="J864" s="11">
        <v>-34.0336265563964</v>
      </c>
      <c r="K864" s="11">
        <v>-41.8876495361328</v>
      </c>
      <c r="L864" s="11" t="s">
        <v>1390</v>
      </c>
      <c r="M864" s="11" t="s">
        <v>1390</v>
      </c>
      <c r="N864" s="11" t="s">
        <v>1062</v>
      </c>
      <c r="O864" s="11" t="s">
        <v>1487</v>
      </c>
    </row>
    <row r="865">
      <c r="A865" s="11">
        <v>-17.1892032623291</v>
      </c>
      <c r="B865" s="11">
        <v>-14.6042289733886</v>
      </c>
      <c r="C865" s="11" t="s">
        <v>1390</v>
      </c>
      <c r="D865" s="11" t="s">
        <v>1390</v>
      </c>
      <c r="E865" s="11" t="s">
        <v>1062</v>
      </c>
      <c r="F865" s="11" t="s">
        <v>1489</v>
      </c>
      <c r="J865" s="11">
        <v>59.4220733642578</v>
      </c>
      <c r="K865" s="11">
        <v>-26.1197204589843</v>
      </c>
      <c r="L865" s="11" t="s">
        <v>1390</v>
      </c>
      <c r="M865" s="11" t="s">
        <v>1390</v>
      </c>
      <c r="N865" s="11" t="s">
        <v>1062</v>
      </c>
      <c r="O865" s="11" t="s">
        <v>1489</v>
      </c>
    </row>
    <row r="866">
      <c r="A866" s="11">
        <v>-20.6133060455322</v>
      </c>
      <c r="B866" s="11">
        <v>-64.0220031738281</v>
      </c>
      <c r="C866" s="11" t="s">
        <v>1390</v>
      </c>
      <c r="D866" s="11" t="s">
        <v>1390</v>
      </c>
      <c r="E866" s="11" t="s">
        <v>1062</v>
      </c>
      <c r="F866" s="11" t="s">
        <v>1493</v>
      </c>
      <c r="J866" s="11">
        <v>-24.0500030517578</v>
      </c>
      <c r="K866" s="11">
        <v>-35.1052284240722</v>
      </c>
      <c r="L866" s="11" t="s">
        <v>1390</v>
      </c>
      <c r="M866" s="11" t="s">
        <v>1390</v>
      </c>
      <c r="N866" s="11" t="s">
        <v>1062</v>
      </c>
      <c r="O866" s="11" t="s">
        <v>1493</v>
      </c>
    </row>
    <row r="867">
      <c r="A867" s="11">
        <v>-12.23983669281</v>
      </c>
      <c r="B867" s="11">
        <v>-24.5177974700927</v>
      </c>
      <c r="C867" s="11" t="s">
        <v>1390</v>
      </c>
      <c r="D867" s="11" t="s">
        <v>1390</v>
      </c>
      <c r="E867" s="11" t="s">
        <v>1062</v>
      </c>
      <c r="F867" s="11" t="s">
        <v>1496</v>
      </c>
      <c r="J867" s="11">
        <v>48.7830390930175</v>
      </c>
      <c r="K867" s="11">
        <v>1.22066378593444</v>
      </c>
      <c r="L867" s="11" t="s">
        <v>1390</v>
      </c>
      <c r="M867" s="11" t="s">
        <v>1390</v>
      </c>
      <c r="N867" s="11" t="s">
        <v>1062</v>
      </c>
      <c r="O867" s="11" t="s">
        <v>1496</v>
      </c>
    </row>
    <row r="868">
      <c r="A868" s="11">
        <v>-3.47975587844848</v>
      </c>
      <c r="B868" s="11">
        <v>-18.1025390625</v>
      </c>
      <c r="C868" s="11" t="s">
        <v>1390</v>
      </c>
      <c r="D868" s="11" t="s">
        <v>1390</v>
      </c>
      <c r="E868" s="11" t="s">
        <v>1062</v>
      </c>
      <c r="F868" s="11" t="s">
        <v>1497</v>
      </c>
      <c r="J868" s="11">
        <v>-16.4148578643798</v>
      </c>
      <c r="K868" s="11">
        <v>1.80730593204498</v>
      </c>
      <c r="L868" s="11" t="s">
        <v>1390</v>
      </c>
      <c r="M868" s="11" t="s">
        <v>1390</v>
      </c>
      <c r="N868" s="11" t="s">
        <v>1062</v>
      </c>
      <c r="O868" s="11" t="s">
        <v>1497</v>
      </c>
    </row>
    <row r="869">
      <c r="A869" s="11">
        <v>-20.9899864196777</v>
      </c>
      <c r="B869" s="11">
        <v>-43.3455619812011</v>
      </c>
      <c r="C869" s="11" t="s">
        <v>1390</v>
      </c>
      <c r="D869" s="11" t="s">
        <v>1390</v>
      </c>
      <c r="E869" s="11" t="s">
        <v>1062</v>
      </c>
      <c r="F869" s="11" t="s">
        <v>1499</v>
      </c>
      <c r="J869" s="11">
        <v>-5.26071500778198</v>
      </c>
      <c r="K869" s="11">
        <v>-46.6812705993652</v>
      </c>
      <c r="L869" s="11" t="s">
        <v>1390</v>
      </c>
      <c r="M869" s="11" t="s">
        <v>1390</v>
      </c>
      <c r="N869" s="11" t="s">
        <v>1062</v>
      </c>
      <c r="O869" s="11" t="s">
        <v>1499</v>
      </c>
    </row>
    <row r="870">
      <c r="A870" s="11">
        <v>20.0121269226074</v>
      </c>
      <c r="B870" s="11">
        <v>10.4877605438232</v>
      </c>
      <c r="C870" s="11" t="s">
        <v>1390</v>
      </c>
      <c r="D870" s="11" t="s">
        <v>1390</v>
      </c>
      <c r="E870" s="11" t="s">
        <v>1062</v>
      </c>
      <c r="F870" s="11" t="s">
        <v>1502</v>
      </c>
      <c r="J870" s="11">
        <v>10.6751794815063</v>
      </c>
      <c r="K870" s="11">
        <v>-15.8010416030883</v>
      </c>
      <c r="L870" s="11" t="s">
        <v>1390</v>
      </c>
      <c r="M870" s="11" t="s">
        <v>1390</v>
      </c>
      <c r="N870" s="11" t="s">
        <v>1062</v>
      </c>
      <c r="O870" s="11" t="s">
        <v>1502</v>
      </c>
    </row>
    <row r="871">
      <c r="A871" s="11">
        <v>10.1250295639038</v>
      </c>
      <c r="B871" s="11">
        <v>-25.8573951721191</v>
      </c>
      <c r="C871" s="11" t="s">
        <v>1390</v>
      </c>
      <c r="D871" s="11" t="s">
        <v>1390</v>
      </c>
      <c r="E871" s="11" t="s">
        <v>1062</v>
      </c>
      <c r="F871" s="11" t="s">
        <v>1504</v>
      </c>
      <c r="J871" s="11">
        <v>-19.7463035583496</v>
      </c>
      <c r="K871" s="11">
        <v>-52.0010299682617</v>
      </c>
      <c r="L871" s="11" t="s">
        <v>1390</v>
      </c>
      <c r="M871" s="11" t="s">
        <v>1390</v>
      </c>
      <c r="N871" s="11" t="s">
        <v>1062</v>
      </c>
      <c r="O871" s="11" t="s">
        <v>1504</v>
      </c>
    </row>
    <row r="872">
      <c r="A872" s="11">
        <v>10.7003440856933</v>
      </c>
      <c r="B872" s="11">
        <v>-21.6751670837402</v>
      </c>
      <c r="C872" s="11" t="s">
        <v>1390</v>
      </c>
      <c r="D872" s="11" t="s">
        <v>1390</v>
      </c>
      <c r="E872" s="11" t="s">
        <v>1062</v>
      </c>
      <c r="F872" s="11" t="s">
        <v>1507</v>
      </c>
      <c r="J872" s="11">
        <v>-8.8166275024414</v>
      </c>
      <c r="K872" s="11">
        <v>-30.422830581665</v>
      </c>
      <c r="L872" s="11" t="s">
        <v>1390</v>
      </c>
      <c r="M872" s="11" t="s">
        <v>1390</v>
      </c>
      <c r="N872" s="11" t="s">
        <v>1062</v>
      </c>
      <c r="O872" s="11" t="s">
        <v>1507</v>
      </c>
    </row>
    <row r="873">
      <c r="A873" s="11">
        <v>14.1908359527587</v>
      </c>
      <c r="B873" s="11">
        <v>-38.0366439819335</v>
      </c>
      <c r="C873" s="11" t="s">
        <v>1390</v>
      </c>
      <c r="D873" s="11" t="s">
        <v>1390</v>
      </c>
      <c r="E873" s="11" t="s">
        <v>1062</v>
      </c>
      <c r="F873" s="11" t="s">
        <v>1509</v>
      </c>
      <c r="J873" s="11">
        <v>-40.3010635375976</v>
      </c>
      <c r="K873" s="11">
        <v>-45.5284614562988</v>
      </c>
      <c r="L873" s="11" t="s">
        <v>1390</v>
      </c>
      <c r="M873" s="11" t="s">
        <v>1390</v>
      </c>
      <c r="N873" s="11" t="s">
        <v>1062</v>
      </c>
      <c r="O873" s="11" t="s">
        <v>1509</v>
      </c>
    </row>
    <row r="874">
      <c r="A874" s="11">
        <v>5.79307413101196</v>
      </c>
      <c r="B874" s="11">
        <v>-40.6977653503418</v>
      </c>
      <c r="C874" s="11" t="s">
        <v>1390</v>
      </c>
      <c r="D874" s="11" t="s">
        <v>1390</v>
      </c>
      <c r="E874" s="11" t="s">
        <v>1062</v>
      </c>
      <c r="F874" s="11" t="s">
        <v>1512</v>
      </c>
      <c r="J874" s="11">
        <v>-32.4683837890625</v>
      </c>
      <c r="K874" s="11">
        <v>-43.3882865905761</v>
      </c>
      <c r="L874" s="11" t="s">
        <v>1390</v>
      </c>
      <c r="M874" s="11" t="s">
        <v>1390</v>
      </c>
      <c r="N874" s="11" t="s">
        <v>1062</v>
      </c>
      <c r="O874" s="11" t="s">
        <v>1512</v>
      </c>
    </row>
    <row r="875">
      <c r="A875" s="11">
        <v>21.5037193298339</v>
      </c>
      <c r="B875" s="11">
        <v>-23.1396713256835</v>
      </c>
      <c r="C875" s="11" t="s">
        <v>1390</v>
      </c>
      <c r="D875" s="11" t="s">
        <v>1390</v>
      </c>
      <c r="E875" s="11" t="s">
        <v>1062</v>
      </c>
      <c r="F875" s="11" t="s">
        <v>1514</v>
      </c>
      <c r="J875" s="11">
        <v>-12.4003114700317</v>
      </c>
      <c r="K875" s="11">
        <v>-30.3693962097167</v>
      </c>
      <c r="L875" s="11" t="s">
        <v>1390</v>
      </c>
      <c r="M875" s="11" t="s">
        <v>1390</v>
      </c>
      <c r="N875" s="11" t="s">
        <v>1062</v>
      </c>
      <c r="O875" s="11" t="s">
        <v>1514</v>
      </c>
    </row>
    <row r="876">
      <c r="A876" s="11">
        <v>-27.4871006011962</v>
      </c>
      <c r="B876" s="11">
        <v>-54.7356262207031</v>
      </c>
      <c r="C876" s="11" t="s">
        <v>1390</v>
      </c>
      <c r="D876" s="11" t="s">
        <v>1390</v>
      </c>
      <c r="E876" s="11" t="s">
        <v>1062</v>
      </c>
      <c r="F876" s="11" t="s">
        <v>1516</v>
      </c>
      <c r="J876" s="11">
        <v>-10.7123928070068</v>
      </c>
      <c r="K876" s="11">
        <v>-45.7747001647949</v>
      </c>
      <c r="L876" s="11" t="s">
        <v>1390</v>
      </c>
      <c r="M876" s="11" t="s">
        <v>1390</v>
      </c>
      <c r="N876" s="11" t="s">
        <v>1062</v>
      </c>
      <c r="O876" s="11" t="s">
        <v>1516</v>
      </c>
    </row>
    <row r="877">
      <c r="A877" s="11">
        <v>-19.1879844665527</v>
      </c>
      <c r="B877" s="11">
        <v>-63.482982635498</v>
      </c>
      <c r="C877" s="11" t="s">
        <v>1390</v>
      </c>
      <c r="D877" s="11" t="s">
        <v>1390</v>
      </c>
      <c r="E877" s="11" t="s">
        <v>1062</v>
      </c>
      <c r="F877" s="11" t="s">
        <v>1518</v>
      </c>
      <c r="J877" s="11">
        <v>-25.2804145812988</v>
      </c>
      <c r="K877" s="11">
        <v>-34.431827545166</v>
      </c>
      <c r="L877" s="11" t="s">
        <v>1390</v>
      </c>
      <c r="M877" s="11" t="s">
        <v>1390</v>
      </c>
      <c r="N877" s="11" t="s">
        <v>1062</v>
      </c>
      <c r="O877" s="11" t="s">
        <v>1518</v>
      </c>
    </row>
    <row r="878">
      <c r="A878" s="11">
        <v>-28.0525856018066</v>
      </c>
      <c r="B878" s="11">
        <v>-55.5576286315918</v>
      </c>
      <c r="C878" s="11" t="s">
        <v>1390</v>
      </c>
      <c r="D878" s="11" t="s">
        <v>1390</v>
      </c>
      <c r="E878" s="11" t="s">
        <v>1062</v>
      </c>
      <c r="F878" s="11" t="s">
        <v>1521</v>
      </c>
      <c r="J878" s="11">
        <v>-10.9871664047241</v>
      </c>
      <c r="K878" s="11">
        <v>-46.4333801269531</v>
      </c>
      <c r="L878" s="11" t="s">
        <v>1390</v>
      </c>
      <c r="M878" s="11" t="s">
        <v>1390</v>
      </c>
      <c r="N878" s="11" t="s">
        <v>1062</v>
      </c>
      <c r="O878" s="11" t="s">
        <v>1521</v>
      </c>
    </row>
    <row r="879">
      <c r="A879" s="11">
        <v>-14.6926822662353</v>
      </c>
      <c r="B879" s="11">
        <v>-48.4643325805664</v>
      </c>
      <c r="C879" s="11" t="s">
        <v>1390</v>
      </c>
      <c r="D879" s="11" t="s">
        <v>1390</v>
      </c>
      <c r="E879" s="11" t="s">
        <v>1062</v>
      </c>
      <c r="F879" s="11" t="s">
        <v>1523</v>
      </c>
      <c r="J879" s="11">
        <v>-7.63981628417968</v>
      </c>
      <c r="K879" s="11">
        <v>-49.7277297973632</v>
      </c>
      <c r="L879" s="11" t="s">
        <v>1390</v>
      </c>
      <c r="M879" s="11" t="s">
        <v>1390</v>
      </c>
      <c r="N879" s="11" t="s">
        <v>1062</v>
      </c>
      <c r="O879" s="11" t="s">
        <v>1523</v>
      </c>
    </row>
    <row r="880">
      <c r="A880" s="11">
        <v>-6.28297567367553</v>
      </c>
      <c r="B880" s="11">
        <v>-24.4312477111816</v>
      </c>
      <c r="C880" s="11" t="s">
        <v>1390</v>
      </c>
      <c r="D880" s="11" t="s">
        <v>1390</v>
      </c>
      <c r="E880" s="11" t="s">
        <v>1062</v>
      </c>
      <c r="F880" s="11" t="s">
        <v>1525</v>
      </c>
      <c r="J880" s="11">
        <v>-19.6832103729248</v>
      </c>
      <c r="K880" s="11">
        <v>-35.4440879821777</v>
      </c>
      <c r="L880" s="11" t="s">
        <v>1390</v>
      </c>
      <c r="M880" s="11" t="s">
        <v>1390</v>
      </c>
      <c r="N880" s="11" t="s">
        <v>1062</v>
      </c>
      <c r="O880" s="11" t="s">
        <v>1525</v>
      </c>
    </row>
    <row r="881">
      <c r="A881" s="11">
        <v>4.99850463867187</v>
      </c>
      <c r="B881" s="11">
        <v>-47.7402229309082</v>
      </c>
      <c r="C881" s="11" t="s">
        <v>1390</v>
      </c>
      <c r="D881" s="11" t="s">
        <v>1390</v>
      </c>
      <c r="E881" s="11" t="s">
        <v>1062</v>
      </c>
      <c r="F881" s="11" t="s">
        <v>1527</v>
      </c>
      <c r="J881" s="11">
        <v>-28.6642036437988</v>
      </c>
      <c r="K881" s="11">
        <v>-49.0719833374023</v>
      </c>
      <c r="L881" s="11" t="s">
        <v>1390</v>
      </c>
      <c r="M881" s="11" t="s">
        <v>1390</v>
      </c>
      <c r="N881" s="11" t="s">
        <v>1062</v>
      </c>
      <c r="O881" s="11" t="s">
        <v>1527</v>
      </c>
    </row>
    <row r="882">
      <c r="A882" s="11">
        <v>-6.46840190887451</v>
      </c>
      <c r="B882" s="11">
        <v>-20.8168182373046</v>
      </c>
      <c r="C882" s="11" t="s">
        <v>1390</v>
      </c>
      <c r="D882" s="11" t="s">
        <v>1390</v>
      </c>
      <c r="E882" s="11" t="s">
        <v>1062</v>
      </c>
      <c r="F882" s="11" t="s">
        <v>1529</v>
      </c>
      <c r="J882" s="11">
        <v>-25.5325813293457</v>
      </c>
      <c r="K882" s="11">
        <v>-55.7341537475585</v>
      </c>
      <c r="L882" s="11" t="s">
        <v>1390</v>
      </c>
      <c r="M882" s="11" t="s">
        <v>1390</v>
      </c>
      <c r="N882" s="11" t="s">
        <v>1062</v>
      </c>
      <c r="O882" s="11" t="s">
        <v>1529</v>
      </c>
    </row>
    <row r="883">
      <c r="A883" s="11">
        <v>1.34300661087036</v>
      </c>
      <c r="B883" s="11">
        <v>-38.8982925415039</v>
      </c>
      <c r="C883" s="11" t="s">
        <v>1390</v>
      </c>
      <c r="D883" s="11" t="s">
        <v>1390</v>
      </c>
      <c r="E883" s="11" t="s">
        <v>1062</v>
      </c>
      <c r="F883" s="11" t="s">
        <v>1531</v>
      </c>
      <c r="J883" s="11">
        <v>-34.0336265563964</v>
      </c>
      <c r="K883" s="11">
        <v>-41.8876495361328</v>
      </c>
      <c r="L883" s="11" t="s">
        <v>1390</v>
      </c>
      <c r="M883" s="11" t="s">
        <v>1390</v>
      </c>
      <c r="N883" s="11" t="s">
        <v>1062</v>
      </c>
      <c r="O883" s="11" t="s">
        <v>1531</v>
      </c>
    </row>
    <row r="884">
      <c r="A884" s="11">
        <v>14.1948451995849</v>
      </c>
      <c r="B884" s="11">
        <v>-39.3952713012695</v>
      </c>
      <c r="C884" s="11" t="s">
        <v>1390</v>
      </c>
      <c r="D884" s="11" t="s">
        <v>1390</v>
      </c>
      <c r="E884" s="11" t="s">
        <v>1062</v>
      </c>
      <c r="F884" s="11" t="s">
        <v>1533</v>
      </c>
      <c r="J884" s="11">
        <v>-42.624095916748</v>
      </c>
      <c r="K884" s="11">
        <v>-44.9307441711425</v>
      </c>
      <c r="L884" s="11" t="s">
        <v>1390</v>
      </c>
      <c r="M884" s="11" t="s">
        <v>1390</v>
      </c>
      <c r="N884" s="11" t="s">
        <v>1062</v>
      </c>
      <c r="O884" s="11" t="s">
        <v>1533</v>
      </c>
    </row>
    <row r="885">
      <c r="A885" s="11">
        <v>11.9049472808837</v>
      </c>
      <c r="B885" s="11">
        <v>-35.7639808654785</v>
      </c>
      <c r="C885" s="11" t="s">
        <v>1390</v>
      </c>
      <c r="D885" s="11" t="s">
        <v>1390</v>
      </c>
      <c r="E885" s="11" t="s">
        <v>1062</v>
      </c>
      <c r="F885" s="11" t="s">
        <v>1535</v>
      </c>
      <c r="J885" s="11">
        <v>-35.8150329589843</v>
      </c>
      <c r="K885" s="11">
        <v>-45.3660659790039</v>
      </c>
      <c r="L885" s="11" t="s">
        <v>1390</v>
      </c>
      <c r="M885" s="11" t="s">
        <v>1390</v>
      </c>
      <c r="N885" s="11" t="s">
        <v>1062</v>
      </c>
      <c r="O885" s="11" t="s">
        <v>1535</v>
      </c>
    </row>
    <row r="886">
      <c r="A886" s="11">
        <v>-19.3904514312744</v>
      </c>
      <c r="B886" s="11">
        <v>-19.3659877777099</v>
      </c>
      <c r="C886" s="11" t="s">
        <v>1390</v>
      </c>
      <c r="D886" s="11" t="s">
        <v>1390</v>
      </c>
      <c r="E886" s="11" t="s">
        <v>1062</v>
      </c>
      <c r="F886" s="11" t="s">
        <v>1539</v>
      </c>
      <c r="J886" s="11">
        <v>10.9510231018066</v>
      </c>
      <c r="K886" s="11">
        <v>-6.50409078598022</v>
      </c>
      <c r="L886" s="11" t="s">
        <v>1390</v>
      </c>
      <c r="M886" s="11" t="s">
        <v>1390</v>
      </c>
      <c r="N886" s="11" t="s">
        <v>1062</v>
      </c>
      <c r="O886" s="11" t="s">
        <v>1539</v>
      </c>
    </row>
    <row r="887">
      <c r="A887" s="11">
        <v>68.6335525512695</v>
      </c>
      <c r="B887" s="11">
        <v>-1.82191014289855</v>
      </c>
      <c r="C887" s="11" t="s">
        <v>1390</v>
      </c>
      <c r="D887" s="11" t="s">
        <v>1390</v>
      </c>
      <c r="E887" s="11" t="s">
        <v>1062</v>
      </c>
      <c r="F887" s="11" t="s">
        <v>1541</v>
      </c>
      <c r="J887" s="11">
        <v>-5.49941539764404</v>
      </c>
      <c r="K887" s="11">
        <v>62.3060989379882</v>
      </c>
      <c r="L887" s="11" t="s">
        <v>1390</v>
      </c>
      <c r="M887" s="11" t="s">
        <v>1390</v>
      </c>
      <c r="N887" s="11" t="s">
        <v>1062</v>
      </c>
      <c r="O887" s="11" t="s">
        <v>1541</v>
      </c>
    </row>
    <row r="888">
      <c r="A888" s="11">
        <v>20.2184391021728</v>
      </c>
      <c r="B888" s="11">
        <v>-33.6880683898925</v>
      </c>
      <c r="C888" s="11" t="s">
        <v>1390</v>
      </c>
      <c r="D888" s="11" t="s">
        <v>1390</v>
      </c>
      <c r="E888" s="11" t="s">
        <v>1062</v>
      </c>
      <c r="F888" s="11" t="s">
        <v>1542</v>
      </c>
      <c r="J888" s="11">
        <v>-35.8531608581543</v>
      </c>
      <c r="K888" s="11">
        <v>-47.5783653259277</v>
      </c>
      <c r="L888" s="11" t="s">
        <v>1390</v>
      </c>
      <c r="M888" s="11" t="s">
        <v>1390</v>
      </c>
      <c r="N888" s="11" t="s">
        <v>1062</v>
      </c>
      <c r="O888" s="11" t="s">
        <v>1542</v>
      </c>
    </row>
    <row r="889">
      <c r="A889" s="11">
        <v>-15.1536817550659</v>
      </c>
      <c r="B889" s="11">
        <v>-46.622444152832</v>
      </c>
      <c r="C889" s="11" t="s">
        <v>1390</v>
      </c>
      <c r="D889" s="11" t="s">
        <v>1390</v>
      </c>
      <c r="E889" s="11" t="s">
        <v>1062</v>
      </c>
      <c r="F889" s="11" t="s">
        <v>1544</v>
      </c>
      <c r="J889" s="11">
        <v>-8.37156391143798</v>
      </c>
      <c r="K889" s="11">
        <v>-48.8741569519043</v>
      </c>
      <c r="L889" s="11" t="s">
        <v>1390</v>
      </c>
      <c r="M889" s="11" t="s">
        <v>1390</v>
      </c>
      <c r="N889" s="11" t="s">
        <v>1062</v>
      </c>
      <c r="O889" s="11" t="s">
        <v>1544</v>
      </c>
    </row>
    <row r="890">
      <c r="A890" s="11">
        <v>-16.04319190979</v>
      </c>
      <c r="B890" s="11">
        <v>-47.9744415283203</v>
      </c>
      <c r="C890" s="11" t="s">
        <v>1390</v>
      </c>
      <c r="D890" s="11" t="s">
        <v>1390</v>
      </c>
      <c r="E890" s="11" t="s">
        <v>1062</v>
      </c>
      <c r="F890" s="11" t="s">
        <v>1546</v>
      </c>
      <c r="J890" s="11">
        <v>-8.5684232711792</v>
      </c>
      <c r="K890" s="11">
        <v>-50.1479835510253</v>
      </c>
      <c r="L890" s="11" t="s">
        <v>1390</v>
      </c>
      <c r="M890" s="11" t="s">
        <v>1390</v>
      </c>
      <c r="N890" s="11" t="s">
        <v>1062</v>
      </c>
      <c r="O890" s="11" t="s">
        <v>1546</v>
      </c>
    </row>
    <row r="891">
      <c r="A891" s="11">
        <v>-1.33199739456176</v>
      </c>
      <c r="B891" s="11">
        <v>-45.142650604248</v>
      </c>
      <c r="C891" s="11" t="s">
        <v>1390</v>
      </c>
      <c r="D891" s="11" t="s">
        <v>1390</v>
      </c>
      <c r="E891" s="11" t="s">
        <v>1062</v>
      </c>
      <c r="F891" s="11" t="s">
        <v>1548</v>
      </c>
      <c r="J891" s="11">
        <v>-25.6579914093017</v>
      </c>
      <c r="K891" s="11">
        <v>-40.746337890625</v>
      </c>
      <c r="L891" s="11" t="s">
        <v>1390</v>
      </c>
      <c r="M891" s="11" t="s">
        <v>1390</v>
      </c>
      <c r="N891" s="11" t="s">
        <v>1062</v>
      </c>
      <c r="O891" s="11" t="s">
        <v>1548</v>
      </c>
    </row>
    <row r="892">
      <c r="A892" s="11">
        <v>0.356726944446563</v>
      </c>
      <c r="B892" s="11">
        <v>-29.938325881958</v>
      </c>
      <c r="C892" s="11" t="s">
        <v>1390</v>
      </c>
      <c r="D892" s="11" t="s">
        <v>1390</v>
      </c>
      <c r="E892" s="11" t="s">
        <v>1062</v>
      </c>
      <c r="F892" s="11" t="s">
        <v>1550</v>
      </c>
      <c r="J892" s="11">
        <v>-24.399335861206</v>
      </c>
      <c r="K892" s="11">
        <v>-43.9773941040039</v>
      </c>
      <c r="L892" s="11" t="s">
        <v>1390</v>
      </c>
      <c r="M892" s="11" t="s">
        <v>1390</v>
      </c>
      <c r="N892" s="11" t="s">
        <v>1062</v>
      </c>
      <c r="O892" s="11" t="s">
        <v>1550</v>
      </c>
    </row>
    <row r="893">
      <c r="A893" s="11">
        <v>-13.2382287979125</v>
      </c>
      <c r="B893" s="11">
        <v>-52.1656265258789</v>
      </c>
      <c r="C893" s="11" t="s">
        <v>1390</v>
      </c>
      <c r="D893" s="11" t="s">
        <v>1390</v>
      </c>
      <c r="E893" s="11" t="s">
        <v>1062</v>
      </c>
      <c r="F893" s="11" t="s">
        <v>1552</v>
      </c>
      <c r="J893" s="11">
        <v>-23.5058860778808</v>
      </c>
      <c r="K893" s="11">
        <v>-42.724063873291</v>
      </c>
      <c r="L893" s="11" t="s">
        <v>1390</v>
      </c>
      <c r="M893" s="11" t="s">
        <v>1390</v>
      </c>
      <c r="N893" s="11" t="s">
        <v>1062</v>
      </c>
      <c r="O893" s="11" t="s">
        <v>1552</v>
      </c>
    </row>
    <row r="894">
      <c r="A894" s="11">
        <v>-9.60612869262695</v>
      </c>
      <c r="B894" s="11">
        <v>-28.8932666778564</v>
      </c>
      <c r="C894" s="11" t="s">
        <v>1390</v>
      </c>
      <c r="D894" s="11" t="s">
        <v>1390</v>
      </c>
      <c r="E894" s="11" t="s">
        <v>1062</v>
      </c>
      <c r="F894" s="11" t="s">
        <v>1555</v>
      </c>
      <c r="J894" s="11">
        <v>-34.5329551696777</v>
      </c>
      <c r="K894" s="11">
        <v>-48.4932327270507</v>
      </c>
      <c r="L894" s="11" t="s">
        <v>1390</v>
      </c>
      <c r="M894" s="11" t="s">
        <v>1390</v>
      </c>
      <c r="N894" s="11" t="s">
        <v>1062</v>
      </c>
      <c r="O894" s="11" t="s">
        <v>1555</v>
      </c>
    </row>
    <row r="895">
      <c r="A895" s="11">
        <v>-1.25303435325622</v>
      </c>
      <c r="B895" s="11">
        <v>-28.8300399780273</v>
      </c>
      <c r="C895" s="11" t="s">
        <v>1390</v>
      </c>
      <c r="D895" s="11" t="s">
        <v>1390</v>
      </c>
      <c r="E895" s="11" t="s">
        <v>1062</v>
      </c>
      <c r="F895" s="11" t="s">
        <v>1557</v>
      </c>
      <c r="J895" s="11">
        <v>-40.2944030761718</v>
      </c>
      <c r="K895" s="11">
        <v>-41.9222679138183</v>
      </c>
      <c r="L895" s="11" t="s">
        <v>1390</v>
      </c>
      <c r="M895" s="11" t="s">
        <v>1390</v>
      </c>
      <c r="N895" s="11" t="s">
        <v>1062</v>
      </c>
      <c r="O895" s="11" t="s">
        <v>1557</v>
      </c>
    </row>
    <row r="896">
      <c r="A896" s="11">
        <v>-16.6358661651611</v>
      </c>
      <c r="B896" s="11">
        <v>-57.7438201904296</v>
      </c>
      <c r="C896" s="11" t="s">
        <v>1390</v>
      </c>
      <c r="D896" s="11" t="s">
        <v>1390</v>
      </c>
      <c r="E896" s="11" t="s">
        <v>1062</v>
      </c>
      <c r="F896" s="11" t="s">
        <v>1560</v>
      </c>
      <c r="J896" s="11">
        <v>-20.7656173706054</v>
      </c>
      <c r="K896" s="11">
        <v>-36.6080017089843</v>
      </c>
      <c r="L896" s="11" t="s">
        <v>1390</v>
      </c>
      <c r="M896" s="11" t="s">
        <v>1390</v>
      </c>
      <c r="N896" s="11" t="s">
        <v>1062</v>
      </c>
      <c r="O896" s="11" t="s">
        <v>1560</v>
      </c>
    </row>
    <row r="897">
      <c r="A897" s="11">
        <v>10.4978599548339</v>
      </c>
      <c r="B897" s="11">
        <v>-44.2683372497558</v>
      </c>
      <c r="C897" s="11" t="s">
        <v>1390</v>
      </c>
      <c r="D897" s="11" t="s">
        <v>1390</v>
      </c>
      <c r="E897" s="11" t="s">
        <v>1062</v>
      </c>
      <c r="F897" s="11" t="s">
        <v>1562</v>
      </c>
      <c r="J897" s="11">
        <v>-36.9360427856445</v>
      </c>
      <c r="K897" s="11">
        <v>-45.0066795349121</v>
      </c>
      <c r="L897" s="11" t="s">
        <v>1390</v>
      </c>
      <c r="M897" s="11" t="s">
        <v>1390</v>
      </c>
      <c r="N897" s="11" t="s">
        <v>1062</v>
      </c>
      <c r="O897" s="11" t="s">
        <v>1562</v>
      </c>
    </row>
    <row r="898">
      <c r="A898" s="11">
        <v>5.0498628616333</v>
      </c>
      <c r="B898" s="11">
        <v>-31.3346004486084</v>
      </c>
      <c r="C898" s="11" t="s">
        <v>1390</v>
      </c>
      <c r="D898" s="11" t="s">
        <v>1390</v>
      </c>
      <c r="E898" s="11" t="s">
        <v>1062</v>
      </c>
      <c r="F898" s="11" t="s">
        <v>1564</v>
      </c>
      <c r="J898" s="11">
        <v>-33.134895324707</v>
      </c>
      <c r="K898" s="11">
        <v>-45.4822082519531</v>
      </c>
      <c r="L898" s="11" t="s">
        <v>1390</v>
      </c>
      <c r="M898" s="11" t="s">
        <v>1390</v>
      </c>
      <c r="N898" s="11" t="s">
        <v>1062</v>
      </c>
      <c r="O898" s="11" t="s">
        <v>1564</v>
      </c>
    </row>
    <row r="899">
      <c r="A899" s="11">
        <v>4.99850463867187</v>
      </c>
      <c r="B899" s="11">
        <v>-47.7402229309082</v>
      </c>
      <c r="C899" s="11" t="s">
        <v>1390</v>
      </c>
      <c r="D899" s="11" t="s">
        <v>1390</v>
      </c>
      <c r="E899" s="11" t="s">
        <v>1062</v>
      </c>
      <c r="F899" s="11" t="s">
        <v>1568</v>
      </c>
      <c r="J899" s="11">
        <v>-28.6642093658447</v>
      </c>
      <c r="K899" s="11">
        <v>-49.0717964172363</v>
      </c>
      <c r="L899" s="11" t="s">
        <v>1390</v>
      </c>
      <c r="M899" s="11" t="s">
        <v>1390</v>
      </c>
      <c r="N899" s="11" t="s">
        <v>1062</v>
      </c>
      <c r="O899" s="11" t="s">
        <v>1568</v>
      </c>
    </row>
    <row r="900">
      <c r="A900" s="11">
        <v>5.1118459701538</v>
      </c>
      <c r="B900" s="11">
        <v>-23.570198059082</v>
      </c>
      <c r="C900" s="11" t="s">
        <v>1390</v>
      </c>
      <c r="D900" s="11" t="s">
        <v>1390</v>
      </c>
      <c r="E900" s="11" t="s">
        <v>1062</v>
      </c>
      <c r="F900" s="11" t="s">
        <v>1570</v>
      </c>
      <c r="J900" s="11">
        <v>-9.17172908782959</v>
      </c>
      <c r="K900" s="11">
        <v>-36.2350769042968</v>
      </c>
      <c r="L900" s="11" t="s">
        <v>1390</v>
      </c>
      <c r="M900" s="11" t="s">
        <v>1390</v>
      </c>
      <c r="N900" s="11" t="s">
        <v>1062</v>
      </c>
      <c r="O900" s="11" t="s">
        <v>1570</v>
      </c>
    </row>
    <row r="901">
      <c r="A901" s="11">
        <v>-14.2993640899658</v>
      </c>
      <c r="B901" s="11">
        <v>-28.4703712463378</v>
      </c>
      <c r="C901" s="11" t="s">
        <v>1390</v>
      </c>
      <c r="D901" s="11" t="s">
        <v>1390</v>
      </c>
      <c r="E901" s="11" t="s">
        <v>1062</v>
      </c>
      <c r="F901" s="11" t="s">
        <v>1573</v>
      </c>
      <c r="J901" s="11">
        <v>-9.28076171875</v>
      </c>
      <c r="K901" s="11">
        <v>-36.6980934143066</v>
      </c>
      <c r="L901" s="11" t="s">
        <v>1390</v>
      </c>
      <c r="M901" s="11" t="s">
        <v>1390</v>
      </c>
      <c r="N901" s="11" t="s">
        <v>1062</v>
      </c>
      <c r="O901" s="11" t="s">
        <v>1573</v>
      </c>
    </row>
    <row r="902">
      <c r="A902" s="11">
        <v>9.53682231903076</v>
      </c>
      <c r="B902" s="11">
        <v>-30.2260570526123</v>
      </c>
      <c r="C902" s="11" t="s">
        <v>1390</v>
      </c>
      <c r="D902" s="11" t="s">
        <v>1390</v>
      </c>
      <c r="E902" s="11" t="s">
        <v>1062</v>
      </c>
      <c r="F902" s="11" t="s">
        <v>1575</v>
      </c>
      <c r="J902" s="11">
        <v>-27.0152130126953</v>
      </c>
      <c r="K902" s="11">
        <v>-46.41255569458</v>
      </c>
      <c r="L902" s="11" t="s">
        <v>1390</v>
      </c>
      <c r="M902" s="11" t="s">
        <v>1390</v>
      </c>
      <c r="N902" s="11" t="s">
        <v>1062</v>
      </c>
      <c r="O902" s="11" t="s">
        <v>1575</v>
      </c>
    </row>
    <row r="903">
      <c r="A903" s="11">
        <v>4.67112588882446</v>
      </c>
      <c r="B903" s="11">
        <v>-20.7032508850097</v>
      </c>
      <c r="C903" s="11" t="s">
        <v>1390</v>
      </c>
      <c r="D903" s="11" t="s">
        <v>1390</v>
      </c>
      <c r="E903" s="11" t="s">
        <v>1062</v>
      </c>
      <c r="F903" s="11" t="s">
        <v>1577</v>
      </c>
      <c r="J903" s="11">
        <v>-24.0425662994384</v>
      </c>
      <c r="K903" s="11">
        <v>-38.9789695739746</v>
      </c>
      <c r="L903" s="11" t="s">
        <v>1390</v>
      </c>
      <c r="M903" s="11" t="s">
        <v>1390</v>
      </c>
      <c r="N903" s="11" t="s">
        <v>1062</v>
      </c>
      <c r="O903" s="11" t="s">
        <v>1577</v>
      </c>
    </row>
    <row r="904">
      <c r="A904" s="11">
        <v>-1.33899676799774</v>
      </c>
      <c r="B904" s="11">
        <v>-28.2166023254394</v>
      </c>
      <c r="C904" s="11" t="s">
        <v>1390</v>
      </c>
      <c r="D904" s="11" t="s">
        <v>1390</v>
      </c>
      <c r="E904" s="11" t="s">
        <v>1062</v>
      </c>
      <c r="F904" s="11" t="s">
        <v>1579</v>
      </c>
      <c r="J904" s="11">
        <v>-39.5840682983398</v>
      </c>
      <c r="K904" s="11">
        <v>-42.2203903198242</v>
      </c>
      <c r="L904" s="11" t="s">
        <v>1390</v>
      </c>
      <c r="M904" s="11" t="s">
        <v>1390</v>
      </c>
      <c r="N904" s="11" t="s">
        <v>1062</v>
      </c>
      <c r="O904" s="11" t="s">
        <v>1579</v>
      </c>
    </row>
    <row r="905">
      <c r="A905" s="11">
        <v>11.1928644180297</v>
      </c>
      <c r="B905" s="11">
        <v>-44.3362693786621</v>
      </c>
      <c r="C905" s="11" t="s">
        <v>1390</v>
      </c>
      <c r="D905" s="11" t="s">
        <v>1390</v>
      </c>
      <c r="E905" s="11" t="s">
        <v>1062</v>
      </c>
      <c r="F905" s="11" t="s">
        <v>1581</v>
      </c>
      <c r="J905" s="11">
        <v>-36.523208618164</v>
      </c>
      <c r="K905" s="11">
        <v>-44.6613082885742</v>
      </c>
      <c r="L905" s="11" t="s">
        <v>1390</v>
      </c>
      <c r="M905" s="11" t="s">
        <v>1390</v>
      </c>
      <c r="N905" s="11" t="s">
        <v>1062</v>
      </c>
      <c r="O905" s="11" t="s">
        <v>1581</v>
      </c>
    </row>
    <row r="906">
      <c r="A906" s="11">
        <v>-1.33199739456176</v>
      </c>
      <c r="B906" s="11">
        <v>-45.142650604248</v>
      </c>
      <c r="C906" s="11" t="s">
        <v>1390</v>
      </c>
      <c r="D906" s="11" t="s">
        <v>1390</v>
      </c>
      <c r="E906" s="11" t="s">
        <v>1062</v>
      </c>
      <c r="F906" s="11" t="s">
        <v>1583</v>
      </c>
      <c r="J906" s="11">
        <v>-25.6571712493896</v>
      </c>
      <c r="K906" s="11">
        <v>-40.746726989746</v>
      </c>
      <c r="L906" s="11" t="s">
        <v>1390</v>
      </c>
      <c r="M906" s="11" t="s">
        <v>1390</v>
      </c>
      <c r="N906" s="11" t="s">
        <v>1062</v>
      </c>
      <c r="O906" s="11" t="s">
        <v>1583</v>
      </c>
    </row>
    <row r="907">
      <c r="A907" s="11">
        <v>-28.2606582641601</v>
      </c>
      <c r="B907" s="11">
        <v>-54.5542602539062</v>
      </c>
      <c r="C907" s="11" t="s">
        <v>1390</v>
      </c>
      <c r="D907" s="11" t="s">
        <v>1390</v>
      </c>
      <c r="E907" s="11" t="s">
        <v>1062</v>
      </c>
      <c r="F907" s="11" t="s">
        <v>1588</v>
      </c>
      <c r="J907" s="11">
        <v>-10.7123928070068</v>
      </c>
      <c r="K907" s="11">
        <v>-45.7747001647949</v>
      </c>
      <c r="L907" s="11" t="s">
        <v>1390</v>
      </c>
      <c r="M907" s="11" t="s">
        <v>1390</v>
      </c>
      <c r="N907" s="11" t="s">
        <v>1062</v>
      </c>
      <c r="O907" s="11" t="s">
        <v>1588</v>
      </c>
    </row>
    <row r="908">
      <c r="A908" s="11">
        <v>-5.67259120941162</v>
      </c>
      <c r="B908" s="11">
        <v>-27.2325630187988</v>
      </c>
      <c r="C908" s="11" t="s">
        <v>1390</v>
      </c>
      <c r="D908" s="11" t="s">
        <v>1390</v>
      </c>
      <c r="E908" s="11" t="s">
        <v>1062</v>
      </c>
      <c r="F908" s="11" t="s">
        <v>1590</v>
      </c>
      <c r="J908" s="11">
        <v>-39.341697692871</v>
      </c>
      <c r="K908" s="11">
        <v>-41.0436363220214</v>
      </c>
      <c r="L908" s="11" t="s">
        <v>1390</v>
      </c>
      <c r="M908" s="11" t="s">
        <v>1390</v>
      </c>
      <c r="N908" s="11" t="s">
        <v>1062</v>
      </c>
      <c r="O908" s="11" t="s">
        <v>1590</v>
      </c>
    </row>
    <row r="909">
      <c r="A909" s="11">
        <v>-8.42253684997558</v>
      </c>
      <c r="B909" s="11">
        <v>-26.5524368286132</v>
      </c>
      <c r="C909" s="11" t="s">
        <v>1390</v>
      </c>
      <c r="D909" s="11" t="s">
        <v>1390</v>
      </c>
      <c r="E909" s="11" t="s">
        <v>1062</v>
      </c>
      <c r="F909" s="11" t="s">
        <v>1592</v>
      </c>
      <c r="J909" s="11">
        <v>19.4794178009033</v>
      </c>
      <c r="K909" s="11">
        <v>-17.542308807373</v>
      </c>
      <c r="L909" s="11" t="s">
        <v>1390</v>
      </c>
      <c r="M909" s="11" t="s">
        <v>1390</v>
      </c>
      <c r="N909" s="11" t="s">
        <v>1062</v>
      </c>
      <c r="O909" s="11" t="s">
        <v>1592</v>
      </c>
    </row>
    <row r="910">
      <c r="A910" s="11">
        <v>-20.9899864196777</v>
      </c>
      <c r="B910" s="11">
        <v>-43.3455619812011</v>
      </c>
      <c r="C910" s="11" t="s">
        <v>1390</v>
      </c>
      <c r="D910" s="11" t="s">
        <v>1390</v>
      </c>
      <c r="E910" s="11" t="s">
        <v>1062</v>
      </c>
      <c r="F910" s="11" t="s">
        <v>1594</v>
      </c>
      <c r="J910" s="11">
        <v>-4.53444957733154</v>
      </c>
      <c r="K910" s="11">
        <v>-47.1373291015625</v>
      </c>
      <c r="L910" s="11" t="s">
        <v>1390</v>
      </c>
      <c r="M910" s="11" t="s">
        <v>1390</v>
      </c>
      <c r="N910" s="11" t="s">
        <v>1062</v>
      </c>
      <c r="O910" s="11" t="s">
        <v>1594</v>
      </c>
    </row>
    <row r="911">
      <c r="A911" s="11">
        <v>1.34300661087036</v>
      </c>
      <c r="B911" s="11">
        <v>-38.8982925415039</v>
      </c>
      <c r="C911" s="11" t="s">
        <v>1390</v>
      </c>
      <c r="D911" s="11" t="s">
        <v>1390</v>
      </c>
      <c r="E911" s="11" t="s">
        <v>1062</v>
      </c>
      <c r="F911" s="11" t="s">
        <v>1596</v>
      </c>
      <c r="J911" s="11">
        <v>-33.9225807189941</v>
      </c>
      <c r="K911" s="11">
        <v>-41.1673278808593</v>
      </c>
      <c r="L911" s="11" t="s">
        <v>1390</v>
      </c>
      <c r="M911" s="11" t="s">
        <v>1390</v>
      </c>
      <c r="N911" s="11" t="s">
        <v>1062</v>
      </c>
      <c r="O911" s="11" t="s">
        <v>1596</v>
      </c>
    </row>
    <row r="912">
      <c r="A912" s="11">
        <v>0.298828989267349</v>
      </c>
      <c r="B912" s="11">
        <v>-39.3403892517089</v>
      </c>
      <c r="C912" s="11" t="s">
        <v>1390</v>
      </c>
      <c r="D912" s="11" t="s">
        <v>1390</v>
      </c>
      <c r="E912" s="11" t="s">
        <v>1062</v>
      </c>
      <c r="F912" s="11" t="s">
        <v>1599</v>
      </c>
      <c r="J912" s="11">
        <v>-34.0336265563964</v>
      </c>
      <c r="K912" s="11">
        <v>-41.8876495361328</v>
      </c>
      <c r="L912" s="11" t="s">
        <v>1390</v>
      </c>
      <c r="M912" s="11" t="s">
        <v>1390</v>
      </c>
      <c r="N912" s="11" t="s">
        <v>1062</v>
      </c>
      <c r="O912" s="11" t="s">
        <v>1599</v>
      </c>
    </row>
    <row r="913">
      <c r="A913" s="11">
        <v>-8.42745685577392</v>
      </c>
      <c r="B913" s="11">
        <v>-31.6360740661621</v>
      </c>
      <c r="C913" s="11" t="s">
        <v>1390</v>
      </c>
      <c r="D913" s="11" t="s">
        <v>1390</v>
      </c>
      <c r="E913" s="11" t="s">
        <v>1062</v>
      </c>
      <c r="F913" s="11" t="s">
        <v>1601</v>
      </c>
      <c r="J913" s="11">
        <v>-15.1794996261596</v>
      </c>
      <c r="K913" s="11">
        <v>-32.392406463623</v>
      </c>
      <c r="L913" s="11" t="s">
        <v>1390</v>
      </c>
      <c r="M913" s="11" t="s">
        <v>1390</v>
      </c>
      <c r="N913" s="11" t="s">
        <v>1062</v>
      </c>
      <c r="O913" s="11" t="s">
        <v>1601</v>
      </c>
    </row>
    <row r="914">
      <c r="A914" s="11">
        <v>-20.1706714630126</v>
      </c>
      <c r="B914" s="11">
        <v>-62.6949768066406</v>
      </c>
      <c r="C914" s="11" t="s">
        <v>1390</v>
      </c>
      <c r="D914" s="11" t="s">
        <v>1390</v>
      </c>
      <c r="E914" s="11" t="s">
        <v>1062</v>
      </c>
      <c r="F914" s="11" t="s">
        <v>1603</v>
      </c>
      <c r="J914" s="11">
        <v>-24.9202976226806</v>
      </c>
      <c r="K914" s="11">
        <v>-35.3764877319335</v>
      </c>
      <c r="L914" s="11" t="s">
        <v>1390</v>
      </c>
      <c r="M914" s="11" t="s">
        <v>1390</v>
      </c>
      <c r="N914" s="11" t="s">
        <v>1062</v>
      </c>
      <c r="O914" s="11" t="s">
        <v>1603</v>
      </c>
    </row>
    <row r="915">
      <c r="A915" s="11">
        <v>-1.77121233940124</v>
      </c>
      <c r="B915" s="11">
        <v>-11.2253847122192</v>
      </c>
      <c r="C915" s="11" t="s">
        <v>1390</v>
      </c>
      <c r="D915" s="11" t="s">
        <v>1390</v>
      </c>
      <c r="E915" s="11" t="s">
        <v>1062</v>
      </c>
      <c r="F915" s="11" t="s">
        <v>1605</v>
      </c>
      <c r="J915" s="11">
        <v>-26.2107372283935</v>
      </c>
      <c r="K915" s="11">
        <v>-29.9784126281738</v>
      </c>
      <c r="L915" s="11" t="s">
        <v>1390</v>
      </c>
      <c r="M915" s="11" t="s">
        <v>1390</v>
      </c>
      <c r="N915" s="11" t="s">
        <v>1062</v>
      </c>
      <c r="O915" s="11" t="s">
        <v>1605</v>
      </c>
    </row>
    <row r="916">
      <c r="A916" s="11">
        <v>-21.2874717712402</v>
      </c>
      <c r="B916" s="11">
        <v>-63.1482963562011</v>
      </c>
      <c r="C916" s="11" t="s">
        <v>1390</v>
      </c>
      <c r="D916" s="11" t="s">
        <v>1390</v>
      </c>
      <c r="E916" s="11" t="s">
        <v>1062</v>
      </c>
      <c r="F916" s="11" t="s">
        <v>1607</v>
      </c>
      <c r="J916" s="11">
        <v>-24.1502017974853</v>
      </c>
      <c r="K916" s="11">
        <v>-34.4264602661132</v>
      </c>
      <c r="L916" s="11" t="s">
        <v>1390</v>
      </c>
      <c r="M916" s="11" t="s">
        <v>1390</v>
      </c>
      <c r="N916" s="11" t="s">
        <v>1062</v>
      </c>
      <c r="O916" s="11" t="s">
        <v>1607</v>
      </c>
    </row>
    <row r="917">
      <c r="A917" s="11">
        <v>19.0669593811035</v>
      </c>
      <c r="B917" s="11">
        <v>-40.5245513916015</v>
      </c>
      <c r="C917" s="11" t="s">
        <v>1390</v>
      </c>
      <c r="D917" s="11" t="s">
        <v>1390</v>
      </c>
      <c r="E917" s="11" t="s">
        <v>1062</v>
      </c>
      <c r="F917" s="11" t="s">
        <v>1609</v>
      </c>
      <c r="J917" s="11">
        <v>-35.0324058532714</v>
      </c>
      <c r="K917" s="11">
        <v>-49.8775520324707</v>
      </c>
      <c r="L917" s="11" t="s">
        <v>1390</v>
      </c>
      <c r="M917" s="11" t="s">
        <v>1390</v>
      </c>
      <c r="N917" s="11" t="s">
        <v>1062</v>
      </c>
      <c r="O917" s="11" t="s">
        <v>1609</v>
      </c>
    </row>
    <row r="918">
      <c r="A918" s="11">
        <v>5.5847749710083</v>
      </c>
      <c r="B918" s="11">
        <v>-28.6285514831542</v>
      </c>
      <c r="C918" s="11" t="s">
        <v>1390</v>
      </c>
      <c r="D918" s="11" t="s">
        <v>1390</v>
      </c>
      <c r="E918" s="11" t="s">
        <v>1062</v>
      </c>
      <c r="F918" s="11" t="s">
        <v>1611</v>
      </c>
      <c r="J918" s="11">
        <v>-29.3493480682373</v>
      </c>
      <c r="K918" s="11">
        <v>-31.336856842041</v>
      </c>
      <c r="L918" s="11" t="s">
        <v>1390</v>
      </c>
      <c r="M918" s="11" t="s">
        <v>1390</v>
      </c>
      <c r="N918" s="11" t="s">
        <v>1062</v>
      </c>
      <c r="O918" s="11" t="s">
        <v>1611</v>
      </c>
    </row>
    <row r="919">
      <c r="A919" s="11">
        <v>-3.56483554840087</v>
      </c>
      <c r="B919" s="11">
        <v>-30.7079887390136</v>
      </c>
      <c r="C919" s="11" t="s">
        <v>1390</v>
      </c>
      <c r="D919" s="11" t="s">
        <v>1390</v>
      </c>
      <c r="E919" s="11" t="s">
        <v>1062</v>
      </c>
      <c r="F919" s="11" t="s">
        <v>1613</v>
      </c>
      <c r="J919" s="11">
        <v>-35.2352104187011</v>
      </c>
      <c r="K919" s="11">
        <v>-43.5245132446289</v>
      </c>
      <c r="L919" s="11" t="s">
        <v>1390</v>
      </c>
      <c r="M919" s="11" t="s">
        <v>1390</v>
      </c>
      <c r="N919" s="11" t="s">
        <v>1062</v>
      </c>
      <c r="O919" s="11" t="s">
        <v>1613</v>
      </c>
    </row>
    <row r="920">
      <c r="A920" s="11">
        <v>-6.36834144592285</v>
      </c>
      <c r="B920" s="11">
        <v>-13.8434171676635</v>
      </c>
      <c r="C920" s="11" t="s">
        <v>1390</v>
      </c>
      <c r="D920" s="11" t="s">
        <v>1390</v>
      </c>
      <c r="E920" s="11" t="s">
        <v>1062</v>
      </c>
      <c r="F920" s="11" t="s">
        <v>1615</v>
      </c>
      <c r="J920" s="11">
        <v>-5.18645477294921</v>
      </c>
      <c r="K920" s="11">
        <v>-19.2476043701171</v>
      </c>
      <c r="L920" s="11" t="s">
        <v>1390</v>
      </c>
      <c r="M920" s="11" t="s">
        <v>1390</v>
      </c>
      <c r="N920" s="11" t="s">
        <v>1062</v>
      </c>
      <c r="O920" s="11" t="s">
        <v>1615</v>
      </c>
    </row>
    <row r="921">
      <c r="A921" s="11">
        <v>1.01453340053558</v>
      </c>
      <c r="B921" s="11">
        <v>-24.8238182067871</v>
      </c>
      <c r="C921" s="11" t="s">
        <v>1390</v>
      </c>
      <c r="D921" s="11" t="s">
        <v>1390</v>
      </c>
      <c r="E921" s="11" t="s">
        <v>1062</v>
      </c>
      <c r="F921" s="11" t="s">
        <v>1617</v>
      </c>
      <c r="J921" s="11">
        <v>-39.9384078979492</v>
      </c>
      <c r="K921" s="11">
        <v>-48.7000579833984</v>
      </c>
      <c r="L921" s="11" t="s">
        <v>1390</v>
      </c>
      <c r="M921" s="11" t="s">
        <v>1390</v>
      </c>
      <c r="N921" s="11" t="s">
        <v>1062</v>
      </c>
      <c r="O921" s="11" t="s">
        <v>1617</v>
      </c>
    </row>
    <row r="922">
      <c r="A922" s="11">
        <v>-20.067964553833</v>
      </c>
      <c r="B922" s="11">
        <v>-44.852970123291</v>
      </c>
      <c r="C922" s="11" t="s">
        <v>1390</v>
      </c>
      <c r="D922" s="11" t="s">
        <v>1390</v>
      </c>
      <c r="E922" s="11" t="s">
        <v>1062</v>
      </c>
      <c r="F922" s="11" t="s">
        <v>1619</v>
      </c>
      <c r="J922" s="11">
        <v>-3.81266999244689</v>
      </c>
      <c r="K922" s="11">
        <v>-46.5189933776855</v>
      </c>
      <c r="L922" s="11" t="s">
        <v>1390</v>
      </c>
      <c r="M922" s="11" t="s">
        <v>1390</v>
      </c>
      <c r="N922" s="11" t="s">
        <v>1062</v>
      </c>
      <c r="O922" s="11" t="s">
        <v>1619</v>
      </c>
    </row>
    <row r="923">
      <c r="A923" s="11">
        <v>-6.6166124343872</v>
      </c>
      <c r="B923" s="11">
        <v>-14.8160600662231</v>
      </c>
      <c r="C923" s="11" t="s">
        <v>1390</v>
      </c>
      <c r="D923" s="11" t="s">
        <v>1390</v>
      </c>
      <c r="E923" s="11" t="s">
        <v>1062</v>
      </c>
      <c r="F923" s="11" t="s">
        <v>1621</v>
      </c>
      <c r="J923" s="11">
        <v>-5.18645477294921</v>
      </c>
      <c r="K923" s="11">
        <v>-19.2476043701171</v>
      </c>
      <c r="L923" s="11" t="s">
        <v>1390</v>
      </c>
      <c r="M923" s="11" t="s">
        <v>1390</v>
      </c>
      <c r="N923" s="11" t="s">
        <v>1062</v>
      </c>
      <c r="O923" s="11" t="s">
        <v>1621</v>
      </c>
    </row>
    <row r="924">
      <c r="A924" s="11">
        <v>0.863650500774383</v>
      </c>
      <c r="B924" s="11">
        <v>-18.1754627227783</v>
      </c>
      <c r="C924" s="11" t="s">
        <v>1390</v>
      </c>
      <c r="D924" s="11" t="s">
        <v>1390</v>
      </c>
      <c r="E924" s="11" t="s">
        <v>1062</v>
      </c>
      <c r="F924" s="11" t="s">
        <v>1623</v>
      </c>
      <c r="J924" s="11">
        <v>-17.8616466522216</v>
      </c>
      <c r="K924" s="11">
        <v>-48.3452339172363</v>
      </c>
      <c r="L924" s="11" t="s">
        <v>1390</v>
      </c>
      <c r="M924" s="11" t="s">
        <v>1390</v>
      </c>
      <c r="N924" s="11" t="s">
        <v>1062</v>
      </c>
      <c r="O924" s="11" t="s">
        <v>1623</v>
      </c>
    </row>
    <row r="925">
      <c r="A925" s="11">
        <v>-15.0994625091552</v>
      </c>
      <c r="B925" s="11">
        <v>-47.5578994750976</v>
      </c>
      <c r="C925" s="11" t="s">
        <v>1390</v>
      </c>
      <c r="D925" s="11" t="s">
        <v>1390</v>
      </c>
      <c r="E925" s="11" t="s">
        <v>1062</v>
      </c>
      <c r="F925" s="11" t="s">
        <v>1625</v>
      </c>
      <c r="J925" s="11">
        <v>-8.37156391143798</v>
      </c>
      <c r="K925" s="11">
        <v>-48.8741569519043</v>
      </c>
      <c r="L925" s="11" t="s">
        <v>1390</v>
      </c>
      <c r="M925" s="11" t="s">
        <v>1390</v>
      </c>
      <c r="N925" s="11" t="s">
        <v>1062</v>
      </c>
      <c r="O925" s="11" t="s">
        <v>1625</v>
      </c>
    </row>
    <row r="926">
      <c r="A926" s="11">
        <v>10.1250295639038</v>
      </c>
      <c r="B926" s="11">
        <v>-25.8573951721191</v>
      </c>
      <c r="C926" s="11" t="s">
        <v>1390</v>
      </c>
      <c r="D926" s="11" t="s">
        <v>1390</v>
      </c>
      <c r="E926" s="11" t="s">
        <v>1062</v>
      </c>
      <c r="F926" s="11" t="s">
        <v>1628</v>
      </c>
      <c r="J926" s="11">
        <v>-19.7463035583496</v>
      </c>
      <c r="K926" s="11">
        <v>-52.0010299682617</v>
      </c>
      <c r="L926" s="11" t="s">
        <v>1390</v>
      </c>
      <c r="M926" s="11" t="s">
        <v>1390</v>
      </c>
      <c r="N926" s="11" t="s">
        <v>1062</v>
      </c>
      <c r="O926" s="11" t="s">
        <v>1628</v>
      </c>
    </row>
    <row r="927">
      <c r="A927" s="11">
        <v>3.79014229774475</v>
      </c>
      <c r="B927" s="11">
        <v>-25.3003921508789</v>
      </c>
      <c r="C927" s="11" t="s">
        <v>1390</v>
      </c>
      <c r="D927" s="11" t="s">
        <v>1390</v>
      </c>
      <c r="E927" s="11" t="s">
        <v>1062</v>
      </c>
      <c r="F927" s="11" t="s">
        <v>1630</v>
      </c>
      <c r="J927" s="11">
        <v>-36.6525497436523</v>
      </c>
      <c r="K927" s="11">
        <v>-43.2273063659668</v>
      </c>
      <c r="L927" s="11" t="s">
        <v>1390</v>
      </c>
      <c r="M927" s="11" t="s">
        <v>1390</v>
      </c>
      <c r="N927" s="11" t="s">
        <v>1062</v>
      </c>
      <c r="O927" s="11" t="s">
        <v>1630</v>
      </c>
    </row>
    <row r="928">
      <c r="A928" s="11">
        <v>0.886521220207214</v>
      </c>
      <c r="B928" s="11">
        <v>-26.9438533782959</v>
      </c>
      <c r="C928" s="11" t="s">
        <v>1390</v>
      </c>
      <c r="D928" s="11" t="s">
        <v>1390</v>
      </c>
      <c r="E928" s="11" t="s">
        <v>1062</v>
      </c>
      <c r="F928" s="11" t="s">
        <v>1632</v>
      </c>
      <c r="J928" s="11">
        <v>-23.4119644165039</v>
      </c>
      <c r="K928" s="11">
        <v>-41.205467224121</v>
      </c>
      <c r="L928" s="11" t="s">
        <v>1390</v>
      </c>
      <c r="M928" s="11" t="s">
        <v>1390</v>
      </c>
      <c r="N928" s="11" t="s">
        <v>1062</v>
      </c>
      <c r="O928" s="11" t="s">
        <v>1632</v>
      </c>
    </row>
    <row r="929">
      <c r="A929" s="11">
        <v>-4.10759353637695</v>
      </c>
      <c r="B929" s="11">
        <v>-21.8612403869628</v>
      </c>
      <c r="C929" s="11" t="s">
        <v>1390</v>
      </c>
      <c r="D929" s="11" t="s">
        <v>1390</v>
      </c>
      <c r="E929" s="11" t="s">
        <v>1062</v>
      </c>
      <c r="F929" s="11" t="s">
        <v>1634</v>
      </c>
      <c r="J929" s="11">
        <v>-29.4100666046142</v>
      </c>
      <c r="K929" s="11">
        <v>-44.8643722534179</v>
      </c>
      <c r="L929" s="11" t="s">
        <v>1390</v>
      </c>
      <c r="M929" s="11" t="s">
        <v>1390</v>
      </c>
      <c r="N929" s="11" t="s">
        <v>1062</v>
      </c>
      <c r="O929" s="11" t="s">
        <v>1634</v>
      </c>
    </row>
    <row r="930">
      <c r="A930" s="11">
        <v>-5.85333490371704</v>
      </c>
      <c r="B930" s="11">
        <v>-27.8485832214355</v>
      </c>
      <c r="C930" s="11" t="s">
        <v>1390</v>
      </c>
      <c r="D930" s="11" t="s">
        <v>1390</v>
      </c>
      <c r="E930" s="11" t="s">
        <v>1062</v>
      </c>
      <c r="F930" s="11" t="s">
        <v>1635</v>
      </c>
      <c r="J930" s="11">
        <v>19.4866352081298</v>
      </c>
      <c r="K930" s="11">
        <v>-17.5003185272216</v>
      </c>
      <c r="L930" s="11" t="s">
        <v>1390</v>
      </c>
      <c r="M930" s="11" t="s">
        <v>1390</v>
      </c>
      <c r="N930" s="11" t="s">
        <v>1062</v>
      </c>
      <c r="O930" s="11" t="s">
        <v>1635</v>
      </c>
    </row>
    <row r="931">
      <c r="A931" s="11">
        <v>-14.3371181488037</v>
      </c>
      <c r="B931" s="11">
        <v>-47.0270233154296</v>
      </c>
      <c r="C931" s="11" t="s">
        <v>1390</v>
      </c>
      <c r="D931" s="11" t="s">
        <v>1390</v>
      </c>
      <c r="E931" s="11" t="s">
        <v>1062</v>
      </c>
      <c r="F931" s="11" t="s">
        <v>1637</v>
      </c>
      <c r="J931" s="11">
        <v>-7.89563846588134</v>
      </c>
      <c r="K931" s="11">
        <v>-50.5340156555175</v>
      </c>
      <c r="L931" s="11" t="s">
        <v>1390</v>
      </c>
      <c r="M931" s="11" t="s">
        <v>1390</v>
      </c>
      <c r="N931" s="11" t="s">
        <v>1062</v>
      </c>
      <c r="O931" s="11" t="s">
        <v>1637</v>
      </c>
    </row>
    <row r="932">
      <c r="A932" s="11">
        <v>-31.4506607055664</v>
      </c>
      <c r="B932" s="11">
        <v>-52.5066184997558</v>
      </c>
      <c r="C932" s="11" t="s">
        <v>1390</v>
      </c>
      <c r="D932" s="11" t="s">
        <v>1390</v>
      </c>
      <c r="E932" s="11" t="s">
        <v>1062</v>
      </c>
      <c r="F932" s="11" t="s">
        <v>1640</v>
      </c>
      <c r="J932" s="11">
        <v>-15.7347936630249</v>
      </c>
      <c r="K932" s="11">
        <v>-40.53271484375</v>
      </c>
      <c r="L932" s="11" t="s">
        <v>1390</v>
      </c>
      <c r="M932" s="11" t="s">
        <v>1390</v>
      </c>
      <c r="N932" s="11" t="s">
        <v>1062</v>
      </c>
      <c r="O932" s="11" t="s">
        <v>1640</v>
      </c>
    </row>
    <row r="933">
      <c r="A933" s="11">
        <v>-15.4476070404052</v>
      </c>
      <c r="B933" s="11">
        <v>-58.1701965332031</v>
      </c>
      <c r="C933" s="11" t="s">
        <v>1390</v>
      </c>
      <c r="D933" s="11" t="s">
        <v>1390</v>
      </c>
      <c r="E933" s="11" t="s">
        <v>1062</v>
      </c>
      <c r="F933" s="11" t="s">
        <v>1643</v>
      </c>
      <c r="J933" s="11">
        <v>-20.6811485290527</v>
      </c>
      <c r="K933" s="11">
        <v>-38.1910934448242</v>
      </c>
      <c r="L933" s="11" t="s">
        <v>1390</v>
      </c>
      <c r="M933" s="11" t="s">
        <v>1390</v>
      </c>
      <c r="N933" s="11" t="s">
        <v>1062</v>
      </c>
      <c r="O933" s="11" t="s">
        <v>1643</v>
      </c>
    </row>
    <row r="934">
      <c r="A934" s="11">
        <v>13.3382310867309</v>
      </c>
      <c r="B934" s="11">
        <v>-32.5570564270019</v>
      </c>
      <c r="C934" s="11" t="s">
        <v>1390</v>
      </c>
      <c r="D934" s="11" t="s">
        <v>1390</v>
      </c>
      <c r="E934" s="11" t="s">
        <v>1062</v>
      </c>
      <c r="F934" s="11" t="s">
        <v>1645</v>
      </c>
      <c r="J934" s="11">
        <v>-34.3762397766113</v>
      </c>
      <c r="K934" s="11">
        <v>-54.05220413208</v>
      </c>
      <c r="L934" s="11" t="s">
        <v>1390</v>
      </c>
      <c r="M934" s="11" t="s">
        <v>1390</v>
      </c>
      <c r="N934" s="11" t="s">
        <v>1062</v>
      </c>
      <c r="O934" s="11" t="s">
        <v>1645</v>
      </c>
    </row>
    <row r="935">
      <c r="A935" s="11">
        <v>3.30495595932006</v>
      </c>
      <c r="B935" s="11">
        <v>-30.5850887298584</v>
      </c>
      <c r="C935" s="11" t="s">
        <v>1390</v>
      </c>
      <c r="D935" s="11" t="s">
        <v>1390</v>
      </c>
      <c r="E935" s="11" t="s">
        <v>1062</v>
      </c>
      <c r="F935" s="11" t="s">
        <v>1647</v>
      </c>
      <c r="J935" s="11">
        <v>-32.3499603271484</v>
      </c>
      <c r="K935" s="11">
        <v>-45.119400024414</v>
      </c>
      <c r="L935" s="11" t="s">
        <v>1390</v>
      </c>
      <c r="M935" s="11" t="s">
        <v>1390</v>
      </c>
      <c r="N935" s="11" t="s">
        <v>1062</v>
      </c>
      <c r="O935" s="11" t="s">
        <v>1647</v>
      </c>
    </row>
    <row r="936">
      <c r="A936" s="11">
        <v>22.4491825103759</v>
      </c>
      <c r="B936" s="11">
        <v>-22.7872848510742</v>
      </c>
      <c r="C936" s="11" t="s">
        <v>1390</v>
      </c>
      <c r="D936" s="11" t="s">
        <v>1390</v>
      </c>
      <c r="E936" s="11" t="s">
        <v>1062</v>
      </c>
      <c r="F936" s="11" t="s">
        <v>1649</v>
      </c>
      <c r="J936" s="11">
        <v>-11.7546291351318</v>
      </c>
      <c r="K936" s="11">
        <v>-30.1866874694824</v>
      </c>
      <c r="L936" s="11" t="s">
        <v>1390</v>
      </c>
      <c r="M936" s="11" t="s">
        <v>1390</v>
      </c>
      <c r="N936" s="11" t="s">
        <v>1062</v>
      </c>
      <c r="O936" s="11" t="s">
        <v>1649</v>
      </c>
    </row>
    <row r="937">
      <c r="A937" s="11">
        <v>9.53786659240722</v>
      </c>
      <c r="B937" s="11">
        <v>-30.2260951995849</v>
      </c>
      <c r="C937" s="11" t="s">
        <v>1390</v>
      </c>
      <c r="D937" s="11" t="s">
        <v>1390</v>
      </c>
      <c r="E937" s="11" t="s">
        <v>1062</v>
      </c>
      <c r="F937" s="11" t="s">
        <v>1650</v>
      </c>
      <c r="J937" s="11">
        <v>-27.0152130126953</v>
      </c>
      <c r="K937" s="11">
        <v>-46.41255569458</v>
      </c>
      <c r="L937" s="11" t="s">
        <v>1390</v>
      </c>
      <c r="M937" s="11" t="s">
        <v>1390</v>
      </c>
      <c r="N937" s="11" t="s">
        <v>1062</v>
      </c>
      <c r="O937" s="11" t="s">
        <v>1650</v>
      </c>
    </row>
    <row r="938">
      <c r="A938" s="11">
        <v>-15.4234504699707</v>
      </c>
      <c r="B938" s="11">
        <v>-48.8116455078125</v>
      </c>
      <c r="C938" s="11" t="s">
        <v>1390</v>
      </c>
      <c r="D938" s="11" t="s">
        <v>1390</v>
      </c>
      <c r="E938" s="11" t="s">
        <v>1062</v>
      </c>
      <c r="F938" s="11" t="s">
        <v>1653</v>
      </c>
      <c r="J938" s="11">
        <v>-7.63981628417968</v>
      </c>
      <c r="K938" s="11">
        <v>-49.7277297973632</v>
      </c>
      <c r="L938" s="11" t="s">
        <v>1390</v>
      </c>
      <c r="M938" s="11" t="s">
        <v>1390</v>
      </c>
      <c r="N938" s="11" t="s">
        <v>1062</v>
      </c>
      <c r="O938" s="11" t="s">
        <v>1653</v>
      </c>
    </row>
    <row r="939">
      <c r="A939" s="11">
        <v>-20.1706714630126</v>
      </c>
      <c r="B939" s="11">
        <v>-62.6949768066406</v>
      </c>
      <c r="C939" s="11" t="s">
        <v>1390</v>
      </c>
      <c r="D939" s="11" t="s">
        <v>1390</v>
      </c>
      <c r="E939" s="11" t="s">
        <v>1062</v>
      </c>
      <c r="F939" s="11" t="s">
        <v>1655</v>
      </c>
      <c r="J939" s="11">
        <v>-24.9202976226806</v>
      </c>
      <c r="K939" s="11">
        <v>-35.3764877319335</v>
      </c>
      <c r="L939" s="11" t="s">
        <v>1390</v>
      </c>
      <c r="M939" s="11" t="s">
        <v>1390</v>
      </c>
      <c r="N939" s="11" t="s">
        <v>1062</v>
      </c>
      <c r="O939" s="11" t="s">
        <v>1655</v>
      </c>
    </row>
    <row r="940">
      <c r="A940" s="11">
        <v>-1.28644001483917</v>
      </c>
      <c r="B940" s="11">
        <v>-30.9282608032226</v>
      </c>
      <c r="C940" s="11" t="s">
        <v>1390</v>
      </c>
      <c r="D940" s="11" t="s">
        <v>1390</v>
      </c>
      <c r="E940" s="11" t="s">
        <v>1062</v>
      </c>
      <c r="F940" s="11" t="s">
        <v>1657</v>
      </c>
      <c r="J940" s="11">
        <v>-30.7507953643798</v>
      </c>
      <c r="K940" s="11">
        <v>-44.2330017089843</v>
      </c>
      <c r="L940" s="11" t="s">
        <v>1390</v>
      </c>
      <c r="M940" s="11" t="s">
        <v>1390</v>
      </c>
      <c r="N940" s="11" t="s">
        <v>1062</v>
      </c>
      <c r="O940" s="11" t="s">
        <v>1657</v>
      </c>
    </row>
    <row r="941">
      <c r="A941" s="11">
        <v>19.7214965820312</v>
      </c>
      <c r="B941" s="11">
        <v>-39.8188514709472</v>
      </c>
      <c r="C941" s="11" t="s">
        <v>1390</v>
      </c>
      <c r="D941" s="11" t="s">
        <v>1390</v>
      </c>
      <c r="E941" s="11" t="s">
        <v>1062</v>
      </c>
      <c r="F941" s="11" t="s">
        <v>1659</v>
      </c>
      <c r="J941" s="11">
        <v>-34.4003448486328</v>
      </c>
      <c r="K941" s="11">
        <v>-46.6495361328125</v>
      </c>
      <c r="L941" s="11" t="s">
        <v>1390</v>
      </c>
      <c r="M941" s="11" t="s">
        <v>1390</v>
      </c>
      <c r="N941" s="11" t="s">
        <v>1062</v>
      </c>
      <c r="O941" s="11" t="s">
        <v>1659</v>
      </c>
    </row>
    <row r="942">
      <c r="A942" s="11">
        <v>20.2184391021728</v>
      </c>
      <c r="B942" s="11">
        <v>-33.6880683898925</v>
      </c>
      <c r="C942" s="11" t="s">
        <v>1390</v>
      </c>
      <c r="D942" s="11" t="s">
        <v>1390</v>
      </c>
      <c r="E942" s="11" t="s">
        <v>1062</v>
      </c>
      <c r="F942" s="11" t="s">
        <v>1661</v>
      </c>
      <c r="J942" s="11">
        <v>-35.8530845642089</v>
      </c>
      <c r="K942" s="11">
        <v>-47.5786552429199</v>
      </c>
      <c r="L942" s="11" t="s">
        <v>1390</v>
      </c>
      <c r="M942" s="11" t="s">
        <v>1390</v>
      </c>
      <c r="N942" s="11" t="s">
        <v>1062</v>
      </c>
      <c r="O942" s="11" t="s">
        <v>1661</v>
      </c>
    </row>
    <row r="943">
      <c r="A943" s="11">
        <v>10.5593957901</v>
      </c>
      <c r="B943" s="11">
        <v>-22.4796352386474</v>
      </c>
      <c r="C943" s="11" t="s">
        <v>1390</v>
      </c>
      <c r="D943" s="11" t="s">
        <v>1390</v>
      </c>
      <c r="E943" s="11" t="s">
        <v>1062</v>
      </c>
      <c r="F943" s="11" t="s">
        <v>1663</v>
      </c>
      <c r="J943" s="11">
        <v>-9.60761833190918</v>
      </c>
      <c r="K943" s="11">
        <v>-30.6454372406005</v>
      </c>
      <c r="L943" s="11" t="s">
        <v>1390</v>
      </c>
      <c r="M943" s="11" t="s">
        <v>1390</v>
      </c>
      <c r="N943" s="11" t="s">
        <v>1062</v>
      </c>
      <c r="O943" s="11" t="s">
        <v>1663</v>
      </c>
    </row>
    <row r="944">
      <c r="A944" s="11">
        <v>-0.672566652297973</v>
      </c>
      <c r="B944" s="11">
        <v>-28.896291732788</v>
      </c>
      <c r="C944" s="11" t="s">
        <v>1390</v>
      </c>
      <c r="D944" s="11" t="s">
        <v>1390</v>
      </c>
      <c r="E944" s="11" t="s">
        <v>1062</v>
      </c>
      <c r="F944" s="11" t="s">
        <v>1665</v>
      </c>
      <c r="J944" s="11">
        <v>-40.0298500061035</v>
      </c>
      <c r="K944" s="11">
        <v>-41.8723030090332</v>
      </c>
      <c r="L944" s="11" t="s">
        <v>1390</v>
      </c>
      <c r="M944" s="11" t="s">
        <v>1390</v>
      </c>
      <c r="N944" s="11" t="s">
        <v>1062</v>
      </c>
      <c r="O944" s="11" t="s">
        <v>1665</v>
      </c>
    </row>
    <row r="945">
      <c r="A945" s="11">
        <v>18.1358375549316</v>
      </c>
      <c r="B945" s="11">
        <v>-28.6116142272949</v>
      </c>
      <c r="C945" s="11" t="s">
        <v>1390</v>
      </c>
      <c r="D945" s="11" t="s">
        <v>1390</v>
      </c>
      <c r="E945" s="11" t="s">
        <v>1062</v>
      </c>
      <c r="F945" s="11" t="s">
        <v>1667</v>
      </c>
      <c r="J945" s="11">
        <v>-23.2412910461425</v>
      </c>
      <c r="K945" s="11">
        <v>-51.4461822509765</v>
      </c>
      <c r="L945" s="11" t="s">
        <v>1390</v>
      </c>
      <c r="M945" s="11" t="s">
        <v>1390</v>
      </c>
      <c r="N945" s="11" t="s">
        <v>1062</v>
      </c>
      <c r="O945" s="11" t="s">
        <v>1667</v>
      </c>
    </row>
    <row r="946">
      <c r="A946" s="11">
        <v>14.1908359527587</v>
      </c>
      <c r="B946" s="11">
        <v>-38.0366439819335</v>
      </c>
      <c r="C946" s="11" t="s">
        <v>1390</v>
      </c>
      <c r="D946" s="11" t="s">
        <v>1390</v>
      </c>
      <c r="E946" s="11" t="s">
        <v>1062</v>
      </c>
      <c r="F946" s="11" t="s">
        <v>1668</v>
      </c>
      <c r="J946" s="11">
        <v>-40.3006706237793</v>
      </c>
      <c r="K946" s="11">
        <v>-45.5280838012695</v>
      </c>
      <c r="L946" s="11" t="s">
        <v>1390</v>
      </c>
      <c r="M946" s="11" t="s">
        <v>1390</v>
      </c>
      <c r="N946" s="11" t="s">
        <v>1062</v>
      </c>
      <c r="O946" s="11" t="s">
        <v>1668</v>
      </c>
    </row>
    <row r="947">
      <c r="A947" s="11">
        <v>-1.75353193283081</v>
      </c>
      <c r="B947" s="11">
        <v>-19.399580001831</v>
      </c>
      <c r="C947" s="11" t="s">
        <v>1390</v>
      </c>
      <c r="D947" s="11" t="s">
        <v>1390</v>
      </c>
      <c r="E947" s="11" t="s">
        <v>1062</v>
      </c>
      <c r="F947" s="11" t="s">
        <v>1670</v>
      </c>
      <c r="J947" s="11">
        <v>-21.024953842163</v>
      </c>
      <c r="K947" s="11">
        <v>-41.1609497070312</v>
      </c>
      <c r="L947" s="11" t="s">
        <v>1390</v>
      </c>
      <c r="M947" s="11" t="s">
        <v>1390</v>
      </c>
      <c r="N947" s="11" t="s">
        <v>1062</v>
      </c>
      <c r="O947" s="11" t="s">
        <v>1670</v>
      </c>
    </row>
    <row r="948">
      <c r="A948" s="11">
        <v>-17.111213684082</v>
      </c>
      <c r="B948" s="11">
        <v>-24.9133110046386</v>
      </c>
      <c r="C948" s="11" t="s">
        <v>1390</v>
      </c>
      <c r="D948" s="11" t="s">
        <v>1390</v>
      </c>
      <c r="E948" s="11" t="s">
        <v>1062</v>
      </c>
      <c r="F948" s="11" t="s">
        <v>1672</v>
      </c>
      <c r="J948" s="11">
        <v>-16.4709663391113</v>
      </c>
      <c r="K948" s="11">
        <v>-48.0364837646484</v>
      </c>
      <c r="L948" s="11" t="s">
        <v>1390</v>
      </c>
      <c r="M948" s="11" t="s">
        <v>1390</v>
      </c>
      <c r="N948" s="11" t="s">
        <v>1062</v>
      </c>
      <c r="O948" s="11" t="s">
        <v>1672</v>
      </c>
    </row>
    <row r="949">
      <c r="A949" s="11">
        <v>13.826807975769</v>
      </c>
      <c r="B949" s="11">
        <v>-31.3288021087646</v>
      </c>
      <c r="C949" s="11" t="s">
        <v>1390</v>
      </c>
      <c r="D949" s="11" t="s">
        <v>1390</v>
      </c>
      <c r="E949" s="11" t="s">
        <v>1062</v>
      </c>
      <c r="F949" s="11" t="s">
        <v>1674</v>
      </c>
      <c r="J949" s="11">
        <v>-48.8878707885742</v>
      </c>
      <c r="K949" s="11">
        <v>9.83554172515869</v>
      </c>
      <c r="L949" s="11" t="s">
        <v>1390</v>
      </c>
      <c r="M949" s="11" t="s">
        <v>1390</v>
      </c>
      <c r="N949" s="11" t="s">
        <v>1062</v>
      </c>
      <c r="O949" s="11" t="s">
        <v>1674</v>
      </c>
    </row>
    <row r="950">
      <c r="A950" s="11">
        <v>18.1358375549316</v>
      </c>
      <c r="B950" s="11">
        <v>-28.6116142272949</v>
      </c>
      <c r="C950" s="11" t="s">
        <v>1390</v>
      </c>
      <c r="D950" s="11" t="s">
        <v>1390</v>
      </c>
      <c r="E950" s="11" t="s">
        <v>1062</v>
      </c>
      <c r="F950" s="11" t="s">
        <v>1676</v>
      </c>
      <c r="J950" s="11">
        <v>-23.2407264709472</v>
      </c>
      <c r="K950" s="11">
        <v>-51.4441947937011</v>
      </c>
      <c r="L950" s="11" t="s">
        <v>1390</v>
      </c>
      <c r="M950" s="11" t="s">
        <v>1390</v>
      </c>
      <c r="N950" s="11" t="s">
        <v>1062</v>
      </c>
      <c r="O950" s="11" t="s">
        <v>1676</v>
      </c>
    </row>
    <row r="951">
      <c r="A951" s="11">
        <v>-21.1008052825927</v>
      </c>
      <c r="B951" s="11">
        <v>-44.5745620727539</v>
      </c>
      <c r="C951" s="11" t="s">
        <v>1390</v>
      </c>
      <c r="D951" s="11" t="s">
        <v>1390</v>
      </c>
      <c r="E951" s="11" t="s">
        <v>1062</v>
      </c>
      <c r="F951" s="11" t="s">
        <v>1678</v>
      </c>
      <c r="J951" s="11">
        <v>-4.14909648895263</v>
      </c>
      <c r="K951" s="11">
        <v>-45.799949645996</v>
      </c>
      <c r="L951" s="11" t="s">
        <v>1390</v>
      </c>
      <c r="M951" s="11" t="s">
        <v>1390</v>
      </c>
      <c r="N951" s="11" t="s">
        <v>1062</v>
      </c>
      <c r="O951" s="11" t="s">
        <v>1678</v>
      </c>
    </row>
    <row r="952">
      <c r="A952" s="11">
        <v>-0.0217344965785741</v>
      </c>
      <c r="B952" s="11">
        <v>-24.8928413391113</v>
      </c>
      <c r="C952" s="11" t="s">
        <v>1390</v>
      </c>
      <c r="D952" s="11" t="s">
        <v>1390</v>
      </c>
      <c r="E952" s="11" t="s">
        <v>1062</v>
      </c>
      <c r="F952" s="11" t="s">
        <v>1680</v>
      </c>
      <c r="J952" s="11">
        <v>-39.5555000305175</v>
      </c>
      <c r="K952" s="11">
        <v>-48.6350440979003</v>
      </c>
      <c r="L952" s="11" t="s">
        <v>1390</v>
      </c>
      <c r="M952" s="11" t="s">
        <v>1390</v>
      </c>
      <c r="N952" s="11" t="s">
        <v>1062</v>
      </c>
      <c r="O952" s="11" t="s">
        <v>1680</v>
      </c>
    </row>
    <row r="953">
      <c r="A953" s="11">
        <v>-6.44767236709594</v>
      </c>
      <c r="B953" s="11">
        <v>-20.8152751922607</v>
      </c>
      <c r="C953" s="11" t="s">
        <v>1390</v>
      </c>
      <c r="D953" s="11" t="s">
        <v>1390</v>
      </c>
      <c r="E953" s="11" t="s">
        <v>1062</v>
      </c>
      <c r="F953" s="11" t="s">
        <v>1681</v>
      </c>
      <c r="J953" s="11">
        <v>-25.5327854156494</v>
      </c>
      <c r="K953" s="11">
        <v>-55.7354507446289</v>
      </c>
      <c r="L953" s="11" t="s">
        <v>1390</v>
      </c>
      <c r="M953" s="11" t="s">
        <v>1390</v>
      </c>
      <c r="N953" s="11" t="s">
        <v>1062</v>
      </c>
      <c r="O953" s="11" t="s">
        <v>1681</v>
      </c>
    </row>
    <row r="954">
      <c r="A954" s="11">
        <v>-24.0475940704345</v>
      </c>
      <c r="B954" s="11">
        <v>-22.2794094085693</v>
      </c>
      <c r="C954" s="11" t="s">
        <v>1390</v>
      </c>
      <c r="D954" s="11" t="s">
        <v>1390</v>
      </c>
      <c r="E954" s="11" t="s">
        <v>1062</v>
      </c>
      <c r="F954" s="11" t="s">
        <v>1683</v>
      </c>
      <c r="J954" s="11">
        <v>-19.4358177185058</v>
      </c>
      <c r="K954" s="11">
        <v>-46.9097442626953</v>
      </c>
      <c r="L954" s="11" t="s">
        <v>1390</v>
      </c>
      <c r="M954" s="11" t="s">
        <v>1390</v>
      </c>
      <c r="N954" s="11" t="s">
        <v>1062</v>
      </c>
      <c r="O954" s="11" t="s">
        <v>1683</v>
      </c>
    </row>
    <row r="955">
      <c r="A955" s="11">
        <v>5.56034278869628</v>
      </c>
      <c r="B955" s="11">
        <v>-28.6289539337158</v>
      </c>
      <c r="C955" s="11" t="s">
        <v>1390</v>
      </c>
      <c r="D955" s="11" t="s">
        <v>1390</v>
      </c>
      <c r="E955" s="11" t="s">
        <v>1062</v>
      </c>
      <c r="F955" s="11" t="s">
        <v>1685</v>
      </c>
      <c r="J955" s="11">
        <v>-29.3500595092773</v>
      </c>
      <c r="K955" s="11">
        <v>-31.3377971649169</v>
      </c>
      <c r="L955" s="11" t="s">
        <v>1390</v>
      </c>
      <c r="M955" s="11" t="s">
        <v>1390</v>
      </c>
      <c r="N955" s="11" t="s">
        <v>1062</v>
      </c>
      <c r="O955" s="11" t="s">
        <v>1685</v>
      </c>
    </row>
    <row r="956">
      <c r="A956" s="11">
        <v>-1.880291223526</v>
      </c>
      <c r="B956" s="11">
        <v>-23.1567859649658</v>
      </c>
      <c r="C956" s="11" t="s">
        <v>1390</v>
      </c>
      <c r="D956" s="11" t="s">
        <v>1390</v>
      </c>
      <c r="E956" s="11" t="s">
        <v>1062</v>
      </c>
      <c r="F956" s="11" t="s">
        <v>1687</v>
      </c>
      <c r="J956" s="11">
        <v>-8.2763090133667</v>
      </c>
      <c r="K956" s="11">
        <v>-35.9941520690918</v>
      </c>
      <c r="L956" s="11" t="s">
        <v>1390</v>
      </c>
      <c r="M956" s="11" t="s">
        <v>1390</v>
      </c>
      <c r="N956" s="11" t="s">
        <v>1062</v>
      </c>
      <c r="O956" s="11" t="s">
        <v>1687</v>
      </c>
    </row>
    <row r="957">
      <c r="A957" s="11">
        <v>3.29566431045532</v>
      </c>
      <c r="B957" s="11">
        <v>-26.0660648345947</v>
      </c>
      <c r="C957" s="11" t="s">
        <v>1390</v>
      </c>
      <c r="D957" s="11" t="s">
        <v>1390</v>
      </c>
      <c r="E957" s="11" t="s">
        <v>1062</v>
      </c>
      <c r="F957" s="11" t="s">
        <v>1689</v>
      </c>
      <c r="J957" s="11">
        <v>-37.1597023010253</v>
      </c>
      <c r="K957" s="11">
        <v>-42.6718444824218</v>
      </c>
      <c r="L957" s="11" t="s">
        <v>1390</v>
      </c>
      <c r="M957" s="11" t="s">
        <v>1390</v>
      </c>
      <c r="N957" s="11" t="s">
        <v>1062</v>
      </c>
      <c r="O957" s="11" t="s">
        <v>1689</v>
      </c>
    </row>
    <row r="958">
      <c r="A958" s="11">
        <v>-26.9444828033447</v>
      </c>
      <c r="B958" s="11">
        <v>-55.6118850708007</v>
      </c>
      <c r="C958" s="11" t="s">
        <v>1390</v>
      </c>
      <c r="D958" s="11" t="s">
        <v>1390</v>
      </c>
      <c r="E958" s="11" t="s">
        <v>1062</v>
      </c>
      <c r="F958" s="11" t="s">
        <v>1691</v>
      </c>
      <c r="J958" s="11">
        <v>-11.4095821380615</v>
      </c>
      <c r="K958" s="11">
        <v>-45.1121368408203</v>
      </c>
      <c r="L958" s="11" t="s">
        <v>1390</v>
      </c>
      <c r="M958" s="11" t="s">
        <v>1390</v>
      </c>
      <c r="N958" s="11" t="s">
        <v>1062</v>
      </c>
      <c r="O958" s="11" t="s">
        <v>1691</v>
      </c>
    </row>
    <row r="959">
      <c r="A959" s="11">
        <v>-14.134202003479</v>
      </c>
      <c r="B959" s="11">
        <v>-47.8953132629394</v>
      </c>
      <c r="C959" s="11" t="s">
        <v>1390</v>
      </c>
      <c r="D959" s="11" t="s">
        <v>1390</v>
      </c>
      <c r="E959" s="11" t="s">
        <v>1062</v>
      </c>
      <c r="F959" s="11" t="s">
        <v>1693</v>
      </c>
      <c r="J959" s="11">
        <v>-7.63981628417968</v>
      </c>
      <c r="K959" s="11">
        <v>-49.7277297973632</v>
      </c>
      <c r="L959" s="11" t="s">
        <v>1390</v>
      </c>
      <c r="M959" s="11" t="s">
        <v>1390</v>
      </c>
      <c r="N959" s="11" t="s">
        <v>1062</v>
      </c>
      <c r="O959" s="11" t="s">
        <v>1693</v>
      </c>
    </row>
    <row r="960">
      <c r="A960" s="11">
        <v>-20.6133060455322</v>
      </c>
      <c r="B960" s="11">
        <v>-64.0220031738281</v>
      </c>
      <c r="C960" s="11" t="s">
        <v>1390</v>
      </c>
      <c r="D960" s="11" t="s">
        <v>1390</v>
      </c>
      <c r="E960" s="11" t="s">
        <v>1062</v>
      </c>
      <c r="F960" s="11" t="s">
        <v>1695</v>
      </c>
      <c r="J960" s="11">
        <v>-24.0500030517578</v>
      </c>
      <c r="K960" s="11">
        <v>-35.1052284240722</v>
      </c>
      <c r="L960" s="11" t="s">
        <v>1390</v>
      </c>
      <c r="M960" s="11" t="s">
        <v>1390</v>
      </c>
      <c r="N960" s="11" t="s">
        <v>1062</v>
      </c>
      <c r="O960" s="11" t="s">
        <v>1695</v>
      </c>
    </row>
    <row r="961">
      <c r="A961" s="11">
        <v>13.0282258987426</v>
      </c>
      <c r="B961" s="11">
        <v>-38.6971015930175</v>
      </c>
      <c r="C961" s="11" t="s">
        <v>1390</v>
      </c>
      <c r="D961" s="11" t="s">
        <v>1390</v>
      </c>
      <c r="E961" s="11" t="s">
        <v>1062</v>
      </c>
      <c r="F961" s="11" t="s">
        <v>1697</v>
      </c>
      <c r="J961" s="11">
        <v>-43.212890625</v>
      </c>
      <c r="K961" s="11">
        <v>-45.3864631652832</v>
      </c>
      <c r="L961" s="11" t="s">
        <v>1390</v>
      </c>
      <c r="M961" s="11" t="s">
        <v>1390</v>
      </c>
      <c r="N961" s="11" t="s">
        <v>1062</v>
      </c>
      <c r="O961" s="11" t="s">
        <v>1697</v>
      </c>
    </row>
    <row r="962">
      <c r="A962" s="11">
        <v>17.9950447082519</v>
      </c>
      <c r="B962" s="11">
        <v>-35.9478607177734</v>
      </c>
      <c r="C962" s="11" t="s">
        <v>1390</v>
      </c>
      <c r="D962" s="11" t="s">
        <v>1390</v>
      </c>
      <c r="E962" s="11" t="s">
        <v>1062</v>
      </c>
      <c r="F962" s="11" t="s">
        <v>1699</v>
      </c>
      <c r="J962" s="11">
        <v>-36.5372428894043</v>
      </c>
      <c r="K962" s="11">
        <v>-49.2369499206543</v>
      </c>
      <c r="L962" s="11" t="s">
        <v>1390</v>
      </c>
      <c r="M962" s="11" t="s">
        <v>1390</v>
      </c>
      <c r="N962" s="11" t="s">
        <v>1062</v>
      </c>
      <c r="O962" s="11" t="s">
        <v>1699</v>
      </c>
    </row>
    <row r="963">
      <c r="A963" s="11">
        <v>-24.0475940704345</v>
      </c>
      <c r="B963" s="11">
        <v>-22.2794094085693</v>
      </c>
      <c r="C963" s="11" t="s">
        <v>1390</v>
      </c>
      <c r="D963" s="11" t="s">
        <v>1390</v>
      </c>
      <c r="E963" s="11" t="s">
        <v>1062</v>
      </c>
      <c r="F963" s="11" t="s">
        <v>1701</v>
      </c>
      <c r="J963" s="11">
        <v>-19.4358177185058</v>
      </c>
      <c r="K963" s="11">
        <v>-46.9097442626953</v>
      </c>
      <c r="L963" s="11" t="s">
        <v>1390</v>
      </c>
      <c r="M963" s="11" t="s">
        <v>1390</v>
      </c>
      <c r="N963" s="11" t="s">
        <v>1062</v>
      </c>
      <c r="O963" s="11" t="s">
        <v>1701</v>
      </c>
    </row>
    <row r="964">
      <c r="A964" s="11">
        <v>-23.9391384124755</v>
      </c>
      <c r="B964" s="11">
        <v>-26.6093521118164</v>
      </c>
      <c r="C964" s="11" t="s">
        <v>1390</v>
      </c>
      <c r="D964" s="11" t="s">
        <v>1390</v>
      </c>
      <c r="E964" s="11" t="s">
        <v>1062</v>
      </c>
      <c r="F964" s="11" t="s">
        <v>1703</v>
      </c>
      <c r="J964" s="11">
        <v>-10.1694612503051</v>
      </c>
      <c r="K964" s="11">
        <v>-41.9542274475097</v>
      </c>
      <c r="L964" s="11" t="s">
        <v>1390</v>
      </c>
      <c r="M964" s="11" t="s">
        <v>1390</v>
      </c>
      <c r="N964" s="11" t="s">
        <v>1062</v>
      </c>
      <c r="O964" s="11" t="s">
        <v>1703</v>
      </c>
    </row>
    <row r="965">
      <c r="A965" s="11">
        <v>13.1881685256958</v>
      </c>
      <c r="B965" s="11">
        <v>-39.7499389648437</v>
      </c>
      <c r="C965" s="11" t="s">
        <v>1390</v>
      </c>
      <c r="D965" s="11" t="s">
        <v>1390</v>
      </c>
      <c r="E965" s="11" t="s">
        <v>1062</v>
      </c>
      <c r="F965" s="11" t="s">
        <v>1705</v>
      </c>
      <c r="J965" s="11">
        <v>-42.3654289245605</v>
      </c>
      <c r="K965" s="11">
        <v>-45.5523033142089</v>
      </c>
      <c r="L965" s="11" t="s">
        <v>1390</v>
      </c>
      <c r="M965" s="11" t="s">
        <v>1390</v>
      </c>
      <c r="N965" s="11" t="s">
        <v>1062</v>
      </c>
      <c r="O965" s="11" t="s">
        <v>1705</v>
      </c>
    </row>
    <row r="966">
      <c r="A966" s="11">
        <v>-5.54186010360717</v>
      </c>
      <c r="B966" s="11">
        <v>-47.1192016601562</v>
      </c>
      <c r="C966" s="11" t="s">
        <v>1390</v>
      </c>
      <c r="D966" s="11" t="s">
        <v>1390</v>
      </c>
      <c r="E966" s="11" t="s">
        <v>1062</v>
      </c>
      <c r="F966" s="11" t="s">
        <v>1707</v>
      </c>
      <c r="J966" s="11">
        <v>-36.2427558898925</v>
      </c>
      <c r="K966" s="11">
        <v>-38.9591941833496</v>
      </c>
      <c r="L966" s="11" t="s">
        <v>1390</v>
      </c>
      <c r="M966" s="11" t="s">
        <v>1390</v>
      </c>
      <c r="N966" s="11" t="s">
        <v>1062</v>
      </c>
      <c r="O966" s="11" t="s">
        <v>1707</v>
      </c>
    </row>
    <row r="967">
      <c r="A967" s="11">
        <v>19.9169597625732</v>
      </c>
      <c r="B967" s="11">
        <v>9.88691329956054</v>
      </c>
      <c r="C967" s="11" t="s">
        <v>1390</v>
      </c>
      <c r="D967" s="11" t="s">
        <v>1390</v>
      </c>
      <c r="E967" s="11" t="s">
        <v>1062</v>
      </c>
      <c r="F967" s="11" t="s">
        <v>1709</v>
      </c>
      <c r="J967" s="11">
        <v>10.7898225784301</v>
      </c>
      <c r="K967" s="11">
        <v>-15.7078828811645</v>
      </c>
      <c r="L967" s="11" t="s">
        <v>1390</v>
      </c>
      <c r="M967" s="11" t="s">
        <v>1390</v>
      </c>
      <c r="N967" s="11" t="s">
        <v>1062</v>
      </c>
      <c r="O967" s="11" t="s">
        <v>1709</v>
      </c>
    </row>
    <row r="968">
      <c r="A968" s="11">
        <v>-19.7108287811279</v>
      </c>
      <c r="B968" s="11">
        <v>-43.8860397338867</v>
      </c>
      <c r="C968" s="11" t="s">
        <v>1390</v>
      </c>
      <c r="D968" s="11" t="s">
        <v>1390</v>
      </c>
      <c r="E968" s="11" t="s">
        <v>1062</v>
      </c>
      <c r="F968" s="11" t="s">
        <v>1711</v>
      </c>
      <c r="J968" s="11">
        <v>-5.14730358123779</v>
      </c>
      <c r="K968" s="11">
        <v>-45.8296318054199</v>
      </c>
      <c r="L968" s="11" t="s">
        <v>1390</v>
      </c>
      <c r="M968" s="11" t="s">
        <v>1390</v>
      </c>
      <c r="N968" s="11" t="s">
        <v>1062</v>
      </c>
      <c r="O968" s="11" t="s">
        <v>1711</v>
      </c>
    </row>
    <row r="969">
      <c r="A969" s="11">
        <v>-11.0871286392211</v>
      </c>
      <c r="B969" s="11">
        <v>-32.9311599731445</v>
      </c>
      <c r="C969" s="11" t="s">
        <v>1390</v>
      </c>
      <c r="D969" s="11" t="s">
        <v>1390</v>
      </c>
      <c r="E969" s="11" t="s">
        <v>1062</v>
      </c>
      <c r="F969" s="11" t="s">
        <v>1713</v>
      </c>
      <c r="J969" s="11">
        <v>14.7470979690551</v>
      </c>
      <c r="K969" s="11">
        <v>-17.5915718078613</v>
      </c>
      <c r="L969" s="11" t="s">
        <v>1390</v>
      </c>
      <c r="M969" s="11" t="s">
        <v>1390</v>
      </c>
      <c r="N969" s="11" t="s">
        <v>1062</v>
      </c>
      <c r="O969" s="11" t="s">
        <v>1713</v>
      </c>
    </row>
    <row r="970">
      <c r="A970" s="11">
        <v>3.97155141830444</v>
      </c>
      <c r="B970" s="11">
        <v>-28.4775981903076</v>
      </c>
      <c r="C970" s="11" t="s">
        <v>1390</v>
      </c>
      <c r="D970" s="11" t="s">
        <v>1390</v>
      </c>
      <c r="E970" s="11" t="s">
        <v>1062</v>
      </c>
      <c r="F970" s="11" t="s">
        <v>1715</v>
      </c>
      <c r="J970" s="11">
        <v>-27.1501235961914</v>
      </c>
      <c r="K970" s="11">
        <v>-38.5962486267089</v>
      </c>
      <c r="L970" s="11" t="s">
        <v>1390</v>
      </c>
      <c r="M970" s="11" t="s">
        <v>1390</v>
      </c>
      <c r="N970" s="11" t="s">
        <v>1062</v>
      </c>
      <c r="O970" s="11" t="s">
        <v>1715</v>
      </c>
    </row>
    <row r="971">
      <c r="A971" s="11">
        <v>-15.7057409286499</v>
      </c>
      <c r="B971" s="11">
        <v>-59.3777351379394</v>
      </c>
      <c r="C971" s="11" t="s">
        <v>1390</v>
      </c>
      <c r="D971" s="11" t="s">
        <v>1390</v>
      </c>
      <c r="E971" s="11" t="s">
        <v>1062</v>
      </c>
      <c r="F971" s="11" t="s">
        <v>1717</v>
      </c>
      <c r="J971" s="11">
        <v>-19.7284984588623</v>
      </c>
      <c r="K971" s="11">
        <v>-37.5278091430664</v>
      </c>
      <c r="L971" s="11" t="s">
        <v>1390</v>
      </c>
      <c r="M971" s="11" t="s">
        <v>1390</v>
      </c>
      <c r="N971" s="11" t="s">
        <v>1062</v>
      </c>
      <c r="O971" s="11" t="s">
        <v>1717</v>
      </c>
    </row>
    <row r="972">
      <c r="A972" s="11">
        <v>9.07490634918212</v>
      </c>
      <c r="B972" s="11">
        <v>-33.0521507263183</v>
      </c>
      <c r="C972" s="11" t="s">
        <v>1390</v>
      </c>
      <c r="D972" s="11" t="s">
        <v>1390</v>
      </c>
      <c r="E972" s="11" t="s">
        <v>1062</v>
      </c>
      <c r="F972" s="11" t="s">
        <v>1719</v>
      </c>
      <c r="J972" s="11">
        <v>-32.4297485351562</v>
      </c>
      <c r="K972" s="11">
        <v>-49.5859985351562</v>
      </c>
      <c r="L972" s="11" t="s">
        <v>1390</v>
      </c>
      <c r="M972" s="11" t="s">
        <v>1390</v>
      </c>
      <c r="N972" s="11" t="s">
        <v>1062</v>
      </c>
      <c r="O972" s="11" t="s">
        <v>1719</v>
      </c>
    </row>
    <row r="973">
      <c r="A973" s="11">
        <v>13.1881685256958</v>
      </c>
      <c r="B973" s="11">
        <v>-39.7499389648437</v>
      </c>
      <c r="C973" s="11" t="s">
        <v>1390</v>
      </c>
      <c r="D973" s="11" t="s">
        <v>1390</v>
      </c>
      <c r="E973" s="11" t="s">
        <v>1062</v>
      </c>
      <c r="F973" s="11" t="s">
        <v>1724</v>
      </c>
      <c r="J973" s="11">
        <v>-42.7416915893554</v>
      </c>
      <c r="K973" s="11">
        <v>-45.8639411926269</v>
      </c>
      <c r="L973" s="11" t="s">
        <v>1390</v>
      </c>
      <c r="M973" s="11" t="s">
        <v>1390</v>
      </c>
      <c r="N973" s="11" t="s">
        <v>1062</v>
      </c>
      <c r="O973" s="11" t="s">
        <v>1724</v>
      </c>
    </row>
    <row r="974">
      <c r="A974" s="11">
        <v>13.0733928680419</v>
      </c>
      <c r="B974" s="11">
        <v>-32.9516792297363</v>
      </c>
      <c r="C974" s="11" t="s">
        <v>1390</v>
      </c>
      <c r="D974" s="11" t="s">
        <v>1390</v>
      </c>
      <c r="E974" s="11" t="s">
        <v>1062</v>
      </c>
      <c r="F974" s="11" t="s">
        <v>1727</v>
      </c>
      <c r="J974" s="11">
        <v>-34.3612327575683</v>
      </c>
      <c r="K974" s="11">
        <v>-54.0478134155273</v>
      </c>
      <c r="L974" s="11" t="s">
        <v>1390</v>
      </c>
      <c r="M974" s="11" t="s">
        <v>1390</v>
      </c>
      <c r="N974" s="11" t="s">
        <v>1062</v>
      </c>
      <c r="O974" s="11" t="s">
        <v>1727</v>
      </c>
    </row>
    <row r="975">
      <c r="A975" s="11">
        <v>-13.3918886184692</v>
      </c>
      <c r="B975" s="11">
        <v>-41.0770835876464</v>
      </c>
      <c r="C975" s="11" t="s">
        <v>1390</v>
      </c>
      <c r="D975" s="11" t="s">
        <v>1390</v>
      </c>
      <c r="E975" s="11" t="s">
        <v>1062</v>
      </c>
      <c r="F975" s="11" t="s">
        <v>1729</v>
      </c>
      <c r="J975" s="11">
        <v>-30.0352230072021</v>
      </c>
      <c r="K975" s="11">
        <v>-35.5927581787109</v>
      </c>
      <c r="L975" s="11" t="s">
        <v>1390</v>
      </c>
      <c r="M975" s="11" t="s">
        <v>1390</v>
      </c>
      <c r="N975" s="11" t="s">
        <v>1062</v>
      </c>
      <c r="O975" s="11" t="s">
        <v>1729</v>
      </c>
    </row>
    <row r="976">
      <c r="A976" s="11">
        <v>1.49833011627197</v>
      </c>
      <c r="B976" s="11">
        <v>-39.7791290283203</v>
      </c>
      <c r="C976" s="11" t="s">
        <v>1390</v>
      </c>
      <c r="D976" s="11" t="s">
        <v>1390</v>
      </c>
      <c r="E976" s="11" t="s">
        <v>1062</v>
      </c>
      <c r="F976" s="11" t="s">
        <v>1732</v>
      </c>
      <c r="J976" s="11">
        <v>-33.9225807189941</v>
      </c>
      <c r="K976" s="11">
        <v>-41.1673278808593</v>
      </c>
      <c r="L976" s="11" t="s">
        <v>1390</v>
      </c>
      <c r="M976" s="11" t="s">
        <v>1390</v>
      </c>
      <c r="N976" s="11" t="s">
        <v>1062</v>
      </c>
      <c r="O976" s="11" t="s">
        <v>1732</v>
      </c>
    </row>
    <row r="977">
      <c r="A977" s="11">
        <v>19.7663516998291</v>
      </c>
      <c r="B977" s="11">
        <v>-39.7490768432617</v>
      </c>
      <c r="C977" s="11" t="s">
        <v>1390</v>
      </c>
      <c r="D977" s="11" t="s">
        <v>1390</v>
      </c>
      <c r="E977" s="11" t="s">
        <v>1062</v>
      </c>
      <c r="F977" s="11" t="s">
        <v>1734</v>
      </c>
      <c r="J977" s="11">
        <v>-34.3089523315429</v>
      </c>
      <c r="K977" s="11">
        <v>-46.7164001464843</v>
      </c>
      <c r="L977" s="11" t="s">
        <v>1390</v>
      </c>
      <c r="M977" s="11" t="s">
        <v>1390</v>
      </c>
      <c r="N977" s="11" t="s">
        <v>1062</v>
      </c>
      <c r="O977" s="11" t="s">
        <v>1734</v>
      </c>
    </row>
    <row r="978">
      <c r="A978" s="11">
        <v>3.66072225570678</v>
      </c>
      <c r="B978" s="11">
        <v>-33.1245536804199</v>
      </c>
      <c r="C978" s="11" t="s">
        <v>1390</v>
      </c>
      <c r="D978" s="11" t="s">
        <v>1390</v>
      </c>
      <c r="E978" s="11" t="s">
        <v>1062</v>
      </c>
      <c r="F978" s="11" t="s">
        <v>1736</v>
      </c>
      <c r="J978" s="11">
        <v>-27.4654026031494</v>
      </c>
      <c r="K978" s="11">
        <v>-44.3625030517578</v>
      </c>
      <c r="L978" s="11" t="s">
        <v>1390</v>
      </c>
      <c r="M978" s="11" t="s">
        <v>1390</v>
      </c>
      <c r="N978" s="11" t="s">
        <v>1062</v>
      </c>
      <c r="O978" s="11" t="s">
        <v>1736</v>
      </c>
    </row>
    <row r="979">
      <c r="A979" s="11">
        <v>-5.62902975082397</v>
      </c>
      <c r="B979" s="11">
        <v>-34.0652465820312</v>
      </c>
      <c r="C979" s="11" t="s">
        <v>1390</v>
      </c>
      <c r="D979" s="11" t="s">
        <v>1390</v>
      </c>
      <c r="E979" s="11" t="s">
        <v>1062</v>
      </c>
      <c r="F979" s="11" t="s">
        <v>1739</v>
      </c>
      <c r="J979" s="11">
        <v>-34.0235595703125</v>
      </c>
      <c r="K979" s="11">
        <v>-35.1509590148925</v>
      </c>
      <c r="L979" s="11" t="s">
        <v>1390</v>
      </c>
      <c r="M979" s="11" t="s">
        <v>1390</v>
      </c>
      <c r="N979" s="11" t="s">
        <v>1062</v>
      </c>
      <c r="O979" s="11" t="s">
        <v>1739</v>
      </c>
    </row>
    <row r="980">
      <c r="A980" s="11">
        <v>24.8991870880126</v>
      </c>
      <c r="B980" s="11">
        <v>-32.0516510009765</v>
      </c>
      <c r="C980" s="11" t="s">
        <v>1390</v>
      </c>
      <c r="D980" s="11" t="s">
        <v>1390</v>
      </c>
      <c r="E980" s="11" t="s">
        <v>1062</v>
      </c>
      <c r="F980" s="11" t="s">
        <v>1741</v>
      </c>
      <c r="J980" s="11">
        <v>-34.3371047973632</v>
      </c>
      <c r="K980" s="11">
        <v>-44.7626762390136</v>
      </c>
      <c r="L980" s="11" t="s">
        <v>1390</v>
      </c>
      <c r="M980" s="11" t="s">
        <v>1390</v>
      </c>
      <c r="N980" s="11" t="s">
        <v>1062</v>
      </c>
      <c r="O980" s="11" t="s">
        <v>1741</v>
      </c>
    </row>
    <row r="981">
      <c r="A981" s="11">
        <v>-15.3950700759887</v>
      </c>
      <c r="B981" s="11">
        <v>-37.1381568908691</v>
      </c>
      <c r="C981" s="11" t="s">
        <v>1390</v>
      </c>
      <c r="D981" s="11" t="s">
        <v>1390</v>
      </c>
      <c r="E981" s="11" t="s">
        <v>1062</v>
      </c>
      <c r="F981" s="11" t="s">
        <v>1743</v>
      </c>
      <c r="J981" s="11">
        <v>-23.8612995147705</v>
      </c>
      <c r="K981" s="11">
        <v>-47.0773086547851</v>
      </c>
      <c r="L981" s="11" t="s">
        <v>1390</v>
      </c>
      <c r="M981" s="11" t="s">
        <v>1390</v>
      </c>
      <c r="N981" s="11" t="s">
        <v>1062</v>
      </c>
      <c r="O981" s="11" t="s">
        <v>1743</v>
      </c>
    </row>
    <row r="982">
      <c r="A982" s="11">
        <v>-6.48134803771972</v>
      </c>
      <c r="B982" s="11">
        <v>-29.5903720855712</v>
      </c>
      <c r="C982" s="11" t="s">
        <v>1390</v>
      </c>
      <c r="D982" s="11" t="s">
        <v>1390</v>
      </c>
      <c r="E982" s="11" t="s">
        <v>1062</v>
      </c>
      <c r="F982" s="11" t="s">
        <v>1745</v>
      </c>
      <c r="J982" s="11">
        <v>-27.1004848480224</v>
      </c>
      <c r="K982" s="11">
        <v>-51.956314086914</v>
      </c>
      <c r="L982" s="11" t="s">
        <v>1390</v>
      </c>
      <c r="M982" s="11" t="s">
        <v>1390</v>
      </c>
      <c r="N982" s="11" t="s">
        <v>1062</v>
      </c>
      <c r="O982" s="11" t="s">
        <v>1745</v>
      </c>
    </row>
    <row r="983">
      <c r="A983" s="11">
        <v>-7.37277460098266</v>
      </c>
      <c r="B983" s="11">
        <v>-26.7699756622314</v>
      </c>
      <c r="C983" s="11" t="s">
        <v>1390</v>
      </c>
      <c r="D983" s="11" t="s">
        <v>1390</v>
      </c>
      <c r="E983" s="11" t="s">
        <v>1062</v>
      </c>
      <c r="F983" s="11" t="s">
        <v>1747</v>
      </c>
      <c r="J983" s="11">
        <v>16.1345405578613</v>
      </c>
      <c r="K983" s="11">
        <v>-20.1420040130615</v>
      </c>
      <c r="L983" s="11" t="s">
        <v>1390</v>
      </c>
      <c r="M983" s="11" t="s">
        <v>1390</v>
      </c>
      <c r="N983" s="11" t="s">
        <v>1062</v>
      </c>
      <c r="O983" s="11" t="s">
        <v>1747</v>
      </c>
    </row>
    <row r="984">
      <c r="A984" s="11">
        <v>23.8306770324707</v>
      </c>
      <c r="B984" s="11">
        <v>-36.5097045898437</v>
      </c>
      <c r="C984" s="11" t="s">
        <v>1390</v>
      </c>
      <c r="D984" s="11" t="s">
        <v>1390</v>
      </c>
      <c r="E984" s="11" t="s">
        <v>1062</v>
      </c>
      <c r="F984" s="11" t="s">
        <v>1751</v>
      </c>
      <c r="J984" s="11">
        <v>-37.1737632751464</v>
      </c>
      <c r="K984" s="11">
        <v>-46.7713394165039</v>
      </c>
      <c r="L984" s="11" t="s">
        <v>1390</v>
      </c>
      <c r="M984" s="11" t="s">
        <v>1390</v>
      </c>
      <c r="N984" s="11" t="s">
        <v>1062</v>
      </c>
      <c r="O984" s="11" t="s">
        <v>1751</v>
      </c>
    </row>
    <row r="985">
      <c r="A985" s="11">
        <v>-15.985011100769</v>
      </c>
      <c r="B985" s="11">
        <v>-46.9103889465332</v>
      </c>
      <c r="C985" s="11" t="s">
        <v>1390</v>
      </c>
      <c r="D985" s="11" t="s">
        <v>1390</v>
      </c>
      <c r="E985" s="11" t="s">
        <v>1062</v>
      </c>
      <c r="F985" s="11" t="s">
        <v>1753</v>
      </c>
      <c r="J985" s="11">
        <v>-8.94766330718994</v>
      </c>
      <c r="K985" s="11">
        <v>-49.2820625305175</v>
      </c>
      <c r="L985" s="11" t="s">
        <v>1390</v>
      </c>
      <c r="M985" s="11" t="s">
        <v>1390</v>
      </c>
      <c r="N985" s="11" t="s">
        <v>1062</v>
      </c>
      <c r="O985" s="11" t="s">
        <v>1753</v>
      </c>
    </row>
    <row r="986">
      <c r="A986" s="11">
        <v>-24.0475940704345</v>
      </c>
      <c r="B986" s="11">
        <v>-22.2794094085693</v>
      </c>
      <c r="C986" s="11" t="s">
        <v>1390</v>
      </c>
      <c r="D986" s="11" t="s">
        <v>1390</v>
      </c>
      <c r="E986" s="11" t="s">
        <v>1062</v>
      </c>
      <c r="F986" s="11" t="s">
        <v>1755</v>
      </c>
      <c r="J986" s="11">
        <v>-19.438570022583</v>
      </c>
      <c r="K986" s="11">
        <v>-46.9114875793457</v>
      </c>
      <c r="L986" s="11" t="s">
        <v>1390</v>
      </c>
      <c r="M986" s="11" t="s">
        <v>1390</v>
      </c>
      <c r="N986" s="11" t="s">
        <v>1062</v>
      </c>
      <c r="O986" s="11" t="s">
        <v>1755</v>
      </c>
    </row>
    <row r="987">
      <c r="A987" s="11">
        <v>0.403788834810256</v>
      </c>
      <c r="B987" s="11">
        <v>-20.1381816864013</v>
      </c>
      <c r="C987" s="11" t="s">
        <v>1390</v>
      </c>
      <c r="D987" s="11" t="s">
        <v>1390</v>
      </c>
      <c r="E987" s="11" t="s">
        <v>1062</v>
      </c>
      <c r="F987" s="11" t="s">
        <v>1758</v>
      </c>
      <c r="J987" s="11">
        <v>8.30672836303711</v>
      </c>
      <c r="K987" s="11">
        <v>-42.6659278869628</v>
      </c>
      <c r="L987" s="11" t="s">
        <v>1390</v>
      </c>
      <c r="M987" s="11" t="s">
        <v>1390</v>
      </c>
      <c r="N987" s="11" t="s">
        <v>1062</v>
      </c>
      <c r="O987" s="11" t="s">
        <v>1758</v>
      </c>
    </row>
    <row r="988">
      <c r="A988" s="11">
        <v>23.8224658966064</v>
      </c>
      <c r="B988" s="11">
        <v>-36.5118598937988</v>
      </c>
      <c r="C988" s="11" t="s">
        <v>1390</v>
      </c>
      <c r="D988" s="11" t="s">
        <v>1390</v>
      </c>
      <c r="E988" s="11" t="s">
        <v>1062</v>
      </c>
      <c r="F988" s="11" t="s">
        <v>1761</v>
      </c>
      <c r="J988" s="11">
        <v>-37.1865501403808</v>
      </c>
      <c r="K988" s="11">
        <v>-46.779182434082</v>
      </c>
      <c r="L988" s="11" t="s">
        <v>1390</v>
      </c>
      <c r="M988" s="11" t="s">
        <v>1390</v>
      </c>
      <c r="N988" s="11" t="s">
        <v>1062</v>
      </c>
      <c r="O988" s="11" t="s">
        <v>1761</v>
      </c>
    </row>
    <row r="989">
      <c r="A989" s="11">
        <v>5.80466747283935</v>
      </c>
      <c r="B989" s="11">
        <v>-40.6927223205566</v>
      </c>
      <c r="C989" s="11" t="s">
        <v>1390</v>
      </c>
      <c r="D989" s="11" t="s">
        <v>1390</v>
      </c>
      <c r="E989" s="11" t="s">
        <v>1062</v>
      </c>
      <c r="F989" s="11" t="s">
        <v>1762</v>
      </c>
      <c r="J989" s="11">
        <v>-32.2639732360839</v>
      </c>
      <c r="K989" s="11">
        <v>-43.4497642517089</v>
      </c>
      <c r="L989" s="11" t="s">
        <v>1390</v>
      </c>
      <c r="M989" s="11" t="s">
        <v>1390</v>
      </c>
      <c r="N989" s="11" t="s">
        <v>1062</v>
      </c>
      <c r="O989" s="11" t="s">
        <v>1762</v>
      </c>
    </row>
    <row r="990">
      <c r="A990" s="11">
        <v>22.4491825103759</v>
      </c>
      <c r="B990" s="11">
        <v>-22.7872848510742</v>
      </c>
      <c r="C990" s="11" t="s">
        <v>1390</v>
      </c>
      <c r="D990" s="11" t="s">
        <v>1390</v>
      </c>
      <c r="E990" s="11" t="s">
        <v>1062</v>
      </c>
      <c r="F990" s="11" t="s">
        <v>1764</v>
      </c>
      <c r="J990" s="11">
        <v>-12.3216476440429</v>
      </c>
      <c r="K990" s="11">
        <v>-31.0350608825683</v>
      </c>
      <c r="L990" s="11" t="s">
        <v>1390</v>
      </c>
      <c r="M990" s="11" t="s">
        <v>1390</v>
      </c>
      <c r="N990" s="11" t="s">
        <v>1062</v>
      </c>
      <c r="O990" s="11" t="s">
        <v>1764</v>
      </c>
    </row>
    <row r="991">
      <c r="A991" s="11">
        <v>-26.014720916748</v>
      </c>
      <c r="B991" s="11">
        <v>-55.0772972106933</v>
      </c>
      <c r="C991" s="11" t="s">
        <v>1390</v>
      </c>
      <c r="D991" s="11" t="s">
        <v>1390</v>
      </c>
      <c r="E991" s="11" t="s">
        <v>1062</v>
      </c>
      <c r="F991" s="11" t="s">
        <v>1766</v>
      </c>
      <c r="J991" s="11">
        <v>-11.6421871185302</v>
      </c>
      <c r="K991" s="11">
        <v>-46.5379219055175</v>
      </c>
      <c r="L991" s="11" t="s">
        <v>1390</v>
      </c>
      <c r="M991" s="11" t="s">
        <v>1390</v>
      </c>
      <c r="N991" s="11" t="s">
        <v>1062</v>
      </c>
      <c r="O991" s="11" t="s">
        <v>1766</v>
      </c>
    </row>
    <row r="992">
      <c r="A992" s="11">
        <v>21.5037193298339</v>
      </c>
      <c r="B992" s="11">
        <v>-23.1396713256835</v>
      </c>
      <c r="C992" s="11" t="s">
        <v>1390</v>
      </c>
      <c r="D992" s="11" t="s">
        <v>1390</v>
      </c>
      <c r="E992" s="11" t="s">
        <v>1062</v>
      </c>
      <c r="F992" s="11" t="s">
        <v>1768</v>
      </c>
      <c r="J992" s="11">
        <v>-12.4003114700317</v>
      </c>
      <c r="K992" s="11">
        <v>-30.3693962097167</v>
      </c>
      <c r="L992" s="11" t="s">
        <v>1390</v>
      </c>
      <c r="M992" s="11" t="s">
        <v>1390</v>
      </c>
      <c r="N992" s="11" t="s">
        <v>1062</v>
      </c>
      <c r="O992" s="11" t="s">
        <v>1768</v>
      </c>
    </row>
    <row r="993">
      <c r="A993" s="11">
        <v>-4.9796552658081</v>
      </c>
      <c r="B993" s="11">
        <v>-38.8715019226074</v>
      </c>
      <c r="C993" s="11" t="s">
        <v>1390</v>
      </c>
      <c r="D993" s="11" t="s">
        <v>1390</v>
      </c>
      <c r="E993" s="11" t="s">
        <v>1062</v>
      </c>
      <c r="F993" s="11" t="s">
        <v>1770</v>
      </c>
      <c r="J993" s="11">
        <v>-30.4111270904541</v>
      </c>
      <c r="K993" s="11">
        <v>-40.4120597839355</v>
      </c>
      <c r="L993" s="11" t="s">
        <v>1390</v>
      </c>
      <c r="M993" s="11" t="s">
        <v>1390</v>
      </c>
      <c r="N993" s="11" t="s">
        <v>1062</v>
      </c>
      <c r="O993" s="11" t="s">
        <v>1770</v>
      </c>
    </row>
    <row r="994">
      <c r="A994" s="11">
        <v>-20.1706714630126</v>
      </c>
      <c r="B994" s="11">
        <v>-62.6949768066406</v>
      </c>
      <c r="C994" s="11" t="s">
        <v>1390</v>
      </c>
      <c r="D994" s="11" t="s">
        <v>1390</v>
      </c>
      <c r="E994" s="11" t="s">
        <v>1062</v>
      </c>
      <c r="F994" s="11" t="s">
        <v>1772</v>
      </c>
      <c r="J994" s="11">
        <v>-24.9202976226806</v>
      </c>
      <c r="K994" s="11">
        <v>-35.3764877319335</v>
      </c>
      <c r="L994" s="11" t="s">
        <v>1390</v>
      </c>
      <c r="M994" s="11" t="s">
        <v>1390</v>
      </c>
      <c r="N994" s="11" t="s">
        <v>1062</v>
      </c>
      <c r="O994" s="11" t="s">
        <v>1772</v>
      </c>
    </row>
    <row r="995">
      <c r="A995" s="11">
        <v>-16.0295467376709</v>
      </c>
      <c r="B995" s="11">
        <v>-37.4349212646484</v>
      </c>
      <c r="C995" s="11" t="s">
        <v>1390</v>
      </c>
      <c r="D995" s="11" t="s">
        <v>1390</v>
      </c>
      <c r="E995" s="11" t="s">
        <v>1062</v>
      </c>
      <c r="F995" s="11" t="s">
        <v>1774</v>
      </c>
      <c r="J995" s="11">
        <v>-24.0989151000976</v>
      </c>
      <c r="K995" s="11">
        <v>-46.9302978515625</v>
      </c>
      <c r="L995" s="11" t="s">
        <v>1390</v>
      </c>
      <c r="M995" s="11" t="s">
        <v>1390</v>
      </c>
      <c r="N995" s="11" t="s">
        <v>1062</v>
      </c>
      <c r="O995" s="11" t="s">
        <v>1774</v>
      </c>
    </row>
    <row r="996">
      <c r="A996" s="11">
        <v>-27.5614109039306</v>
      </c>
      <c r="B996" s="11">
        <v>-53.7697410583496</v>
      </c>
      <c r="C996" s="11" t="s">
        <v>1390</v>
      </c>
      <c r="D996" s="11" t="s">
        <v>1390</v>
      </c>
      <c r="E996" s="11" t="s">
        <v>1062</v>
      </c>
      <c r="F996" s="11" t="s">
        <v>1775</v>
      </c>
      <c r="J996" s="11">
        <v>-11.9931516647338</v>
      </c>
      <c r="K996" s="11">
        <v>-45.807258605957</v>
      </c>
      <c r="L996" s="11" t="s">
        <v>1390</v>
      </c>
      <c r="M996" s="11" t="s">
        <v>1390</v>
      </c>
      <c r="N996" s="11" t="s">
        <v>1062</v>
      </c>
      <c r="O996" s="11" t="s">
        <v>1775</v>
      </c>
    </row>
    <row r="997">
      <c r="A997" s="11">
        <v>-16.0295467376709</v>
      </c>
      <c r="B997" s="11">
        <v>-37.4349212646484</v>
      </c>
      <c r="C997" s="11" t="s">
        <v>1390</v>
      </c>
      <c r="D997" s="11" t="s">
        <v>1390</v>
      </c>
      <c r="E997" s="11" t="s">
        <v>1062</v>
      </c>
      <c r="F997" s="11" t="s">
        <v>1777</v>
      </c>
      <c r="J997" s="11">
        <v>-23.9121036529541</v>
      </c>
      <c r="K997" s="11">
        <v>-46.7827224731445</v>
      </c>
      <c r="L997" s="11" t="s">
        <v>1390</v>
      </c>
      <c r="M997" s="11" t="s">
        <v>1390</v>
      </c>
      <c r="N997" s="11" t="s">
        <v>1062</v>
      </c>
      <c r="O997" s="11" t="s">
        <v>1777</v>
      </c>
    </row>
    <row r="998">
      <c r="A998" s="11">
        <v>-4.95372581481933</v>
      </c>
      <c r="B998" s="11">
        <v>9.74700164794921</v>
      </c>
      <c r="C998" s="11" t="s">
        <v>1390</v>
      </c>
      <c r="D998" s="11" t="s">
        <v>1390</v>
      </c>
      <c r="E998" s="11" t="s">
        <v>1062</v>
      </c>
      <c r="F998" s="11" t="s">
        <v>1779</v>
      </c>
      <c r="J998" s="11">
        <v>57.8425865173339</v>
      </c>
      <c r="K998" s="11">
        <v>-19.9364585876464</v>
      </c>
      <c r="L998" s="11" t="s">
        <v>1390</v>
      </c>
      <c r="M998" s="11" t="s">
        <v>1390</v>
      </c>
      <c r="N998" s="11" t="s">
        <v>1062</v>
      </c>
      <c r="O998" s="11" t="s">
        <v>1779</v>
      </c>
    </row>
    <row r="999">
      <c r="A999" s="11">
        <v>-11.0871286392211</v>
      </c>
      <c r="B999" s="11">
        <v>-32.9311599731445</v>
      </c>
      <c r="C999" s="11" t="s">
        <v>1390</v>
      </c>
      <c r="D999" s="11" t="s">
        <v>1390</v>
      </c>
      <c r="E999" s="11" t="s">
        <v>1062</v>
      </c>
      <c r="F999" s="11" t="s">
        <v>1781</v>
      </c>
      <c r="J999" s="11">
        <v>14.7470979690551</v>
      </c>
      <c r="K999" s="11">
        <v>-17.5915718078613</v>
      </c>
      <c r="L999" s="11" t="s">
        <v>1390</v>
      </c>
      <c r="M999" s="11" t="s">
        <v>1390</v>
      </c>
      <c r="N999" s="11" t="s">
        <v>1062</v>
      </c>
      <c r="O999" s="11" t="s">
        <v>1781</v>
      </c>
    </row>
    <row r="1000">
      <c r="A1000" s="11">
        <v>-24.1368980407714</v>
      </c>
      <c r="B1000" s="11">
        <v>-27.630910873413</v>
      </c>
      <c r="C1000" s="11" t="s">
        <v>1390</v>
      </c>
      <c r="D1000" s="11" t="s">
        <v>1390</v>
      </c>
      <c r="E1000" s="11" t="s">
        <v>1062</v>
      </c>
      <c r="F1000" s="11" t="s">
        <v>1784</v>
      </c>
      <c r="J1000" s="11">
        <v>-10.2345895767211</v>
      </c>
      <c r="K1000" s="11">
        <v>-41.2740364074707</v>
      </c>
      <c r="L1000" s="11" t="s">
        <v>1390</v>
      </c>
      <c r="M1000" s="11" t="s">
        <v>1390</v>
      </c>
      <c r="N1000" s="11" t="s">
        <v>1062</v>
      </c>
      <c r="O1000" s="11" t="s">
        <v>1784</v>
      </c>
    </row>
    <row r="1001">
      <c r="A1001" s="11">
        <v>3.37743639945983</v>
      </c>
      <c r="B1001" s="11">
        <v>-12.007285118103</v>
      </c>
      <c r="C1001" s="11" t="s">
        <v>1390</v>
      </c>
      <c r="D1001" s="11" t="s">
        <v>1390</v>
      </c>
      <c r="E1001" s="11" t="s">
        <v>1062</v>
      </c>
      <c r="F1001" s="11" t="s">
        <v>1785</v>
      </c>
      <c r="J1001" s="11">
        <v>-46.8107223510742</v>
      </c>
      <c r="K1001" s="11">
        <v>11.7400960922241</v>
      </c>
      <c r="L1001" s="11" t="s">
        <v>1390</v>
      </c>
      <c r="M1001" s="11" t="s">
        <v>1390</v>
      </c>
      <c r="N1001" s="11" t="s">
        <v>1062</v>
      </c>
      <c r="O1001" s="11" t="s">
        <v>1785</v>
      </c>
    </row>
    <row r="1002">
      <c r="A1002" s="11">
        <v>3.47088050842285</v>
      </c>
      <c r="B1002" s="11">
        <v>-17.7373332977294</v>
      </c>
      <c r="C1002" s="11" t="s">
        <v>1390</v>
      </c>
      <c r="D1002" s="11" t="s">
        <v>1390</v>
      </c>
      <c r="E1002" s="11" t="s">
        <v>1062</v>
      </c>
      <c r="F1002" s="11" t="s">
        <v>1787</v>
      </c>
      <c r="J1002" s="11">
        <v>-0.971641719341278</v>
      </c>
      <c r="K1002" s="11">
        <v>-40.3281326293945</v>
      </c>
      <c r="L1002" s="11" t="s">
        <v>1390</v>
      </c>
      <c r="M1002" s="11" t="s">
        <v>1390</v>
      </c>
      <c r="N1002" s="11" t="s">
        <v>1062</v>
      </c>
      <c r="O1002" s="11" t="s">
        <v>1787</v>
      </c>
    </row>
    <row r="1003">
      <c r="A1003" s="11">
        <v>-1.7044038772583</v>
      </c>
      <c r="B1003" s="11">
        <v>-15.1542205810546</v>
      </c>
      <c r="C1003" s="11" t="s">
        <v>1390</v>
      </c>
      <c r="D1003" s="11" t="s">
        <v>1390</v>
      </c>
      <c r="E1003" s="11" t="s">
        <v>1062</v>
      </c>
      <c r="F1003" s="11" t="s">
        <v>1789</v>
      </c>
      <c r="J1003" s="11">
        <v>-5.43409585952758</v>
      </c>
      <c r="K1003" s="11">
        <v>-32.3186988830566</v>
      </c>
      <c r="L1003" s="11" t="s">
        <v>1390</v>
      </c>
      <c r="M1003" s="11" t="s">
        <v>1390</v>
      </c>
      <c r="N1003" s="11" t="s">
        <v>1062</v>
      </c>
      <c r="O1003" s="11" t="s">
        <v>1789</v>
      </c>
    </row>
    <row r="1004">
      <c r="A1004" s="11">
        <v>-23.9391384124755</v>
      </c>
      <c r="B1004" s="11">
        <v>-26.6093521118164</v>
      </c>
      <c r="C1004" s="11" t="s">
        <v>1390</v>
      </c>
      <c r="D1004" s="11" t="s">
        <v>1390</v>
      </c>
      <c r="E1004" s="11" t="s">
        <v>1062</v>
      </c>
      <c r="F1004" s="11" t="s">
        <v>1791</v>
      </c>
      <c r="J1004" s="11">
        <v>-10.1694612503051</v>
      </c>
      <c r="K1004" s="11">
        <v>-41.9542274475097</v>
      </c>
      <c r="L1004" s="11" t="s">
        <v>1390</v>
      </c>
      <c r="M1004" s="11" t="s">
        <v>1390</v>
      </c>
      <c r="N1004" s="11" t="s">
        <v>1062</v>
      </c>
      <c r="O1004" s="11" t="s">
        <v>1791</v>
      </c>
    </row>
    <row r="1005">
      <c r="A1005" s="11">
        <v>-20.9899864196777</v>
      </c>
      <c r="B1005" s="11">
        <v>-43.3455619812011</v>
      </c>
      <c r="C1005" s="11" t="s">
        <v>1390</v>
      </c>
      <c r="D1005" s="11" t="s">
        <v>1390</v>
      </c>
      <c r="E1005" s="11" t="s">
        <v>1062</v>
      </c>
      <c r="F1005" s="11" t="s">
        <v>1794</v>
      </c>
      <c r="J1005" s="11">
        <v>-5.26071500778198</v>
      </c>
      <c r="K1005" s="11">
        <v>-46.6812705993652</v>
      </c>
      <c r="L1005" s="11" t="s">
        <v>1390</v>
      </c>
      <c r="M1005" s="11" t="s">
        <v>1390</v>
      </c>
      <c r="N1005" s="11" t="s">
        <v>1062</v>
      </c>
      <c r="O1005" s="11" t="s">
        <v>1794</v>
      </c>
    </row>
    <row r="1006">
      <c r="A1006" s="11">
        <v>6.89194679260253</v>
      </c>
      <c r="B1006" s="11">
        <v>-34.4186401367187</v>
      </c>
      <c r="C1006" s="11" t="s">
        <v>1390</v>
      </c>
      <c r="D1006" s="11" t="s">
        <v>1390</v>
      </c>
      <c r="E1006" s="11" t="s">
        <v>1062</v>
      </c>
      <c r="F1006" s="11" t="s">
        <v>1795</v>
      </c>
      <c r="J1006" s="11">
        <v>-30.9944553375244</v>
      </c>
      <c r="K1006" s="11">
        <v>-41.7144889831543</v>
      </c>
      <c r="L1006" s="11" t="s">
        <v>1390</v>
      </c>
      <c r="M1006" s="11" t="s">
        <v>1390</v>
      </c>
      <c r="N1006" s="11" t="s">
        <v>1062</v>
      </c>
      <c r="O1006" s="11" t="s">
        <v>1795</v>
      </c>
    </row>
    <row r="1007">
      <c r="A1007" s="11">
        <v>0.719427347183227</v>
      </c>
      <c r="B1007" s="11">
        <v>-24.2912254333496</v>
      </c>
      <c r="C1007" s="11" t="s">
        <v>1390</v>
      </c>
      <c r="D1007" s="11" t="s">
        <v>1390</v>
      </c>
      <c r="E1007" s="11" t="s">
        <v>1062</v>
      </c>
      <c r="F1007" s="11" t="s">
        <v>1797</v>
      </c>
      <c r="J1007" s="11">
        <v>-39.8906555175781</v>
      </c>
      <c r="K1007" s="11">
        <v>-48.216983795166</v>
      </c>
      <c r="L1007" s="11" t="s">
        <v>1390</v>
      </c>
      <c r="M1007" s="11" t="s">
        <v>1390</v>
      </c>
      <c r="N1007" s="11" t="s">
        <v>1062</v>
      </c>
      <c r="O1007" s="11" t="s">
        <v>1797</v>
      </c>
    </row>
    <row r="1008">
      <c r="A1008" s="11">
        <v>4.38245201110839</v>
      </c>
      <c r="B1008" s="11">
        <v>-47.4160232543945</v>
      </c>
      <c r="C1008" s="11" t="s">
        <v>1390</v>
      </c>
      <c r="D1008" s="11" t="s">
        <v>1390</v>
      </c>
      <c r="E1008" s="11" t="s">
        <v>1062</v>
      </c>
      <c r="F1008" s="11" t="s">
        <v>1799</v>
      </c>
      <c r="J1008" s="11">
        <v>-28.3914470672607</v>
      </c>
      <c r="K1008" s="11">
        <v>-49.3917045593261</v>
      </c>
      <c r="L1008" s="11" t="s">
        <v>1390</v>
      </c>
      <c r="M1008" s="11" t="s">
        <v>1390</v>
      </c>
      <c r="N1008" s="11" t="s">
        <v>1062</v>
      </c>
      <c r="O1008" s="11" t="s">
        <v>1799</v>
      </c>
    </row>
    <row r="1009">
      <c r="A1009" s="11">
        <v>-7.69089746475219</v>
      </c>
      <c r="B1009" s="11">
        <v>-23.9777965545654</v>
      </c>
      <c r="C1009" s="11" t="s">
        <v>1390</v>
      </c>
      <c r="D1009" s="11" t="s">
        <v>1390</v>
      </c>
      <c r="E1009" s="11" t="s">
        <v>1062</v>
      </c>
      <c r="F1009" s="11" t="s">
        <v>1800</v>
      </c>
      <c r="J1009" s="11">
        <v>6.18005943298339</v>
      </c>
      <c r="K1009" s="11">
        <v>-47.2187232971191</v>
      </c>
      <c r="L1009" s="11" t="s">
        <v>1390</v>
      </c>
      <c r="M1009" s="11" t="s">
        <v>1390</v>
      </c>
      <c r="N1009" s="11" t="s">
        <v>1062</v>
      </c>
      <c r="O1009" s="11" t="s">
        <v>1800</v>
      </c>
    </row>
    <row r="1010">
      <c r="A1010" s="11">
        <v>-6.6166124343872</v>
      </c>
      <c r="B1010" s="11">
        <v>-14.8160600662231</v>
      </c>
      <c r="C1010" s="11" t="s">
        <v>1390</v>
      </c>
      <c r="D1010" s="11" t="s">
        <v>1390</v>
      </c>
      <c r="E1010" s="11" t="s">
        <v>1062</v>
      </c>
      <c r="F1010" s="11" t="s">
        <v>1802</v>
      </c>
      <c r="J1010" s="11">
        <v>-4.75369501113891</v>
      </c>
      <c r="K1010" s="11">
        <v>-19.5353679656982</v>
      </c>
      <c r="L1010" s="11" t="s">
        <v>1390</v>
      </c>
      <c r="M1010" s="11" t="s">
        <v>1390</v>
      </c>
      <c r="N1010" s="11" t="s">
        <v>1062</v>
      </c>
      <c r="O1010" s="11" t="s">
        <v>1802</v>
      </c>
    </row>
    <row r="1011">
      <c r="A1011" s="11">
        <v>20.6675987243652</v>
      </c>
      <c r="B1011" s="11">
        <v>10.0897407531738</v>
      </c>
      <c r="C1011" s="11" t="s">
        <v>1390</v>
      </c>
      <c r="D1011" s="11" t="s">
        <v>1390</v>
      </c>
      <c r="E1011" s="11" t="s">
        <v>1062</v>
      </c>
      <c r="F1011" s="11" t="s">
        <v>1803</v>
      </c>
      <c r="J1011" s="11">
        <v>10.5541648864746</v>
      </c>
      <c r="K1011" s="11">
        <v>-15.364200592041</v>
      </c>
      <c r="L1011" s="11" t="s">
        <v>1390</v>
      </c>
      <c r="M1011" s="11" t="s">
        <v>1390</v>
      </c>
      <c r="N1011" s="11" t="s">
        <v>1062</v>
      </c>
      <c r="O1011" s="11" t="s">
        <v>1803</v>
      </c>
    </row>
    <row r="1012">
      <c r="A1012" s="11">
        <v>-16.6834068298339</v>
      </c>
      <c r="B1012" s="11">
        <v>-59.2233657836914</v>
      </c>
      <c r="C1012" s="11" t="s">
        <v>1390</v>
      </c>
      <c r="D1012" s="11" t="s">
        <v>1390</v>
      </c>
      <c r="E1012" s="11" t="s">
        <v>1062</v>
      </c>
      <c r="F1012" s="11" t="s">
        <v>1807</v>
      </c>
      <c r="J1012" s="11">
        <v>-20.0778198242187</v>
      </c>
      <c r="K1012" s="11">
        <v>-38.104206085205</v>
      </c>
      <c r="L1012" s="11" t="s">
        <v>1390</v>
      </c>
      <c r="M1012" s="11" t="s">
        <v>1390</v>
      </c>
      <c r="N1012" s="11" t="s">
        <v>1062</v>
      </c>
      <c r="O1012" s="11" t="s">
        <v>1807</v>
      </c>
    </row>
    <row r="1013">
      <c r="A1013" s="11">
        <v>17.9950447082519</v>
      </c>
      <c r="B1013" s="11">
        <v>-35.9478607177734</v>
      </c>
      <c r="C1013" s="11" t="s">
        <v>1390</v>
      </c>
      <c r="D1013" s="11" t="s">
        <v>1390</v>
      </c>
      <c r="E1013" s="11" t="s">
        <v>1062</v>
      </c>
      <c r="F1013" s="11" t="s">
        <v>1809</v>
      </c>
      <c r="J1013" s="11">
        <v>-36.5373420715332</v>
      </c>
      <c r="K1013" s="11">
        <v>-49.2370491027832</v>
      </c>
      <c r="L1013" s="11" t="s">
        <v>1390</v>
      </c>
      <c r="M1013" s="11" t="s">
        <v>1390</v>
      </c>
      <c r="N1013" s="11" t="s">
        <v>1062</v>
      </c>
      <c r="O1013" s="11" t="s">
        <v>1809</v>
      </c>
    </row>
    <row r="1014">
      <c r="A1014" s="11">
        <v>-4.37989234924316</v>
      </c>
      <c r="B1014" s="11">
        <v>-24.4649028778076</v>
      </c>
      <c r="C1014" s="11" t="s">
        <v>1390</v>
      </c>
      <c r="D1014" s="11" t="s">
        <v>1390</v>
      </c>
      <c r="E1014" s="11" t="s">
        <v>1062</v>
      </c>
      <c r="F1014" s="11" t="s">
        <v>1811</v>
      </c>
      <c r="J1014" s="11">
        <v>16.8877239227294</v>
      </c>
      <c r="K1014" s="11">
        <v>-19.7959327697753</v>
      </c>
      <c r="L1014" s="11" t="s">
        <v>1390</v>
      </c>
      <c r="M1014" s="11" t="s">
        <v>1390</v>
      </c>
      <c r="N1014" s="11" t="s">
        <v>1062</v>
      </c>
      <c r="O1014" s="11" t="s">
        <v>1811</v>
      </c>
    </row>
    <row r="1015">
      <c r="A1015" s="11">
        <v>-11.4363098144531</v>
      </c>
      <c r="B1015" s="11">
        <v>-16.8006954193115</v>
      </c>
      <c r="C1015" s="11" t="s">
        <v>1390</v>
      </c>
      <c r="D1015" s="11" t="s">
        <v>1390</v>
      </c>
      <c r="E1015" s="11" t="s">
        <v>1062</v>
      </c>
      <c r="F1015" s="11" t="s">
        <v>1813</v>
      </c>
      <c r="J1015" s="11">
        <v>24.7338752746582</v>
      </c>
      <c r="K1015" s="11">
        <v>-36.2760200500488</v>
      </c>
      <c r="L1015" s="11" t="s">
        <v>1390</v>
      </c>
      <c r="M1015" s="11" t="s">
        <v>1390</v>
      </c>
      <c r="N1015" s="11" t="s">
        <v>1062</v>
      </c>
      <c r="O1015" s="11" t="s">
        <v>1813</v>
      </c>
    </row>
    <row r="1016">
      <c r="A1016" s="11">
        <v>-0.287206441164016</v>
      </c>
      <c r="B1016" s="11">
        <v>-28.4344062805175</v>
      </c>
      <c r="C1016" s="11" t="s">
        <v>1390</v>
      </c>
      <c r="D1016" s="11" t="s">
        <v>1390</v>
      </c>
      <c r="E1016" s="11" t="s">
        <v>1062</v>
      </c>
      <c r="F1016" s="11" t="s">
        <v>1817</v>
      </c>
      <c r="J1016" s="11">
        <v>-40.2903099060058</v>
      </c>
      <c r="K1016" s="11">
        <v>-42.3259201049804</v>
      </c>
      <c r="L1016" s="11" t="s">
        <v>1390</v>
      </c>
      <c r="M1016" s="11" t="s">
        <v>1390</v>
      </c>
      <c r="N1016" s="11" t="s">
        <v>1062</v>
      </c>
      <c r="O1016" s="11" t="s">
        <v>1817</v>
      </c>
    </row>
    <row r="1017">
      <c r="A1017" s="11">
        <v>19.9169597625732</v>
      </c>
      <c r="B1017" s="11">
        <v>9.88691329956054</v>
      </c>
      <c r="C1017" s="11" t="s">
        <v>1390</v>
      </c>
      <c r="D1017" s="11" t="s">
        <v>1390</v>
      </c>
      <c r="E1017" s="11" t="s">
        <v>1062</v>
      </c>
      <c r="F1017" s="11" t="s">
        <v>1819</v>
      </c>
      <c r="J1017" s="11">
        <v>10.7898225784301</v>
      </c>
      <c r="K1017" s="11">
        <v>-15.7078828811645</v>
      </c>
      <c r="L1017" s="11" t="s">
        <v>1390</v>
      </c>
      <c r="M1017" s="11" t="s">
        <v>1390</v>
      </c>
      <c r="N1017" s="11" t="s">
        <v>1062</v>
      </c>
      <c r="O1017" s="11" t="s">
        <v>1819</v>
      </c>
    </row>
    <row r="1018">
      <c r="A1018" s="11">
        <v>-5.54186010360717</v>
      </c>
      <c r="B1018" s="11">
        <v>-47.1192016601562</v>
      </c>
      <c r="C1018" s="11" t="s">
        <v>1390</v>
      </c>
      <c r="D1018" s="11" t="s">
        <v>1390</v>
      </c>
      <c r="E1018" s="11" t="s">
        <v>1062</v>
      </c>
      <c r="F1018" s="11" t="s">
        <v>1821</v>
      </c>
      <c r="J1018" s="11">
        <v>-36.2427558898925</v>
      </c>
      <c r="K1018" s="11">
        <v>-38.9591941833496</v>
      </c>
      <c r="L1018" s="11" t="s">
        <v>1390</v>
      </c>
      <c r="M1018" s="11" t="s">
        <v>1390</v>
      </c>
      <c r="N1018" s="11" t="s">
        <v>1062</v>
      </c>
      <c r="O1018" s="11" t="s">
        <v>1821</v>
      </c>
    </row>
    <row r="1019">
      <c r="A1019" s="11">
        <v>-0.704296648502349</v>
      </c>
      <c r="B1019" s="11">
        <v>-28.0189533233642</v>
      </c>
      <c r="C1019" s="11" t="s">
        <v>1390</v>
      </c>
      <c r="D1019" s="11" t="s">
        <v>1390</v>
      </c>
      <c r="E1019" s="11" t="s">
        <v>1062</v>
      </c>
      <c r="F1019" s="11" t="s">
        <v>1823</v>
      </c>
      <c r="J1019" s="11">
        <v>-39.9630050659179</v>
      </c>
      <c r="K1019" s="11">
        <v>-42.4416313171386</v>
      </c>
      <c r="L1019" s="11" t="s">
        <v>1390</v>
      </c>
      <c r="M1019" s="11" t="s">
        <v>1390</v>
      </c>
      <c r="N1019" s="11" t="s">
        <v>1062</v>
      </c>
      <c r="O1019" s="11" t="s">
        <v>1823</v>
      </c>
    </row>
    <row r="1020">
      <c r="A1020" s="11">
        <v>16.8605518341064</v>
      </c>
      <c r="B1020" s="11">
        <v>-18.5808734893798</v>
      </c>
      <c r="C1020" s="11" t="s">
        <v>1390</v>
      </c>
      <c r="D1020" s="11" t="s">
        <v>1390</v>
      </c>
      <c r="E1020" s="11" t="s">
        <v>1062</v>
      </c>
      <c r="F1020" s="11" t="s">
        <v>1825</v>
      </c>
      <c r="J1020" s="11">
        <v>-19.83225440979</v>
      </c>
      <c r="K1020" s="11">
        <v>-31.0235748291015</v>
      </c>
      <c r="L1020" s="11" t="s">
        <v>1390</v>
      </c>
      <c r="M1020" s="11" t="s">
        <v>1390</v>
      </c>
      <c r="N1020" s="11" t="s">
        <v>1062</v>
      </c>
      <c r="O1020" s="11" t="s">
        <v>1825</v>
      </c>
    </row>
    <row r="1021">
      <c r="A1021" s="11">
        <v>-7.79903745651245</v>
      </c>
      <c r="B1021" s="11">
        <v>-25.8412780761718</v>
      </c>
      <c r="C1021" s="11" t="s">
        <v>1390</v>
      </c>
      <c r="D1021" s="11" t="s">
        <v>1390</v>
      </c>
      <c r="E1021" s="11" t="s">
        <v>1062</v>
      </c>
      <c r="F1021" s="11" t="s">
        <v>1827</v>
      </c>
      <c r="J1021" s="11">
        <v>15.5291595458984</v>
      </c>
      <c r="K1021" s="11">
        <v>-21.0766849517822</v>
      </c>
      <c r="L1021" s="11" t="s">
        <v>1390</v>
      </c>
      <c r="M1021" s="11" t="s">
        <v>1390</v>
      </c>
      <c r="N1021" s="11" t="s">
        <v>1062</v>
      </c>
      <c r="O1021" s="11" t="s">
        <v>1827</v>
      </c>
    </row>
    <row r="1022">
      <c r="A1022" s="11">
        <v>-7.97324562072753</v>
      </c>
      <c r="B1022" s="11">
        <v>-25.7462882995605</v>
      </c>
      <c r="C1022" s="11" t="s">
        <v>1390</v>
      </c>
      <c r="D1022" s="11" t="s">
        <v>1390</v>
      </c>
      <c r="E1022" s="11" t="s">
        <v>1062</v>
      </c>
      <c r="F1022" s="11" t="s">
        <v>1829</v>
      </c>
      <c r="J1022" s="11">
        <v>15.7460165023803</v>
      </c>
      <c r="K1022" s="11">
        <v>-20.6549644470214</v>
      </c>
      <c r="L1022" s="11" t="s">
        <v>1390</v>
      </c>
      <c r="M1022" s="11" t="s">
        <v>1390</v>
      </c>
      <c r="N1022" s="11" t="s">
        <v>1062</v>
      </c>
      <c r="O1022" s="11" t="s">
        <v>1829</v>
      </c>
    </row>
    <row r="1023">
      <c r="A1023" s="11">
        <v>10.4978599548339</v>
      </c>
      <c r="B1023" s="11">
        <v>-44.2683372497558</v>
      </c>
      <c r="C1023" s="11" t="s">
        <v>1390</v>
      </c>
      <c r="D1023" s="11" t="s">
        <v>1390</v>
      </c>
      <c r="E1023" s="11" t="s">
        <v>1062</v>
      </c>
      <c r="F1023" s="11" t="s">
        <v>1833</v>
      </c>
      <c r="J1023" s="11">
        <v>-36.9360427856445</v>
      </c>
      <c r="K1023" s="11">
        <v>-45.0066795349121</v>
      </c>
      <c r="L1023" s="11" t="s">
        <v>1390</v>
      </c>
      <c r="M1023" s="11" t="s">
        <v>1390</v>
      </c>
      <c r="N1023" s="11" t="s">
        <v>1062</v>
      </c>
      <c r="O1023" s="11" t="s">
        <v>1833</v>
      </c>
    </row>
    <row r="1024">
      <c r="A1024" s="11">
        <v>-19.1879844665527</v>
      </c>
      <c r="B1024" s="11">
        <v>-63.482982635498</v>
      </c>
      <c r="C1024" s="11" t="s">
        <v>1390</v>
      </c>
      <c r="D1024" s="11" t="s">
        <v>1390</v>
      </c>
      <c r="E1024" s="11" t="s">
        <v>1062</v>
      </c>
      <c r="F1024" s="11" t="s">
        <v>1835</v>
      </c>
      <c r="J1024" s="11">
        <v>-25.2804145812988</v>
      </c>
      <c r="K1024" s="11">
        <v>-34.431827545166</v>
      </c>
      <c r="L1024" s="11" t="s">
        <v>1390</v>
      </c>
      <c r="M1024" s="11" t="s">
        <v>1390</v>
      </c>
      <c r="N1024" s="11" t="s">
        <v>1062</v>
      </c>
      <c r="O1024" s="11" t="s">
        <v>1835</v>
      </c>
    </row>
    <row r="1025">
      <c r="A1025" s="11">
        <v>-26.5736865997314</v>
      </c>
      <c r="B1025" s="11">
        <v>-54.1782569885253</v>
      </c>
      <c r="C1025" s="11" t="s">
        <v>1390</v>
      </c>
      <c r="D1025" s="11" t="s">
        <v>1390</v>
      </c>
      <c r="E1025" s="11" t="s">
        <v>1062</v>
      </c>
      <c r="F1025" s="11" t="s">
        <v>1837</v>
      </c>
      <c r="J1025" s="11">
        <v>-11.9931516647338</v>
      </c>
      <c r="K1025" s="11">
        <v>-45.807258605957</v>
      </c>
      <c r="L1025" s="11" t="s">
        <v>1390</v>
      </c>
      <c r="M1025" s="11" t="s">
        <v>1390</v>
      </c>
      <c r="N1025" s="11" t="s">
        <v>1062</v>
      </c>
      <c r="O1025" s="11" t="s">
        <v>1837</v>
      </c>
    </row>
    <row r="1026">
      <c r="A1026" s="11">
        <v>-3.97001218795776</v>
      </c>
      <c r="B1026" s="11">
        <v>-37.7990036010742</v>
      </c>
      <c r="C1026" s="11" t="s">
        <v>1390</v>
      </c>
      <c r="D1026" s="11" t="s">
        <v>1390</v>
      </c>
      <c r="E1026" s="11" t="s">
        <v>1062</v>
      </c>
      <c r="F1026" s="11" t="s">
        <v>1839</v>
      </c>
      <c r="J1026" s="11">
        <v>-29.0590724945068</v>
      </c>
      <c r="K1026" s="11">
        <v>-42.1598091125488</v>
      </c>
      <c r="L1026" s="11" t="s">
        <v>1390</v>
      </c>
      <c r="M1026" s="11" t="s">
        <v>1390</v>
      </c>
      <c r="N1026" s="11" t="s">
        <v>1062</v>
      </c>
      <c r="O1026" s="11" t="s">
        <v>1839</v>
      </c>
    </row>
    <row r="1027">
      <c r="A1027" s="11">
        <v>-1.89425718784332</v>
      </c>
      <c r="B1027" s="11">
        <v>-26.8811511993408</v>
      </c>
      <c r="C1027" s="11" t="s">
        <v>1390</v>
      </c>
      <c r="D1027" s="11" t="s">
        <v>1390</v>
      </c>
      <c r="E1027" s="11" t="s">
        <v>1062</v>
      </c>
      <c r="F1027" s="11" t="s">
        <v>1842</v>
      </c>
      <c r="J1027" s="11">
        <v>-28.9667625427246</v>
      </c>
      <c r="K1027" s="11">
        <v>-44.2510528564453</v>
      </c>
      <c r="L1027" s="11" t="s">
        <v>1390</v>
      </c>
      <c r="M1027" s="11" t="s">
        <v>1390</v>
      </c>
      <c r="N1027" s="11" t="s">
        <v>1062</v>
      </c>
      <c r="O1027" s="11" t="s">
        <v>1842</v>
      </c>
    </row>
    <row r="1028">
      <c r="A1028" s="11">
        <v>-7.06657028198242</v>
      </c>
      <c r="B1028" s="11">
        <v>-14.1082019805908</v>
      </c>
      <c r="C1028" s="11" t="s">
        <v>1390</v>
      </c>
      <c r="D1028" s="11" t="s">
        <v>1390</v>
      </c>
      <c r="E1028" s="11" t="s">
        <v>1062</v>
      </c>
      <c r="F1028" s="11" t="s">
        <v>1844</v>
      </c>
      <c r="J1028" s="11">
        <v>-5.04829311370849</v>
      </c>
      <c r="K1028" s="11">
        <v>-19.8938694000244</v>
      </c>
      <c r="L1028" s="11" t="s">
        <v>1390</v>
      </c>
      <c r="M1028" s="11" t="s">
        <v>1390</v>
      </c>
      <c r="N1028" s="11" t="s">
        <v>1062</v>
      </c>
      <c r="O1028" s="11" t="s">
        <v>1844</v>
      </c>
    </row>
    <row r="1029">
      <c r="A1029" s="11">
        <v>-1.77047622203826</v>
      </c>
      <c r="B1029" s="11">
        <v>-11.2263107299804</v>
      </c>
      <c r="C1029" s="11" t="s">
        <v>1390</v>
      </c>
      <c r="D1029" s="11" t="s">
        <v>1390</v>
      </c>
      <c r="E1029" s="11" t="s">
        <v>1062</v>
      </c>
      <c r="F1029" s="11" t="s">
        <v>1846</v>
      </c>
      <c r="J1029" s="11">
        <v>-26.2111301422119</v>
      </c>
      <c r="K1029" s="11">
        <v>-29.9762859344482</v>
      </c>
      <c r="L1029" s="11" t="s">
        <v>1390</v>
      </c>
      <c r="M1029" s="11" t="s">
        <v>1390</v>
      </c>
      <c r="N1029" s="11" t="s">
        <v>1062</v>
      </c>
      <c r="O1029" s="11" t="s">
        <v>1846</v>
      </c>
    </row>
    <row r="1030">
      <c r="A1030" s="11">
        <v>21.9325256347656</v>
      </c>
      <c r="B1030" s="11">
        <v>-23.9716110229492</v>
      </c>
      <c r="C1030" s="11" t="s">
        <v>1390</v>
      </c>
      <c r="D1030" s="11" t="s">
        <v>1390</v>
      </c>
      <c r="E1030" s="11" t="s">
        <v>1062</v>
      </c>
      <c r="F1030" s="11" t="s">
        <v>1847</v>
      </c>
      <c r="J1030" s="11">
        <v>-11.738408088684</v>
      </c>
      <c r="K1030" s="11">
        <v>-30.837251663208</v>
      </c>
      <c r="L1030" s="11" t="s">
        <v>1390</v>
      </c>
      <c r="M1030" s="11" t="s">
        <v>1390</v>
      </c>
      <c r="N1030" s="11" t="s">
        <v>1062</v>
      </c>
      <c r="O1030" s="11" t="s">
        <v>1847</v>
      </c>
    </row>
    <row r="1031">
      <c r="A1031" s="11">
        <v>2.18592190742492</v>
      </c>
      <c r="B1031" s="11">
        <v>-23.5441150665283</v>
      </c>
      <c r="C1031" s="11" t="s">
        <v>1390</v>
      </c>
      <c r="D1031" s="11" t="s">
        <v>1390</v>
      </c>
      <c r="E1031" s="11" t="s">
        <v>1062</v>
      </c>
      <c r="F1031" s="11" t="s">
        <v>1849</v>
      </c>
      <c r="J1031" s="11">
        <v>-31.0122470855712</v>
      </c>
      <c r="K1031" s="11">
        <v>-46.474365234375</v>
      </c>
      <c r="L1031" s="11" t="s">
        <v>1390</v>
      </c>
      <c r="M1031" s="11" t="s">
        <v>1390</v>
      </c>
      <c r="N1031" s="11" t="s">
        <v>1062</v>
      </c>
      <c r="O1031" s="11" t="s">
        <v>1849</v>
      </c>
    </row>
    <row r="1032">
      <c r="A1032" s="11">
        <v>5.95444917678833</v>
      </c>
      <c r="B1032" s="11">
        <v>-19.3655414581298</v>
      </c>
      <c r="C1032" s="11" t="s">
        <v>1390</v>
      </c>
      <c r="D1032" s="11" t="s">
        <v>1390</v>
      </c>
      <c r="E1032" s="11" t="s">
        <v>1062</v>
      </c>
      <c r="F1032" s="11" t="s">
        <v>1851</v>
      </c>
      <c r="J1032" s="11">
        <v>-2.46211576461792</v>
      </c>
      <c r="K1032" s="11">
        <v>-34.1237411499023</v>
      </c>
      <c r="L1032" s="11" t="s">
        <v>1390</v>
      </c>
      <c r="M1032" s="11" t="s">
        <v>1390</v>
      </c>
      <c r="N1032" s="11" t="s">
        <v>1062</v>
      </c>
      <c r="O1032" s="11" t="s">
        <v>1851</v>
      </c>
    </row>
    <row r="1033">
      <c r="A1033" s="11">
        <v>-1.33199739456176</v>
      </c>
      <c r="B1033" s="11">
        <v>-45.142650604248</v>
      </c>
      <c r="C1033" s="11" t="s">
        <v>1390</v>
      </c>
      <c r="D1033" s="11" t="s">
        <v>1390</v>
      </c>
      <c r="E1033" s="11" t="s">
        <v>1062</v>
      </c>
      <c r="F1033" s="11" t="s">
        <v>1854</v>
      </c>
      <c r="J1033" s="11">
        <v>-25.6571712493896</v>
      </c>
      <c r="K1033" s="11">
        <v>-40.746726989746</v>
      </c>
      <c r="L1033" s="11" t="s">
        <v>1390</v>
      </c>
      <c r="M1033" s="11" t="s">
        <v>1390</v>
      </c>
      <c r="N1033" s="11" t="s">
        <v>1062</v>
      </c>
      <c r="O1033" s="11" t="s">
        <v>1854</v>
      </c>
    </row>
    <row r="1034">
      <c r="A1034" s="11">
        <v>-4.23899841308593</v>
      </c>
      <c r="B1034" s="11">
        <v>-28.4606323242187</v>
      </c>
      <c r="C1034" s="11" t="s">
        <v>1390</v>
      </c>
      <c r="D1034" s="11" t="s">
        <v>1390</v>
      </c>
      <c r="E1034" s="11" t="s">
        <v>1062</v>
      </c>
      <c r="F1034" s="11" t="s">
        <v>1855</v>
      </c>
      <c r="J1034" s="11">
        <v>42.3656463623046</v>
      </c>
      <c r="K1034" s="11">
        <v>0.468923836946487</v>
      </c>
      <c r="L1034" s="11" t="s">
        <v>1390</v>
      </c>
      <c r="M1034" s="11" t="s">
        <v>1390</v>
      </c>
      <c r="N1034" s="11" t="s">
        <v>1062</v>
      </c>
      <c r="O1034" s="11" t="s">
        <v>1855</v>
      </c>
    </row>
    <row r="1035">
      <c r="A1035" s="11">
        <v>21.9748878479003</v>
      </c>
      <c r="B1035" s="11">
        <v>-10.4686269760131</v>
      </c>
      <c r="C1035" s="11" t="s">
        <v>1390</v>
      </c>
      <c r="D1035" s="11" t="s">
        <v>1390</v>
      </c>
      <c r="E1035" s="11" t="s">
        <v>1062</v>
      </c>
      <c r="F1035" s="11" t="s">
        <v>1857</v>
      </c>
      <c r="J1035" s="11">
        <v>-16.1023406982421</v>
      </c>
      <c r="K1035" s="11">
        <v>-32.7614631652832</v>
      </c>
      <c r="L1035" s="11" t="s">
        <v>1390</v>
      </c>
      <c r="M1035" s="11" t="s">
        <v>1390</v>
      </c>
      <c r="N1035" s="11" t="s">
        <v>1062</v>
      </c>
      <c r="O1035" s="11" t="s">
        <v>1857</v>
      </c>
    </row>
    <row r="1036">
      <c r="A1036" s="11">
        <v>16.7421798706054</v>
      </c>
      <c r="B1036" s="11">
        <v>-36.0419960021972</v>
      </c>
      <c r="C1036" s="11" t="s">
        <v>1390</v>
      </c>
      <c r="D1036" s="11" t="s">
        <v>1390</v>
      </c>
      <c r="E1036" s="11" t="s">
        <v>1062</v>
      </c>
      <c r="F1036" s="11" t="s">
        <v>1859</v>
      </c>
      <c r="J1036" s="11">
        <v>-33.4265899658203</v>
      </c>
      <c r="K1036" s="11">
        <v>-44.2801208496093</v>
      </c>
      <c r="L1036" s="11" t="s">
        <v>1390</v>
      </c>
      <c r="M1036" s="11" t="s">
        <v>1390</v>
      </c>
      <c r="N1036" s="11" t="s">
        <v>1062</v>
      </c>
      <c r="O1036" s="11" t="s">
        <v>1859</v>
      </c>
    </row>
    <row r="1037">
      <c r="A1037" s="11">
        <v>-10.3360548019409</v>
      </c>
      <c r="B1037" s="11">
        <v>-22.7434921264648</v>
      </c>
      <c r="C1037" s="11" t="s">
        <v>1390</v>
      </c>
      <c r="D1037" s="11" t="s">
        <v>1390</v>
      </c>
      <c r="E1037" s="11" t="s">
        <v>1062</v>
      </c>
      <c r="F1037" s="11" t="s">
        <v>1861</v>
      </c>
      <c r="J1037" s="11">
        <v>-26.8562755584716</v>
      </c>
      <c r="K1037" s="11">
        <v>-49.4453010559082</v>
      </c>
      <c r="L1037" s="11" t="s">
        <v>1390</v>
      </c>
      <c r="M1037" s="11" t="s">
        <v>1390</v>
      </c>
      <c r="N1037" s="11" t="s">
        <v>1062</v>
      </c>
      <c r="O1037" s="11" t="s">
        <v>1861</v>
      </c>
    </row>
    <row r="1038">
      <c r="A1038" s="11">
        <v>-13.3918886184692</v>
      </c>
      <c r="B1038" s="11">
        <v>-41.0770835876464</v>
      </c>
      <c r="C1038" s="11" t="s">
        <v>1390</v>
      </c>
      <c r="D1038" s="11" t="s">
        <v>1390</v>
      </c>
      <c r="E1038" s="11" t="s">
        <v>1062</v>
      </c>
      <c r="F1038" s="11" t="s">
        <v>1863</v>
      </c>
      <c r="J1038" s="11">
        <v>-30.0357608795166</v>
      </c>
      <c r="K1038" s="11">
        <v>-35.5923881530761</v>
      </c>
      <c r="L1038" s="11" t="s">
        <v>1390</v>
      </c>
      <c r="M1038" s="11" t="s">
        <v>1390</v>
      </c>
      <c r="N1038" s="11" t="s">
        <v>1062</v>
      </c>
      <c r="O1038" s="11" t="s">
        <v>1863</v>
      </c>
    </row>
    <row r="1039">
      <c r="A1039" s="11">
        <v>-15.7057409286499</v>
      </c>
      <c r="B1039" s="11">
        <v>-59.3777351379394</v>
      </c>
      <c r="C1039" s="11" t="s">
        <v>1390</v>
      </c>
      <c r="D1039" s="11" t="s">
        <v>1390</v>
      </c>
      <c r="E1039" s="11" t="s">
        <v>1062</v>
      </c>
      <c r="F1039" s="11" t="s">
        <v>1865</v>
      </c>
      <c r="J1039" s="11">
        <v>-20.0818138122558</v>
      </c>
      <c r="K1039" s="11">
        <v>-37.44136428833</v>
      </c>
      <c r="L1039" s="11" t="s">
        <v>1390</v>
      </c>
      <c r="M1039" s="11" t="s">
        <v>1390</v>
      </c>
      <c r="N1039" s="11" t="s">
        <v>1062</v>
      </c>
      <c r="O1039" s="11" t="s">
        <v>1865</v>
      </c>
    </row>
    <row r="1040">
      <c r="A1040" s="11">
        <v>-13.3918886184692</v>
      </c>
      <c r="B1040" s="11">
        <v>-41.0770835876464</v>
      </c>
      <c r="C1040" s="11" t="s">
        <v>1390</v>
      </c>
      <c r="D1040" s="11" t="s">
        <v>1390</v>
      </c>
      <c r="E1040" s="11" t="s">
        <v>1062</v>
      </c>
      <c r="F1040" s="11" t="s">
        <v>1867</v>
      </c>
      <c r="J1040" s="11">
        <v>-30.0353469848632</v>
      </c>
      <c r="K1040" s="11">
        <v>-35.5926933288574</v>
      </c>
      <c r="L1040" s="11" t="s">
        <v>1390</v>
      </c>
      <c r="M1040" s="11" t="s">
        <v>1390</v>
      </c>
      <c r="N1040" s="11" t="s">
        <v>1062</v>
      </c>
      <c r="O1040" s="11" t="s">
        <v>1867</v>
      </c>
    </row>
    <row r="1041">
      <c r="A1041" s="11">
        <v>-11.4363098144531</v>
      </c>
      <c r="B1041" s="11">
        <v>-16.8006954193115</v>
      </c>
      <c r="C1041" s="11" t="s">
        <v>1390</v>
      </c>
      <c r="D1041" s="11" t="s">
        <v>1390</v>
      </c>
      <c r="E1041" s="11" t="s">
        <v>1062</v>
      </c>
      <c r="F1041" s="11" t="s">
        <v>1869</v>
      </c>
      <c r="J1041" s="11">
        <v>24.7338752746582</v>
      </c>
      <c r="K1041" s="11">
        <v>-36.2760200500488</v>
      </c>
      <c r="L1041" s="11" t="s">
        <v>1390</v>
      </c>
      <c r="M1041" s="11" t="s">
        <v>1390</v>
      </c>
      <c r="N1041" s="11" t="s">
        <v>1062</v>
      </c>
      <c r="O1041" s="11" t="s">
        <v>1869</v>
      </c>
    </row>
    <row r="1042">
      <c r="A1042" s="11">
        <v>0.071363165974617</v>
      </c>
      <c r="B1042" s="11">
        <v>-24.2601337432861</v>
      </c>
      <c r="C1042" s="11" t="s">
        <v>1390</v>
      </c>
      <c r="D1042" s="11" t="s">
        <v>1390</v>
      </c>
      <c r="E1042" s="11" t="s">
        <v>1062</v>
      </c>
      <c r="F1042" s="11" t="s">
        <v>1871</v>
      </c>
      <c r="J1042" s="11">
        <v>-39.2543487548828</v>
      </c>
      <c r="K1042" s="11">
        <v>-48.1417274475097</v>
      </c>
      <c r="L1042" s="11" t="s">
        <v>1390</v>
      </c>
      <c r="M1042" s="11" t="s">
        <v>1390</v>
      </c>
      <c r="N1042" s="11" t="s">
        <v>1062</v>
      </c>
      <c r="O1042" s="11" t="s">
        <v>1871</v>
      </c>
    </row>
    <row r="1043">
      <c r="A1043" s="11">
        <v>-17.1777400970459</v>
      </c>
      <c r="B1043" s="11">
        <v>-58.6073265075683</v>
      </c>
      <c r="C1043" s="11" t="s">
        <v>1390</v>
      </c>
      <c r="D1043" s="11" t="s">
        <v>1390</v>
      </c>
      <c r="E1043" s="11" t="s">
        <v>1062</v>
      </c>
      <c r="F1043" s="11" t="s">
        <v>1873</v>
      </c>
      <c r="J1043" s="11">
        <v>-20.3334255218505</v>
      </c>
      <c r="K1043" s="11">
        <v>-36.5924606323242</v>
      </c>
      <c r="L1043" s="11" t="s">
        <v>1390</v>
      </c>
      <c r="M1043" s="11" t="s">
        <v>1390</v>
      </c>
      <c r="N1043" s="11" t="s">
        <v>1062</v>
      </c>
      <c r="O1043" s="11" t="s">
        <v>1873</v>
      </c>
    </row>
    <row r="1044">
      <c r="A1044" s="11">
        <v>22.8147830963134</v>
      </c>
      <c r="B1044" s="11">
        <v>-16.7239646911621</v>
      </c>
      <c r="C1044" s="11" t="s">
        <v>1390</v>
      </c>
      <c r="D1044" s="11" t="s">
        <v>1390</v>
      </c>
      <c r="E1044" s="11" t="s">
        <v>1062</v>
      </c>
      <c r="F1044" s="11" t="s">
        <v>1876</v>
      </c>
      <c r="J1044" s="11">
        <v>-30.3849067687988</v>
      </c>
      <c r="K1044" s="11">
        <v>-53.486026763916</v>
      </c>
      <c r="L1044" s="11" t="s">
        <v>1390</v>
      </c>
      <c r="M1044" s="11" t="s">
        <v>1390</v>
      </c>
      <c r="N1044" s="11" t="s">
        <v>1062</v>
      </c>
      <c r="O1044" s="11" t="s">
        <v>1876</v>
      </c>
    </row>
    <row r="1045">
      <c r="A1045" s="11">
        <v>44.216079711914</v>
      </c>
      <c r="B1045" s="11">
        <v>-13.1494750976562</v>
      </c>
      <c r="C1045" s="11" t="s">
        <v>2524</v>
      </c>
      <c r="D1045" s="11" t="s">
        <v>2524</v>
      </c>
      <c r="E1045" s="11" t="s">
        <v>1062</v>
      </c>
      <c r="F1045" s="11" t="s">
        <v>2526</v>
      </c>
      <c r="J1045" s="11">
        <v>-69.3151245117187</v>
      </c>
      <c r="K1045" s="11">
        <v>-22.3569545745849</v>
      </c>
      <c r="L1045" s="11" t="s">
        <v>2524</v>
      </c>
      <c r="M1045" s="11" t="s">
        <v>2524</v>
      </c>
      <c r="N1045" s="11" t="s">
        <v>1062</v>
      </c>
      <c r="O1045" s="11" t="s">
        <v>2526</v>
      </c>
    </row>
    <row r="1046">
      <c r="A1046" s="11">
        <v>44.2148475646972</v>
      </c>
      <c r="B1046" s="11">
        <v>-13.1520290374755</v>
      </c>
      <c r="C1046" s="11" t="s">
        <v>2524</v>
      </c>
      <c r="D1046" s="11" t="s">
        <v>2524</v>
      </c>
      <c r="E1046" s="11" t="s">
        <v>1062</v>
      </c>
      <c r="F1046" s="11" t="s">
        <v>2530</v>
      </c>
      <c r="J1046" s="11">
        <v>-69.3360137939453</v>
      </c>
      <c r="K1046" s="11">
        <v>-22.377586364746</v>
      </c>
      <c r="L1046" s="11" t="s">
        <v>2524</v>
      </c>
      <c r="M1046" s="11" t="s">
        <v>2524</v>
      </c>
      <c r="N1046" s="11" t="s">
        <v>1062</v>
      </c>
      <c r="O1046" s="11" t="s">
        <v>2530</v>
      </c>
    </row>
    <row r="1047">
      <c r="A1047" s="11">
        <v>35.3522872924804</v>
      </c>
      <c r="B1047" s="11">
        <v>-10.6104927062988</v>
      </c>
      <c r="C1047" s="11" t="s">
        <v>2524</v>
      </c>
      <c r="D1047" s="11" t="s">
        <v>2524</v>
      </c>
      <c r="E1047" s="11" t="s">
        <v>1062</v>
      </c>
      <c r="F1047" s="11" t="s">
        <v>2534</v>
      </c>
      <c r="J1047" s="11">
        <v>-67.8929672241211</v>
      </c>
      <c r="K1047" s="11">
        <v>-20.8658504486084</v>
      </c>
      <c r="L1047" s="11" t="s">
        <v>2524</v>
      </c>
      <c r="M1047" s="11" t="s">
        <v>2524</v>
      </c>
      <c r="N1047" s="11" t="s">
        <v>1062</v>
      </c>
      <c r="O1047" s="11" t="s">
        <v>2534</v>
      </c>
    </row>
    <row r="1048">
      <c r="A1048" s="11">
        <v>39.4180641174316</v>
      </c>
      <c r="B1048" s="11">
        <v>-11.9669666290283</v>
      </c>
      <c r="C1048" s="11" t="s">
        <v>2524</v>
      </c>
      <c r="D1048" s="11" t="s">
        <v>2524</v>
      </c>
      <c r="E1048" s="11" t="s">
        <v>1062</v>
      </c>
      <c r="F1048" s="11" t="s">
        <v>2538</v>
      </c>
      <c r="J1048" s="11">
        <v>-67.7844772338867</v>
      </c>
      <c r="K1048" s="11">
        <v>-21.9041671752929</v>
      </c>
      <c r="L1048" s="11" t="s">
        <v>2524</v>
      </c>
      <c r="M1048" s="11" t="s">
        <v>2524</v>
      </c>
      <c r="N1048" s="11" t="s">
        <v>1062</v>
      </c>
      <c r="O1048" s="11" t="s">
        <v>2538</v>
      </c>
    </row>
    <row r="1049">
      <c r="A1049" s="11">
        <v>66.4438095092773</v>
      </c>
      <c r="B1049" s="11">
        <v>-30.8610820770263</v>
      </c>
      <c r="C1049" s="11" t="s">
        <v>2524</v>
      </c>
      <c r="D1049" s="11" t="s">
        <v>2524</v>
      </c>
      <c r="E1049" s="11" t="s">
        <v>1062</v>
      </c>
      <c r="F1049" s="11" t="s">
        <v>2540</v>
      </c>
      <c r="J1049" s="11">
        <v>-66.6379241943359</v>
      </c>
      <c r="K1049" s="11">
        <v>-17.4670715332031</v>
      </c>
      <c r="L1049" s="11" t="s">
        <v>2524</v>
      </c>
      <c r="M1049" s="11" t="s">
        <v>2524</v>
      </c>
      <c r="N1049" s="11" t="s">
        <v>1062</v>
      </c>
      <c r="O1049" s="11" t="s">
        <v>2540</v>
      </c>
    </row>
    <row r="1050">
      <c r="A1050" s="11">
        <v>-16.2745876312255</v>
      </c>
      <c r="B1050" s="11">
        <v>-13.7415256500244</v>
      </c>
      <c r="C1050" s="11" t="s">
        <v>2524</v>
      </c>
      <c r="D1050" s="11" t="s">
        <v>2524</v>
      </c>
      <c r="E1050" s="11" t="s">
        <v>1062</v>
      </c>
      <c r="F1050" s="11" t="s">
        <v>2544</v>
      </c>
      <c r="J1050" s="11">
        <v>60.1159362792968</v>
      </c>
      <c r="K1050" s="11">
        <v>-25.2429676055908</v>
      </c>
      <c r="L1050" s="11" t="s">
        <v>2524</v>
      </c>
      <c r="M1050" s="11" t="s">
        <v>2524</v>
      </c>
      <c r="N1050" s="11" t="s">
        <v>1062</v>
      </c>
      <c r="O1050" s="11" t="s">
        <v>2544</v>
      </c>
    </row>
    <row r="1051">
      <c r="A1051" s="11">
        <v>65.6693954467773</v>
      </c>
      <c r="B1051" s="11">
        <v>-32.7330284118652</v>
      </c>
      <c r="C1051" s="11" t="s">
        <v>2524</v>
      </c>
      <c r="D1051" s="11" t="s">
        <v>2524</v>
      </c>
      <c r="E1051" s="11" t="s">
        <v>1062</v>
      </c>
      <c r="F1051" s="11" t="s">
        <v>2547</v>
      </c>
      <c r="J1051" s="11">
        <v>-67.4816284179687</v>
      </c>
      <c r="K1051" s="11">
        <v>-18.355354309082</v>
      </c>
      <c r="L1051" s="11" t="s">
        <v>2524</v>
      </c>
      <c r="M1051" s="11" t="s">
        <v>2524</v>
      </c>
      <c r="N1051" s="11" t="s">
        <v>1062</v>
      </c>
      <c r="O1051" s="11" t="s">
        <v>2547</v>
      </c>
    </row>
    <row r="1052">
      <c r="A1052" s="11">
        <v>67.492317199707</v>
      </c>
      <c r="B1052" s="11">
        <v>-30.8616104125976</v>
      </c>
      <c r="C1052" s="11" t="s">
        <v>2524</v>
      </c>
      <c r="D1052" s="11" t="s">
        <v>2524</v>
      </c>
      <c r="E1052" s="11" t="s">
        <v>1062</v>
      </c>
      <c r="F1052" s="11" t="s">
        <v>2551</v>
      </c>
      <c r="J1052" s="11">
        <v>-67.1172790527343</v>
      </c>
      <c r="K1052" s="11">
        <v>-17.169261932373</v>
      </c>
      <c r="L1052" s="11" t="s">
        <v>2524</v>
      </c>
      <c r="M1052" s="11" t="s">
        <v>2524</v>
      </c>
      <c r="N1052" s="11" t="s">
        <v>1062</v>
      </c>
      <c r="O1052" s="11" t="s">
        <v>2551</v>
      </c>
    </row>
    <row r="1053">
      <c r="A1053" s="11">
        <v>2.33838653564453</v>
      </c>
      <c r="B1053" s="11">
        <v>3.78385758399963</v>
      </c>
      <c r="C1053" s="11" t="s">
        <v>2524</v>
      </c>
      <c r="D1053" s="11" t="s">
        <v>2524</v>
      </c>
      <c r="E1053" s="11" t="s">
        <v>1062</v>
      </c>
      <c r="F1053" s="11" t="s">
        <v>2555</v>
      </c>
      <c r="J1053" s="11">
        <v>-65.8768539428711</v>
      </c>
      <c r="K1053" s="11">
        <v>-24.410530090332</v>
      </c>
      <c r="L1053" s="11" t="s">
        <v>2524</v>
      </c>
      <c r="M1053" s="11" t="s">
        <v>2524</v>
      </c>
      <c r="N1053" s="11" t="s">
        <v>1062</v>
      </c>
      <c r="O1053" s="11" t="s">
        <v>2555</v>
      </c>
    </row>
    <row r="1054">
      <c r="A1054" s="11">
        <v>61.9766731262207</v>
      </c>
      <c r="B1054" s="11">
        <v>-28.4359378814697</v>
      </c>
      <c r="C1054" s="11" t="s">
        <v>2524</v>
      </c>
      <c r="D1054" s="11" t="s">
        <v>2524</v>
      </c>
      <c r="E1054" s="11" t="s">
        <v>1062</v>
      </c>
      <c r="F1054" s="11" t="s">
        <v>2557</v>
      </c>
      <c r="J1054" s="11">
        <v>-68.6043472290039</v>
      </c>
      <c r="K1054" s="11">
        <v>-19.1256675720214</v>
      </c>
      <c r="L1054" s="11" t="s">
        <v>2524</v>
      </c>
      <c r="M1054" s="11" t="s">
        <v>2524</v>
      </c>
      <c r="N1054" s="11" t="s">
        <v>1062</v>
      </c>
      <c r="O1054" s="11" t="s">
        <v>2557</v>
      </c>
    </row>
    <row r="1055">
      <c r="A1055" s="11">
        <v>17.8206672668457</v>
      </c>
      <c r="B1055" s="11">
        <v>-9.16923332214355</v>
      </c>
      <c r="C1055" s="11" t="s">
        <v>2524</v>
      </c>
      <c r="D1055" s="11" t="s">
        <v>2524</v>
      </c>
      <c r="E1055" s="11" t="s">
        <v>1062</v>
      </c>
      <c r="F1055" s="11" t="s">
        <v>2558</v>
      </c>
      <c r="J1055" s="11">
        <v>-58.7679786682128</v>
      </c>
      <c r="K1055" s="11">
        <v>-22.2341537475585</v>
      </c>
      <c r="L1055" s="11" t="s">
        <v>2524</v>
      </c>
      <c r="M1055" s="11" t="s">
        <v>2524</v>
      </c>
      <c r="N1055" s="11" t="s">
        <v>1062</v>
      </c>
      <c r="O1055" s="11" t="s">
        <v>2558</v>
      </c>
    </row>
    <row r="1056">
      <c r="A1056" s="11">
        <v>63.0695266723632</v>
      </c>
      <c r="B1056" s="11">
        <v>-24.8351078033447</v>
      </c>
      <c r="C1056" s="11" t="s">
        <v>2524</v>
      </c>
      <c r="D1056" s="11" t="s">
        <v>2524</v>
      </c>
      <c r="E1056" s="11" t="s">
        <v>1062</v>
      </c>
      <c r="F1056" s="11" t="s">
        <v>2559</v>
      </c>
      <c r="J1056" s="11">
        <v>-67.3013076782226</v>
      </c>
      <c r="K1056" s="11">
        <v>-20.7548809051513</v>
      </c>
      <c r="L1056" s="11" t="s">
        <v>2524</v>
      </c>
      <c r="M1056" s="11" t="s">
        <v>2524</v>
      </c>
      <c r="N1056" s="11" t="s">
        <v>1062</v>
      </c>
      <c r="O1056" s="11" t="s">
        <v>2559</v>
      </c>
    </row>
    <row r="1057">
      <c r="A1057" s="11">
        <v>66.4673080444336</v>
      </c>
      <c r="B1057" s="11">
        <v>-30.069444656372</v>
      </c>
      <c r="C1057" s="11" t="s">
        <v>2524</v>
      </c>
      <c r="D1057" s="11" t="s">
        <v>2524</v>
      </c>
      <c r="E1057" s="11" t="s">
        <v>1062</v>
      </c>
      <c r="F1057" s="11" t="s">
        <v>2560</v>
      </c>
      <c r="J1057" s="11">
        <v>-66.4128112792968</v>
      </c>
      <c r="K1057" s="11">
        <v>-16.4956626892089</v>
      </c>
      <c r="L1057" s="11" t="s">
        <v>2524</v>
      </c>
      <c r="M1057" s="11" t="s">
        <v>2524</v>
      </c>
      <c r="N1057" s="11" t="s">
        <v>1062</v>
      </c>
      <c r="O1057" s="11" t="s">
        <v>2560</v>
      </c>
    </row>
    <row r="1058">
      <c r="A1058" s="11">
        <v>64.6536407470703</v>
      </c>
      <c r="B1058" s="11">
        <v>-34.2378387451171</v>
      </c>
      <c r="C1058" s="11" t="s">
        <v>2524</v>
      </c>
      <c r="D1058" s="11" t="s">
        <v>2524</v>
      </c>
      <c r="E1058" s="11" t="s">
        <v>1062</v>
      </c>
      <c r="F1058" s="11" t="s">
        <v>2561</v>
      </c>
      <c r="J1058" s="11">
        <v>-66.5113372802734</v>
      </c>
      <c r="K1058" s="11">
        <v>-21.1805324554443</v>
      </c>
      <c r="L1058" s="11" t="s">
        <v>2524</v>
      </c>
      <c r="M1058" s="11" t="s">
        <v>2524</v>
      </c>
      <c r="N1058" s="11" t="s">
        <v>1062</v>
      </c>
      <c r="O1058" s="11" t="s">
        <v>2561</v>
      </c>
    </row>
    <row r="1059">
      <c r="A1059" s="11">
        <v>3.50444173812866</v>
      </c>
      <c r="B1059" s="11">
        <v>0.873300313949585</v>
      </c>
      <c r="C1059" s="11" t="s">
        <v>2524</v>
      </c>
      <c r="D1059" s="11" t="s">
        <v>2524</v>
      </c>
      <c r="E1059" s="11" t="s">
        <v>1062</v>
      </c>
      <c r="F1059" s="11" t="s">
        <v>2562</v>
      </c>
      <c r="J1059" s="11">
        <v>-59.9345817565918</v>
      </c>
      <c r="K1059" s="11">
        <v>-15.2628202438354</v>
      </c>
      <c r="L1059" s="11" t="s">
        <v>2524</v>
      </c>
      <c r="M1059" s="11" t="s">
        <v>2524</v>
      </c>
      <c r="N1059" s="11" t="s">
        <v>1062</v>
      </c>
      <c r="O1059" s="11" t="s">
        <v>2562</v>
      </c>
    </row>
    <row r="1060">
      <c r="A1060" s="11">
        <v>36.0120239257812</v>
      </c>
      <c r="B1060" s="11">
        <v>-10.8998775482177</v>
      </c>
      <c r="C1060" s="11" t="s">
        <v>2524</v>
      </c>
      <c r="D1060" s="11" t="s">
        <v>2524</v>
      </c>
      <c r="E1060" s="11" t="s">
        <v>1062</v>
      </c>
      <c r="F1060" s="11" t="s">
        <v>2563</v>
      </c>
      <c r="J1060" s="11">
        <v>-63.3410301208496</v>
      </c>
      <c r="K1060" s="11">
        <v>-19.0393161773681</v>
      </c>
      <c r="L1060" s="11" t="s">
        <v>2524</v>
      </c>
      <c r="M1060" s="11" t="s">
        <v>2524</v>
      </c>
      <c r="N1060" s="11" t="s">
        <v>1062</v>
      </c>
      <c r="O1060" s="11" t="s">
        <v>2563</v>
      </c>
    </row>
    <row r="1061">
      <c r="A1061" s="11">
        <v>43.1369094848632</v>
      </c>
      <c r="B1061" s="11">
        <v>-9.37745094299316</v>
      </c>
      <c r="C1061" s="11" t="s">
        <v>2524</v>
      </c>
      <c r="D1061" s="11" t="s">
        <v>2524</v>
      </c>
      <c r="E1061" s="11" t="s">
        <v>1062</v>
      </c>
      <c r="F1061" s="11" t="s">
        <v>2564</v>
      </c>
      <c r="J1061" s="11">
        <v>-60.9149703979492</v>
      </c>
      <c r="K1061" s="11">
        <v>-18.6102752685546</v>
      </c>
      <c r="L1061" s="11" t="s">
        <v>2524</v>
      </c>
      <c r="M1061" s="11" t="s">
        <v>2524</v>
      </c>
      <c r="N1061" s="11" t="s">
        <v>1062</v>
      </c>
      <c r="O1061" s="11" t="s">
        <v>2564</v>
      </c>
    </row>
    <row r="1062">
      <c r="A1062" s="11">
        <v>3.50369691848754</v>
      </c>
      <c r="B1062" s="11">
        <v>0.874200105667114</v>
      </c>
      <c r="C1062" s="11" t="s">
        <v>2524</v>
      </c>
      <c r="D1062" s="11" t="s">
        <v>2524</v>
      </c>
      <c r="E1062" s="11" t="s">
        <v>1062</v>
      </c>
      <c r="F1062" s="11" t="s">
        <v>2565</v>
      </c>
      <c r="J1062" s="11">
        <v>-59.935317993164</v>
      </c>
      <c r="K1062" s="11">
        <v>-15.2642316818237</v>
      </c>
      <c r="L1062" s="11" t="s">
        <v>2524</v>
      </c>
      <c r="M1062" s="11" t="s">
        <v>2524</v>
      </c>
      <c r="N1062" s="11" t="s">
        <v>1062</v>
      </c>
      <c r="O1062" s="11" t="s">
        <v>2565</v>
      </c>
    </row>
    <row r="1063">
      <c r="A1063" s="11">
        <v>39.333194732666</v>
      </c>
      <c r="B1063" s="11">
        <v>-11.9682903289794</v>
      </c>
      <c r="C1063" s="11" t="s">
        <v>2524</v>
      </c>
      <c r="D1063" s="11" t="s">
        <v>2524</v>
      </c>
      <c r="E1063" s="11" t="s">
        <v>1062</v>
      </c>
      <c r="F1063" s="11" t="s">
        <v>2566</v>
      </c>
      <c r="J1063" s="11">
        <v>-67.5095672607421</v>
      </c>
      <c r="K1063" s="11">
        <v>-22.3026332855224</v>
      </c>
      <c r="L1063" s="11" t="s">
        <v>2524</v>
      </c>
      <c r="M1063" s="11" t="s">
        <v>2524</v>
      </c>
      <c r="N1063" s="11" t="s">
        <v>1062</v>
      </c>
      <c r="O1063" s="11" t="s">
        <v>2566</v>
      </c>
    </row>
    <row r="1064">
      <c r="A1064" s="11">
        <v>35.0065879821777</v>
      </c>
      <c r="B1064" s="11">
        <v>-12.7845525741577</v>
      </c>
      <c r="C1064" s="11" t="s">
        <v>2524</v>
      </c>
      <c r="D1064" s="11" t="s">
        <v>2524</v>
      </c>
      <c r="E1064" s="11" t="s">
        <v>1062</v>
      </c>
      <c r="F1064" s="11" t="s">
        <v>2567</v>
      </c>
      <c r="J1064" s="11">
        <v>-69.7873611450195</v>
      </c>
      <c r="K1064" s="11">
        <v>-15.5430326461792</v>
      </c>
      <c r="L1064" s="11" t="s">
        <v>2524</v>
      </c>
      <c r="M1064" s="11" t="s">
        <v>2524</v>
      </c>
      <c r="N1064" s="11" t="s">
        <v>1062</v>
      </c>
      <c r="O1064" s="11" t="s">
        <v>2567</v>
      </c>
    </row>
    <row r="1065">
      <c r="A1065" s="11">
        <v>47.3667221069335</v>
      </c>
      <c r="B1065" s="11">
        <v>-13.4202814102172</v>
      </c>
      <c r="C1065" s="11" t="s">
        <v>2524</v>
      </c>
      <c r="D1065" s="11" t="s">
        <v>2524</v>
      </c>
      <c r="E1065" s="11" t="s">
        <v>1062</v>
      </c>
      <c r="F1065" s="11" t="s">
        <v>2568</v>
      </c>
      <c r="J1065" s="11">
        <v>-65.5608673095703</v>
      </c>
      <c r="K1065" s="11">
        <v>-20.0020408630371</v>
      </c>
      <c r="L1065" s="11" t="s">
        <v>2524</v>
      </c>
      <c r="M1065" s="11" t="s">
        <v>2524</v>
      </c>
      <c r="N1065" s="11" t="s">
        <v>1062</v>
      </c>
      <c r="O1065" s="11" t="s">
        <v>2568</v>
      </c>
    </row>
    <row r="1066">
      <c r="A1066" s="11">
        <v>65.8665466308593</v>
      </c>
      <c r="B1066" s="11">
        <v>-33.6726837158203</v>
      </c>
      <c r="C1066" s="11" t="s">
        <v>2524</v>
      </c>
      <c r="D1066" s="11" t="s">
        <v>2524</v>
      </c>
      <c r="E1066" s="11" t="s">
        <v>1062</v>
      </c>
      <c r="F1066" s="11" t="s">
        <v>2569</v>
      </c>
      <c r="J1066" s="11">
        <v>-66.9005050659179</v>
      </c>
      <c r="K1066" s="11">
        <v>-19.5358524322509</v>
      </c>
      <c r="L1066" s="11" t="s">
        <v>2524</v>
      </c>
      <c r="M1066" s="11" t="s">
        <v>2524</v>
      </c>
      <c r="N1066" s="11" t="s">
        <v>1062</v>
      </c>
      <c r="O1066" s="11" t="s">
        <v>2569</v>
      </c>
    </row>
    <row r="1067">
      <c r="A1067" s="11">
        <v>60.1650161743164</v>
      </c>
      <c r="B1067" s="11">
        <v>-31.8303756713867</v>
      </c>
      <c r="C1067" s="11" t="s">
        <v>2524</v>
      </c>
      <c r="D1067" s="11" t="s">
        <v>2524</v>
      </c>
      <c r="E1067" s="11" t="s">
        <v>1062</v>
      </c>
      <c r="F1067" s="11" t="s">
        <v>2570</v>
      </c>
      <c r="J1067" s="11">
        <v>-64.0159530639648</v>
      </c>
      <c r="K1067" s="11">
        <v>-16.42041015625</v>
      </c>
      <c r="L1067" s="11" t="s">
        <v>2524</v>
      </c>
      <c r="M1067" s="11" t="s">
        <v>2524</v>
      </c>
      <c r="N1067" s="11" t="s">
        <v>1062</v>
      </c>
      <c r="O1067" s="11" t="s">
        <v>2570</v>
      </c>
    </row>
    <row r="1068">
      <c r="A1068" s="11">
        <v>60.5249557495117</v>
      </c>
      <c r="B1068" s="11">
        <v>-30.6155529022216</v>
      </c>
      <c r="C1068" s="11" t="s">
        <v>2524</v>
      </c>
      <c r="D1068" s="11" t="s">
        <v>2524</v>
      </c>
      <c r="E1068" s="11" t="s">
        <v>1062</v>
      </c>
      <c r="F1068" s="11" t="s">
        <v>2571</v>
      </c>
      <c r="J1068" s="11">
        <v>-64.9602127075195</v>
      </c>
      <c r="K1068" s="11">
        <v>-15.7370910644531</v>
      </c>
      <c r="L1068" s="11" t="s">
        <v>2524</v>
      </c>
      <c r="M1068" s="11" t="s">
        <v>2524</v>
      </c>
      <c r="N1068" s="11" t="s">
        <v>1062</v>
      </c>
      <c r="O1068" s="11" t="s">
        <v>2571</v>
      </c>
    </row>
    <row r="1069">
      <c r="A1069" s="11">
        <v>63.078010559082</v>
      </c>
      <c r="B1069" s="11">
        <v>-24.847354888916</v>
      </c>
      <c r="C1069" s="11" t="s">
        <v>2524</v>
      </c>
      <c r="D1069" s="11" t="s">
        <v>2524</v>
      </c>
      <c r="E1069" s="11" t="s">
        <v>1062</v>
      </c>
      <c r="F1069" s="11" t="s">
        <v>2572</v>
      </c>
      <c r="J1069" s="11">
        <v>-66.0265502929687</v>
      </c>
      <c r="K1069" s="11">
        <v>-18.6677989959716</v>
      </c>
      <c r="L1069" s="11" t="s">
        <v>2524</v>
      </c>
      <c r="M1069" s="11" t="s">
        <v>2524</v>
      </c>
      <c r="N1069" s="11" t="s">
        <v>1062</v>
      </c>
      <c r="O1069" s="11" t="s">
        <v>2572</v>
      </c>
    </row>
    <row r="1070">
      <c r="A1070" s="11">
        <v>32.1478004455566</v>
      </c>
      <c r="B1070" s="11">
        <v>-11.9537916183471</v>
      </c>
      <c r="C1070" s="11" t="s">
        <v>2524</v>
      </c>
      <c r="D1070" s="11" t="s">
        <v>2524</v>
      </c>
      <c r="E1070" s="11" t="s">
        <v>1062</v>
      </c>
      <c r="F1070" s="11" t="s">
        <v>2573</v>
      </c>
      <c r="J1070" s="11">
        <v>-62.9355697631835</v>
      </c>
      <c r="K1070" s="11">
        <v>-24.6672782897949</v>
      </c>
      <c r="L1070" s="11" t="s">
        <v>2524</v>
      </c>
      <c r="M1070" s="11" t="s">
        <v>2524</v>
      </c>
      <c r="N1070" s="11" t="s">
        <v>1062</v>
      </c>
      <c r="O1070" s="11" t="s">
        <v>2573</v>
      </c>
    </row>
    <row r="1071">
      <c r="A1071" s="11">
        <v>61.3390731811523</v>
      </c>
      <c r="B1071" s="11">
        <v>-27.9522132873535</v>
      </c>
      <c r="C1071" s="11" t="s">
        <v>2524</v>
      </c>
      <c r="D1071" s="11" t="s">
        <v>2524</v>
      </c>
      <c r="E1071" s="11" t="s">
        <v>1062</v>
      </c>
      <c r="F1071" s="11" t="s">
        <v>2574</v>
      </c>
      <c r="J1071" s="11">
        <v>-69.8906860351562</v>
      </c>
      <c r="K1071" s="11">
        <v>-18.4918575286865</v>
      </c>
      <c r="L1071" s="11" t="s">
        <v>2524</v>
      </c>
      <c r="M1071" s="11" t="s">
        <v>2524</v>
      </c>
      <c r="N1071" s="11" t="s">
        <v>1062</v>
      </c>
      <c r="O1071" s="11" t="s">
        <v>2574</v>
      </c>
    </row>
    <row r="1072">
      <c r="A1072" s="11">
        <v>28.8017673492431</v>
      </c>
      <c r="B1072" s="11">
        <v>-7.41223573684692</v>
      </c>
      <c r="C1072" s="11" t="s">
        <v>2524</v>
      </c>
      <c r="D1072" s="11" t="s">
        <v>2524</v>
      </c>
      <c r="E1072" s="11" t="s">
        <v>1062</v>
      </c>
      <c r="F1072" s="11" t="s">
        <v>2575</v>
      </c>
      <c r="J1072" s="11">
        <v>-62.7401504516601</v>
      </c>
      <c r="K1072" s="11">
        <v>-21.2793254852294</v>
      </c>
      <c r="L1072" s="11" t="s">
        <v>2524</v>
      </c>
      <c r="M1072" s="11" t="s">
        <v>2524</v>
      </c>
      <c r="N1072" s="11" t="s">
        <v>1062</v>
      </c>
      <c r="O1072" s="11" t="s">
        <v>2575</v>
      </c>
    </row>
    <row r="1073">
      <c r="A1073" s="11">
        <v>65.188606262207</v>
      </c>
      <c r="B1073" s="11">
        <v>-34.6384239196777</v>
      </c>
      <c r="C1073" s="11" t="s">
        <v>2524</v>
      </c>
      <c r="D1073" s="11" t="s">
        <v>2524</v>
      </c>
      <c r="E1073" s="11" t="s">
        <v>1062</v>
      </c>
      <c r="F1073" s="11" t="s">
        <v>2576</v>
      </c>
      <c r="J1073" s="11">
        <v>-67.4405136108398</v>
      </c>
      <c r="K1073" s="11">
        <v>-19.1270179748535</v>
      </c>
      <c r="L1073" s="11" t="s">
        <v>2524</v>
      </c>
      <c r="M1073" s="11" t="s">
        <v>2524</v>
      </c>
      <c r="N1073" s="11" t="s">
        <v>1062</v>
      </c>
      <c r="O1073" s="11" t="s">
        <v>2576</v>
      </c>
    </row>
    <row r="1074">
      <c r="A1074" s="11">
        <v>60.1123352050781</v>
      </c>
      <c r="B1074" s="11">
        <v>-31.9620494842529</v>
      </c>
      <c r="C1074" s="11" t="s">
        <v>2524</v>
      </c>
      <c r="D1074" s="11" t="s">
        <v>2524</v>
      </c>
      <c r="E1074" s="11" t="s">
        <v>1062</v>
      </c>
      <c r="F1074" s="11" t="s">
        <v>2577</v>
      </c>
      <c r="J1074" s="11">
        <v>-63.3542251586914</v>
      </c>
      <c r="K1074" s="11">
        <v>-17.7128791809082</v>
      </c>
      <c r="L1074" s="11" t="s">
        <v>2524</v>
      </c>
      <c r="M1074" s="11" t="s">
        <v>2524</v>
      </c>
      <c r="N1074" s="11" t="s">
        <v>1062</v>
      </c>
      <c r="O1074" s="11" t="s">
        <v>2577</v>
      </c>
    </row>
    <row r="1075">
      <c r="A1075" s="11">
        <v>67.492317199707</v>
      </c>
      <c r="B1075" s="11">
        <v>-30.8616104125976</v>
      </c>
      <c r="C1075" s="11" t="s">
        <v>2524</v>
      </c>
      <c r="D1075" s="11" t="s">
        <v>2524</v>
      </c>
      <c r="E1075" s="11" t="s">
        <v>1062</v>
      </c>
      <c r="F1075" s="11" t="s">
        <v>2578</v>
      </c>
      <c r="J1075" s="11">
        <v>-66.5502166748046</v>
      </c>
      <c r="K1075" s="11">
        <v>-17.2032718658447</v>
      </c>
      <c r="L1075" s="11" t="s">
        <v>2524</v>
      </c>
      <c r="M1075" s="11" t="s">
        <v>2524</v>
      </c>
      <c r="N1075" s="11" t="s">
        <v>1062</v>
      </c>
      <c r="O1075" s="11" t="s">
        <v>2578</v>
      </c>
    </row>
    <row r="1076">
      <c r="A1076" s="11">
        <v>6.16519927978515</v>
      </c>
      <c r="B1076" s="11">
        <v>15.656847000122</v>
      </c>
      <c r="C1076" s="11" t="s">
        <v>2524</v>
      </c>
      <c r="D1076" s="11" t="s">
        <v>2524</v>
      </c>
      <c r="E1076" s="11" t="s">
        <v>1062</v>
      </c>
      <c r="F1076" s="11" t="s">
        <v>2579</v>
      </c>
      <c r="J1076" s="11">
        <v>-62.1290168762207</v>
      </c>
      <c r="K1076" s="11">
        <v>-16.701826095581</v>
      </c>
      <c r="L1076" s="11" t="s">
        <v>2524</v>
      </c>
      <c r="M1076" s="11" t="s">
        <v>2524</v>
      </c>
      <c r="N1076" s="11" t="s">
        <v>1062</v>
      </c>
      <c r="O1076" s="11" t="s">
        <v>2579</v>
      </c>
    </row>
    <row r="1077">
      <c r="A1077" s="11">
        <v>63.3456230163574</v>
      </c>
      <c r="B1077" s="11">
        <v>-27.6332359313964</v>
      </c>
      <c r="C1077" s="11" t="s">
        <v>2524</v>
      </c>
      <c r="D1077" s="11" t="s">
        <v>2524</v>
      </c>
      <c r="E1077" s="11" t="s">
        <v>1062</v>
      </c>
      <c r="F1077" s="11" t="s">
        <v>2580</v>
      </c>
      <c r="J1077" s="11">
        <v>-69.3150558471679</v>
      </c>
      <c r="K1077" s="11">
        <v>-17.1551799774169</v>
      </c>
      <c r="L1077" s="11" t="s">
        <v>2524</v>
      </c>
      <c r="M1077" s="11" t="s">
        <v>2524</v>
      </c>
      <c r="N1077" s="11" t="s">
        <v>1062</v>
      </c>
      <c r="O1077" s="11" t="s">
        <v>2580</v>
      </c>
    </row>
    <row r="1078">
      <c r="A1078" s="11">
        <v>36.9393577575683</v>
      </c>
      <c r="B1078" s="11">
        <v>-13.240795135498</v>
      </c>
      <c r="C1078" s="11" t="s">
        <v>2524</v>
      </c>
      <c r="D1078" s="11" t="s">
        <v>2524</v>
      </c>
      <c r="E1078" s="11" t="s">
        <v>1062</v>
      </c>
      <c r="F1078" s="11" t="s">
        <v>2581</v>
      </c>
      <c r="J1078" s="11">
        <v>-64.3760833740234</v>
      </c>
      <c r="K1078" s="11">
        <v>-19.9928588867187</v>
      </c>
      <c r="L1078" s="11" t="s">
        <v>2524</v>
      </c>
      <c r="M1078" s="11" t="s">
        <v>2524</v>
      </c>
      <c r="N1078" s="11" t="s">
        <v>1062</v>
      </c>
      <c r="O1078" s="11" t="s">
        <v>2581</v>
      </c>
    </row>
    <row r="1079">
      <c r="A1079" s="11">
        <v>62.8500366210937</v>
      </c>
      <c r="B1079" s="11">
        <v>-32.7493019104003</v>
      </c>
      <c r="C1079" s="11" t="s">
        <v>2524</v>
      </c>
      <c r="D1079" s="11" t="s">
        <v>2524</v>
      </c>
      <c r="E1079" s="11" t="s">
        <v>1062</v>
      </c>
      <c r="F1079" s="11" t="s">
        <v>2582</v>
      </c>
      <c r="J1079" s="11">
        <v>-64.4475936889648</v>
      </c>
      <c r="K1079" s="11">
        <v>-18.5774707794189</v>
      </c>
      <c r="L1079" s="11" t="s">
        <v>2524</v>
      </c>
      <c r="M1079" s="11" t="s">
        <v>2524</v>
      </c>
      <c r="N1079" s="11" t="s">
        <v>1062</v>
      </c>
      <c r="O1079" s="11" t="s">
        <v>2582</v>
      </c>
    </row>
    <row r="1080">
      <c r="A1080" s="11">
        <v>66.4365921020507</v>
      </c>
      <c r="B1080" s="11">
        <v>-34.7417793273925</v>
      </c>
      <c r="C1080" s="11" t="s">
        <v>2524</v>
      </c>
      <c r="D1080" s="11" t="s">
        <v>2524</v>
      </c>
      <c r="E1080" s="11" t="s">
        <v>1062</v>
      </c>
      <c r="F1080" s="11" t="s">
        <v>2583</v>
      </c>
      <c r="J1080" s="11">
        <v>-66.2831420898437</v>
      </c>
      <c r="K1080" s="11">
        <v>-20.4914779663085</v>
      </c>
      <c r="L1080" s="11" t="s">
        <v>2524</v>
      </c>
      <c r="M1080" s="11" t="s">
        <v>2524</v>
      </c>
      <c r="N1080" s="11" t="s">
        <v>1062</v>
      </c>
      <c r="O1080" s="11" t="s">
        <v>2583</v>
      </c>
    </row>
    <row r="1081">
      <c r="A1081" s="11">
        <v>67.2884292602539</v>
      </c>
      <c r="B1081" s="11">
        <v>-29.7877445220947</v>
      </c>
      <c r="C1081" s="11" t="s">
        <v>2524</v>
      </c>
      <c r="D1081" s="11" t="s">
        <v>2524</v>
      </c>
      <c r="E1081" s="11" t="s">
        <v>1062</v>
      </c>
      <c r="F1081" s="11" t="s">
        <v>2584</v>
      </c>
      <c r="J1081" s="11">
        <v>-66.6966018676757</v>
      </c>
      <c r="K1081" s="11">
        <v>-16.2311954498291</v>
      </c>
      <c r="L1081" s="11" t="s">
        <v>2524</v>
      </c>
      <c r="M1081" s="11" t="s">
        <v>2524</v>
      </c>
      <c r="N1081" s="11" t="s">
        <v>1062</v>
      </c>
      <c r="O1081" s="11" t="s">
        <v>2584</v>
      </c>
    </row>
    <row r="1082">
      <c r="A1082" s="11">
        <v>4.41642522811889</v>
      </c>
      <c r="B1082" s="11">
        <v>-4.66261577606201</v>
      </c>
      <c r="C1082" s="11" t="s">
        <v>2524</v>
      </c>
      <c r="D1082" s="11" t="s">
        <v>2524</v>
      </c>
      <c r="E1082" s="11" t="s">
        <v>1062</v>
      </c>
      <c r="F1082" s="11" t="s">
        <v>2585</v>
      </c>
      <c r="J1082" s="11">
        <v>-64.4701309204101</v>
      </c>
      <c r="K1082" s="11">
        <v>-22.9703578948974</v>
      </c>
      <c r="L1082" s="11" t="s">
        <v>2524</v>
      </c>
      <c r="M1082" s="11" t="s">
        <v>2524</v>
      </c>
      <c r="N1082" s="11" t="s">
        <v>1062</v>
      </c>
      <c r="O1082" s="11" t="s">
        <v>2585</v>
      </c>
    </row>
    <row r="1083">
      <c r="A1083" s="11">
        <v>64.9606399536132</v>
      </c>
      <c r="B1083" s="11">
        <v>-33.2525634765625</v>
      </c>
      <c r="C1083" s="11" t="s">
        <v>2524</v>
      </c>
      <c r="D1083" s="11" t="s">
        <v>2524</v>
      </c>
      <c r="E1083" s="11" t="s">
        <v>1062</v>
      </c>
      <c r="F1083" s="11" t="s">
        <v>2586</v>
      </c>
      <c r="J1083" s="11">
        <v>-67.1492080688476</v>
      </c>
      <c r="K1083" s="11">
        <v>-14.7832489013671</v>
      </c>
      <c r="L1083" s="11" t="s">
        <v>2524</v>
      </c>
      <c r="M1083" s="11" t="s">
        <v>2524</v>
      </c>
      <c r="N1083" s="11" t="s">
        <v>1062</v>
      </c>
      <c r="O1083" s="11" t="s">
        <v>2586</v>
      </c>
    </row>
    <row r="1084">
      <c r="A1084" s="11">
        <v>62.7644386291503</v>
      </c>
      <c r="B1084" s="11">
        <v>-33.3230857849121</v>
      </c>
      <c r="C1084" s="11" t="s">
        <v>2524</v>
      </c>
      <c r="D1084" s="11" t="s">
        <v>2524</v>
      </c>
      <c r="E1084" s="11" t="s">
        <v>1062</v>
      </c>
      <c r="F1084" s="11" t="s">
        <v>2587</v>
      </c>
      <c r="J1084" s="11">
        <v>-64.8552703857421</v>
      </c>
      <c r="K1084" s="11">
        <v>-19.1466732025146</v>
      </c>
      <c r="L1084" s="11" t="s">
        <v>2524</v>
      </c>
      <c r="M1084" s="11" t="s">
        <v>2524</v>
      </c>
      <c r="N1084" s="11" t="s">
        <v>1062</v>
      </c>
      <c r="O1084" s="11" t="s">
        <v>2587</v>
      </c>
    </row>
    <row r="1085">
      <c r="A1085" s="11">
        <v>2.72747635841369</v>
      </c>
      <c r="B1085" s="11">
        <v>4.44566440582275</v>
      </c>
      <c r="C1085" s="11" t="s">
        <v>2524</v>
      </c>
      <c r="D1085" s="11" t="s">
        <v>2524</v>
      </c>
      <c r="E1085" s="11" t="s">
        <v>1062</v>
      </c>
      <c r="F1085" s="11" t="s">
        <v>2588</v>
      </c>
      <c r="J1085" s="11">
        <v>-65.975601196289</v>
      </c>
      <c r="K1085" s="11">
        <v>-23.750431060791</v>
      </c>
      <c r="L1085" s="11" t="s">
        <v>2524</v>
      </c>
      <c r="M1085" s="11" t="s">
        <v>2524</v>
      </c>
      <c r="N1085" s="11" t="s">
        <v>1062</v>
      </c>
      <c r="O1085" s="11" t="s">
        <v>2588</v>
      </c>
    </row>
    <row r="1086">
      <c r="A1086" s="11">
        <v>43.1681251525878</v>
      </c>
      <c r="B1086" s="11">
        <v>-9.3530158996582</v>
      </c>
      <c r="C1086" s="11" t="s">
        <v>2524</v>
      </c>
      <c r="D1086" s="11" t="s">
        <v>2524</v>
      </c>
      <c r="E1086" s="11" t="s">
        <v>1062</v>
      </c>
      <c r="F1086" s="11" t="s">
        <v>2589</v>
      </c>
      <c r="J1086" s="11">
        <v>-60.9302444458007</v>
      </c>
      <c r="K1086" s="11">
        <v>-18.548994064331</v>
      </c>
      <c r="L1086" s="11" t="s">
        <v>2524</v>
      </c>
      <c r="M1086" s="11" t="s">
        <v>2524</v>
      </c>
      <c r="N1086" s="11" t="s">
        <v>1062</v>
      </c>
      <c r="O1086" s="11" t="s">
        <v>2589</v>
      </c>
    </row>
    <row r="1087">
      <c r="A1087" s="11">
        <v>35.4091339111328</v>
      </c>
      <c r="B1087" s="11">
        <v>-8.87010955810546</v>
      </c>
      <c r="C1087" s="11" t="s">
        <v>2524</v>
      </c>
      <c r="D1087" s="11" t="s">
        <v>2524</v>
      </c>
      <c r="E1087" s="11" t="s">
        <v>1062</v>
      </c>
      <c r="F1087" s="11" t="s">
        <v>2590</v>
      </c>
      <c r="J1087" s="11">
        <v>-66.1575088500976</v>
      </c>
      <c r="K1087" s="11">
        <v>-25.4430217742919</v>
      </c>
      <c r="L1087" s="11" t="s">
        <v>2524</v>
      </c>
      <c r="M1087" s="11" t="s">
        <v>2524</v>
      </c>
      <c r="N1087" s="11" t="s">
        <v>1062</v>
      </c>
      <c r="O1087" s="11" t="s">
        <v>2590</v>
      </c>
    </row>
    <row r="1088">
      <c r="A1088" s="11">
        <v>67.492317199707</v>
      </c>
      <c r="B1088" s="11">
        <v>-30.8616104125976</v>
      </c>
      <c r="C1088" s="11" t="s">
        <v>2524</v>
      </c>
      <c r="D1088" s="11" t="s">
        <v>2524</v>
      </c>
      <c r="E1088" s="11" t="s">
        <v>1062</v>
      </c>
      <c r="F1088" s="11" t="s">
        <v>2591</v>
      </c>
      <c r="J1088" s="11">
        <v>-67.1172790527343</v>
      </c>
      <c r="K1088" s="11">
        <v>-17.169261932373</v>
      </c>
      <c r="L1088" s="11" t="s">
        <v>2524</v>
      </c>
      <c r="M1088" s="11" t="s">
        <v>2524</v>
      </c>
      <c r="N1088" s="11" t="s">
        <v>1062</v>
      </c>
      <c r="O1088" s="11" t="s">
        <v>2591</v>
      </c>
    </row>
    <row r="1089">
      <c r="A1089" s="11">
        <v>1.02528738975524</v>
      </c>
      <c r="B1089" s="11">
        <v>5.47465658187866</v>
      </c>
      <c r="C1089" s="11" t="s">
        <v>2524</v>
      </c>
      <c r="D1089" s="11" t="s">
        <v>2524</v>
      </c>
      <c r="E1089" s="11" t="s">
        <v>1062</v>
      </c>
      <c r="F1089" s="11" t="s">
        <v>2592</v>
      </c>
      <c r="J1089" s="11">
        <v>-63.5347061157226</v>
      </c>
      <c r="K1089" s="11">
        <v>-24.0641536712646</v>
      </c>
      <c r="L1089" s="11" t="s">
        <v>2524</v>
      </c>
      <c r="M1089" s="11" t="s">
        <v>2524</v>
      </c>
      <c r="N1089" s="11" t="s">
        <v>1062</v>
      </c>
      <c r="O1089" s="11" t="s">
        <v>2592</v>
      </c>
    </row>
    <row r="1090">
      <c r="A1090" s="11">
        <v>33.3494148254394</v>
      </c>
      <c r="B1090" s="11">
        <v>-12.8718948364257</v>
      </c>
      <c r="C1090" s="11" t="s">
        <v>2524</v>
      </c>
      <c r="D1090" s="11" t="s">
        <v>2524</v>
      </c>
      <c r="E1090" s="11" t="s">
        <v>1062</v>
      </c>
      <c r="F1090" s="11" t="s">
        <v>2593</v>
      </c>
      <c r="J1090" s="11">
        <v>-67.753303527832</v>
      </c>
      <c r="K1090" s="11">
        <v>-24.4429721832275</v>
      </c>
      <c r="L1090" s="11" t="s">
        <v>2524</v>
      </c>
      <c r="M1090" s="11" t="s">
        <v>2524</v>
      </c>
      <c r="N1090" s="11" t="s">
        <v>1062</v>
      </c>
      <c r="O1090" s="11" t="s">
        <v>2593</v>
      </c>
    </row>
    <row r="1091">
      <c r="A1091" s="11">
        <v>65.8665466308593</v>
      </c>
      <c r="B1091" s="11">
        <v>-33.6726837158203</v>
      </c>
      <c r="C1091" s="11" t="s">
        <v>2524</v>
      </c>
      <c r="D1091" s="11" t="s">
        <v>2524</v>
      </c>
      <c r="E1091" s="11" t="s">
        <v>1062</v>
      </c>
      <c r="F1091" s="11" t="s">
        <v>2594</v>
      </c>
      <c r="J1091" s="11">
        <v>-66.9005050659179</v>
      </c>
      <c r="K1091" s="11">
        <v>-19.5358524322509</v>
      </c>
      <c r="L1091" s="11" t="s">
        <v>2524</v>
      </c>
      <c r="M1091" s="11" t="s">
        <v>2524</v>
      </c>
      <c r="N1091" s="11" t="s">
        <v>1062</v>
      </c>
      <c r="O1091" s="11" t="s">
        <v>2594</v>
      </c>
    </row>
    <row r="1092">
      <c r="A1092" s="11">
        <v>17.8207416534423</v>
      </c>
      <c r="B1092" s="11">
        <v>-9.16927909851074</v>
      </c>
      <c r="C1092" s="11" t="s">
        <v>2524</v>
      </c>
      <c r="D1092" s="11" t="s">
        <v>2524</v>
      </c>
      <c r="E1092" s="11" t="s">
        <v>1062</v>
      </c>
      <c r="F1092" s="11" t="s">
        <v>2595</v>
      </c>
      <c r="J1092" s="11">
        <v>-58.7580223083496</v>
      </c>
      <c r="K1092" s="11">
        <v>-22.24436378479</v>
      </c>
      <c r="L1092" s="11" t="s">
        <v>2524</v>
      </c>
      <c r="M1092" s="11" t="s">
        <v>2524</v>
      </c>
      <c r="N1092" s="11" t="s">
        <v>1062</v>
      </c>
      <c r="O1092" s="11" t="s">
        <v>2595</v>
      </c>
    </row>
    <row r="1093">
      <c r="A1093" s="11">
        <v>28.7747497558593</v>
      </c>
      <c r="B1093" s="11">
        <v>-7.41617012023925</v>
      </c>
      <c r="C1093" s="11" t="s">
        <v>2524</v>
      </c>
      <c r="D1093" s="11" t="s">
        <v>2524</v>
      </c>
      <c r="E1093" s="11" t="s">
        <v>1062</v>
      </c>
      <c r="F1093" s="11" t="s">
        <v>2596</v>
      </c>
      <c r="J1093" s="11">
        <v>-62.9265708923339</v>
      </c>
      <c r="K1093" s="11">
        <v>-21.3418846130371</v>
      </c>
      <c r="L1093" s="11" t="s">
        <v>2524</v>
      </c>
      <c r="M1093" s="11" t="s">
        <v>2524</v>
      </c>
      <c r="N1093" s="11" t="s">
        <v>1062</v>
      </c>
      <c r="O1093" s="11" t="s">
        <v>2596</v>
      </c>
    </row>
    <row r="1094">
      <c r="A1094" s="11">
        <v>34.175796508789</v>
      </c>
      <c r="B1094" s="11">
        <v>-10.3661918640136</v>
      </c>
      <c r="C1094" s="11" t="s">
        <v>2524</v>
      </c>
      <c r="D1094" s="11" t="s">
        <v>2524</v>
      </c>
      <c r="E1094" s="11" t="s">
        <v>1062</v>
      </c>
      <c r="F1094" s="11" t="s">
        <v>2597</v>
      </c>
      <c r="J1094" s="11">
        <v>-60.1924819946289</v>
      </c>
      <c r="K1094" s="11">
        <v>-19.7824687957763</v>
      </c>
      <c r="L1094" s="11" t="s">
        <v>2524</v>
      </c>
      <c r="M1094" s="11" t="s">
        <v>2524</v>
      </c>
      <c r="N1094" s="11" t="s">
        <v>1062</v>
      </c>
      <c r="O1094" s="11" t="s">
        <v>2597</v>
      </c>
    </row>
    <row r="1095">
      <c r="A1095" s="11">
        <v>48.4479904174804</v>
      </c>
      <c r="B1095" s="11">
        <v>-13.0691242218017</v>
      </c>
      <c r="C1095" s="11" t="s">
        <v>2524</v>
      </c>
      <c r="D1095" s="11" t="s">
        <v>2524</v>
      </c>
      <c r="E1095" s="11" t="s">
        <v>1062</v>
      </c>
      <c r="F1095" s="11" t="s">
        <v>2598</v>
      </c>
      <c r="J1095" s="11">
        <v>-66.2604446411132</v>
      </c>
      <c r="K1095" s="11">
        <v>-21.9656658172607</v>
      </c>
      <c r="L1095" s="11" t="s">
        <v>2524</v>
      </c>
      <c r="M1095" s="11" t="s">
        <v>2524</v>
      </c>
      <c r="N1095" s="11" t="s">
        <v>1062</v>
      </c>
      <c r="O1095" s="11" t="s">
        <v>2598</v>
      </c>
    </row>
    <row r="1096">
      <c r="A1096" s="11">
        <v>63.4319152832031</v>
      </c>
      <c r="B1096" s="11">
        <v>-27.6352424621582</v>
      </c>
      <c r="C1096" s="11" t="s">
        <v>2524</v>
      </c>
      <c r="D1096" s="11" t="s">
        <v>2524</v>
      </c>
      <c r="E1096" s="11" t="s">
        <v>1062</v>
      </c>
      <c r="F1096" s="11" t="s">
        <v>2599</v>
      </c>
      <c r="J1096" s="11">
        <v>-69.1294250488281</v>
      </c>
      <c r="K1096" s="11">
        <v>-17.4729290008544</v>
      </c>
      <c r="L1096" s="11" t="s">
        <v>2524</v>
      </c>
      <c r="M1096" s="11" t="s">
        <v>2524</v>
      </c>
      <c r="N1096" s="11" t="s">
        <v>1062</v>
      </c>
      <c r="O1096" s="11" t="s">
        <v>2599</v>
      </c>
    </row>
    <row r="1097">
      <c r="A1097" s="11">
        <v>67.0627288818359</v>
      </c>
      <c r="B1097" s="11">
        <v>-33.1536521911621</v>
      </c>
      <c r="C1097" s="11" t="s">
        <v>2524</v>
      </c>
      <c r="D1097" s="11" t="s">
        <v>2524</v>
      </c>
      <c r="E1097" s="11" t="s">
        <v>1062</v>
      </c>
      <c r="F1097" s="11" t="s">
        <v>2600</v>
      </c>
      <c r="J1097" s="11">
        <v>-68.2323226928711</v>
      </c>
      <c r="K1097" s="11">
        <v>-16.1582069396972</v>
      </c>
      <c r="L1097" s="11" t="s">
        <v>2524</v>
      </c>
      <c r="M1097" s="11" t="s">
        <v>2524</v>
      </c>
      <c r="N1097" s="11" t="s">
        <v>1062</v>
      </c>
      <c r="O1097" s="11" t="s">
        <v>2600</v>
      </c>
    </row>
    <row r="1098">
      <c r="A1098" s="11">
        <v>62.9541435241699</v>
      </c>
      <c r="B1098" s="11">
        <v>-32.3046607971191</v>
      </c>
      <c r="C1098" s="11" t="s">
        <v>2524</v>
      </c>
      <c r="D1098" s="11" t="s">
        <v>2524</v>
      </c>
      <c r="E1098" s="11" t="s">
        <v>1062</v>
      </c>
      <c r="F1098" s="11" t="s">
        <v>2517</v>
      </c>
      <c r="J1098" s="11">
        <v>-65.482795715332</v>
      </c>
      <c r="K1098" s="11">
        <v>-17.9958190917968</v>
      </c>
      <c r="L1098" s="11" t="s">
        <v>2524</v>
      </c>
      <c r="M1098" s="11" t="s">
        <v>2524</v>
      </c>
      <c r="N1098" s="11" t="s">
        <v>1062</v>
      </c>
      <c r="O1098" s="11" t="s">
        <v>2517</v>
      </c>
    </row>
    <row r="1099">
      <c r="A1099" s="11">
        <v>1.2650796175003</v>
      </c>
      <c r="B1099" s="11">
        <v>-17.3877029418945</v>
      </c>
      <c r="C1099" s="11" t="s">
        <v>2524</v>
      </c>
      <c r="D1099" s="11" t="s">
        <v>2524</v>
      </c>
      <c r="E1099" s="11" t="s">
        <v>1062</v>
      </c>
      <c r="F1099" s="11" t="s">
        <v>2601</v>
      </c>
      <c r="J1099" s="11">
        <v>-61.965763092041</v>
      </c>
      <c r="K1099" s="11">
        <v>-24.5678901672363</v>
      </c>
      <c r="L1099" s="11" t="s">
        <v>2524</v>
      </c>
      <c r="M1099" s="11" t="s">
        <v>2524</v>
      </c>
      <c r="N1099" s="11" t="s">
        <v>1062</v>
      </c>
      <c r="O1099" s="11" t="s">
        <v>2601</v>
      </c>
    </row>
    <row r="1100">
      <c r="A1100" s="11">
        <v>-53.2361869812011</v>
      </c>
      <c r="B1100" s="11">
        <v>-35.3024597167968</v>
      </c>
      <c r="C1100" s="11" t="s">
        <v>1879</v>
      </c>
      <c r="D1100" s="11" t="s">
        <v>1879</v>
      </c>
      <c r="E1100" s="11" t="s">
        <v>1062</v>
      </c>
      <c r="F1100" s="11" t="s">
        <v>1880</v>
      </c>
      <c r="J1100" s="11">
        <v>14.3727493286132</v>
      </c>
      <c r="K1100" s="11">
        <v>-38.6455726623535</v>
      </c>
      <c r="L1100" s="11" t="s">
        <v>1879</v>
      </c>
      <c r="M1100" s="11" t="s">
        <v>1879</v>
      </c>
      <c r="N1100" s="11" t="s">
        <v>1062</v>
      </c>
      <c r="O1100" s="11" t="s">
        <v>1880</v>
      </c>
    </row>
    <row r="1101">
      <c r="A1101" s="11">
        <v>-29.7049541473388</v>
      </c>
      <c r="B1101" s="11">
        <v>46.5754318237304</v>
      </c>
      <c r="C1101" s="11" t="s">
        <v>1879</v>
      </c>
      <c r="D1101" s="11" t="s">
        <v>1879</v>
      </c>
      <c r="E1101" s="11" t="s">
        <v>1062</v>
      </c>
      <c r="F1101" s="11" t="s">
        <v>1884</v>
      </c>
      <c r="J1101" s="11">
        <v>21.482006072998</v>
      </c>
      <c r="K1101" s="11">
        <v>-60.3508644104003</v>
      </c>
      <c r="L1101" s="11" t="s">
        <v>1879</v>
      </c>
      <c r="M1101" s="11" t="s">
        <v>1879</v>
      </c>
      <c r="N1101" s="11" t="s">
        <v>1062</v>
      </c>
      <c r="O1101" s="11" t="s">
        <v>1884</v>
      </c>
    </row>
    <row r="1102">
      <c r="A1102" s="11">
        <v>-40.2338409423828</v>
      </c>
      <c r="B1102" s="11">
        <v>-8.86898326873779</v>
      </c>
      <c r="C1102" s="11" t="s">
        <v>1879</v>
      </c>
      <c r="D1102" s="11" t="s">
        <v>1879</v>
      </c>
      <c r="E1102" s="11" t="s">
        <v>1062</v>
      </c>
      <c r="F1102" s="11" t="s">
        <v>1888</v>
      </c>
      <c r="J1102" s="11">
        <v>12.6058721542358</v>
      </c>
      <c r="K1102" s="11">
        <v>-50.9895210266113</v>
      </c>
      <c r="L1102" s="11" t="s">
        <v>1879</v>
      </c>
      <c r="M1102" s="11" t="s">
        <v>1879</v>
      </c>
      <c r="N1102" s="11" t="s">
        <v>1062</v>
      </c>
      <c r="O1102" s="11" t="s">
        <v>1888</v>
      </c>
    </row>
    <row r="1103">
      <c r="A1103" s="11">
        <v>-41.0083847045898</v>
      </c>
      <c r="B1103" s="11">
        <v>-3.67908263206481</v>
      </c>
      <c r="C1103" s="11" t="s">
        <v>1879</v>
      </c>
      <c r="D1103" s="11" t="s">
        <v>1879</v>
      </c>
      <c r="E1103" s="11" t="s">
        <v>1062</v>
      </c>
      <c r="F1103" s="11" t="s">
        <v>1890</v>
      </c>
      <c r="J1103" s="11">
        <v>16.879409790039</v>
      </c>
      <c r="K1103" s="11">
        <v>-55.8723831176757</v>
      </c>
      <c r="L1103" s="11" t="s">
        <v>1879</v>
      </c>
      <c r="M1103" s="11" t="s">
        <v>1879</v>
      </c>
      <c r="N1103" s="11" t="s">
        <v>1062</v>
      </c>
      <c r="O1103" s="11" t="s">
        <v>1890</v>
      </c>
    </row>
    <row r="1104">
      <c r="A1104" s="11">
        <v>-40.2337417602539</v>
      </c>
      <c r="B1104" s="11">
        <v>-8.88357257843017</v>
      </c>
      <c r="C1104" s="11" t="s">
        <v>1879</v>
      </c>
      <c r="D1104" s="11" t="s">
        <v>1879</v>
      </c>
      <c r="E1104" s="11" t="s">
        <v>1062</v>
      </c>
      <c r="F1104" s="11" t="s">
        <v>1892</v>
      </c>
      <c r="J1104" s="11">
        <v>12.5808639526367</v>
      </c>
      <c r="K1104" s="11">
        <v>-50.9883079528808</v>
      </c>
      <c r="L1104" s="11" t="s">
        <v>1879</v>
      </c>
      <c r="M1104" s="11" t="s">
        <v>1879</v>
      </c>
      <c r="N1104" s="11" t="s">
        <v>1062</v>
      </c>
      <c r="O1104" s="11" t="s">
        <v>1892</v>
      </c>
    </row>
    <row r="1105">
      <c r="A1105" s="11">
        <v>-32.7960624694824</v>
      </c>
      <c r="B1105" s="11">
        <v>-5.046959400177</v>
      </c>
      <c r="C1105" s="11" t="s">
        <v>1879</v>
      </c>
      <c r="D1105" s="11" t="s">
        <v>1879</v>
      </c>
      <c r="E1105" s="11" t="s">
        <v>1062</v>
      </c>
      <c r="F1105" s="11" t="s">
        <v>1894</v>
      </c>
      <c r="J1105" s="11">
        <v>30.5733585357666</v>
      </c>
      <c r="K1105" s="11">
        <v>-51.506118774414</v>
      </c>
      <c r="L1105" s="11" t="s">
        <v>1879</v>
      </c>
      <c r="M1105" s="11" t="s">
        <v>1879</v>
      </c>
      <c r="N1105" s="11" t="s">
        <v>1062</v>
      </c>
      <c r="O1105" s="11" t="s">
        <v>1894</v>
      </c>
    </row>
    <row r="1106">
      <c r="A1106" s="11">
        <v>-49.9860229492187</v>
      </c>
      <c r="B1106" s="11">
        <v>3.17311024665832</v>
      </c>
      <c r="C1106" s="11" t="s">
        <v>1879</v>
      </c>
      <c r="D1106" s="11" t="s">
        <v>1879</v>
      </c>
      <c r="E1106" s="11" t="s">
        <v>1062</v>
      </c>
      <c r="F1106" s="11" t="s">
        <v>1898</v>
      </c>
      <c r="J1106" s="11">
        <v>31.6733303070068</v>
      </c>
      <c r="K1106" s="11">
        <v>-42.8613166809082</v>
      </c>
      <c r="L1106" s="11" t="s">
        <v>1879</v>
      </c>
      <c r="M1106" s="11" t="s">
        <v>1879</v>
      </c>
      <c r="N1106" s="11" t="s">
        <v>1062</v>
      </c>
      <c r="O1106" s="11" t="s">
        <v>1898</v>
      </c>
    </row>
    <row r="1107">
      <c r="A1107" s="11">
        <v>-47.5009498596191</v>
      </c>
      <c r="B1107" s="11">
        <v>-17.491075515747</v>
      </c>
      <c r="C1107" s="11" t="s">
        <v>1879</v>
      </c>
      <c r="D1107" s="11" t="s">
        <v>1879</v>
      </c>
      <c r="E1107" s="11" t="s">
        <v>1062</v>
      </c>
      <c r="F1107" s="11" t="s">
        <v>1900</v>
      </c>
      <c r="J1107" s="11">
        <v>1.83965647220611</v>
      </c>
      <c r="K1107" s="11">
        <v>-16.4729843139648</v>
      </c>
      <c r="L1107" s="11" t="s">
        <v>1879</v>
      </c>
      <c r="M1107" s="11" t="s">
        <v>1879</v>
      </c>
      <c r="N1107" s="11" t="s">
        <v>1062</v>
      </c>
      <c r="O1107" s="11" t="s">
        <v>1900</v>
      </c>
    </row>
    <row r="1108">
      <c r="A1108" s="11">
        <v>-53.7467384338378</v>
      </c>
      <c r="B1108" s="11">
        <v>-3.55889725685119</v>
      </c>
      <c r="C1108" s="11" t="s">
        <v>1879</v>
      </c>
      <c r="D1108" s="11" t="s">
        <v>1879</v>
      </c>
      <c r="E1108" s="11" t="s">
        <v>1062</v>
      </c>
      <c r="F1108" s="11" t="s">
        <v>1902</v>
      </c>
      <c r="J1108" s="11">
        <v>44.9940528869628</v>
      </c>
      <c r="K1108" s="11">
        <v>-0.36300578713417</v>
      </c>
      <c r="L1108" s="11" t="s">
        <v>1879</v>
      </c>
      <c r="M1108" s="11" t="s">
        <v>1879</v>
      </c>
      <c r="N1108" s="11" t="s">
        <v>1062</v>
      </c>
      <c r="O1108" s="11" t="s">
        <v>1902</v>
      </c>
    </row>
    <row r="1109">
      <c r="A1109" s="11">
        <v>-51.4929046630859</v>
      </c>
      <c r="B1109" s="11">
        <v>-21.576187133789</v>
      </c>
      <c r="C1109" s="11" t="s">
        <v>1879</v>
      </c>
      <c r="D1109" s="11" t="s">
        <v>1879</v>
      </c>
      <c r="E1109" s="11" t="s">
        <v>1062</v>
      </c>
      <c r="F1109" s="11" t="s">
        <v>1907</v>
      </c>
      <c r="J1109" s="11">
        <v>10.3054256439208</v>
      </c>
      <c r="K1109" s="11">
        <v>-42.6270027160644</v>
      </c>
      <c r="L1109" s="11" t="s">
        <v>1879</v>
      </c>
      <c r="M1109" s="11" t="s">
        <v>1879</v>
      </c>
      <c r="N1109" s="11" t="s">
        <v>1062</v>
      </c>
      <c r="O1109" s="11" t="s">
        <v>1907</v>
      </c>
    </row>
    <row r="1110">
      <c r="A1110" s="11">
        <v>-51.1987113952636</v>
      </c>
      <c r="B1110" s="11">
        <v>-22.2097091674804</v>
      </c>
      <c r="C1110" s="11" t="s">
        <v>1879</v>
      </c>
      <c r="D1110" s="11" t="s">
        <v>1879</v>
      </c>
      <c r="E1110" s="11" t="s">
        <v>1062</v>
      </c>
      <c r="F1110" s="11" t="s">
        <v>1910</v>
      </c>
      <c r="J1110" s="11">
        <v>10.3054256439208</v>
      </c>
      <c r="K1110" s="11">
        <v>-42.6270027160644</v>
      </c>
      <c r="L1110" s="11" t="s">
        <v>1879</v>
      </c>
      <c r="M1110" s="11" t="s">
        <v>1879</v>
      </c>
      <c r="N1110" s="11" t="s">
        <v>1062</v>
      </c>
      <c r="O1110" s="11" t="s">
        <v>1910</v>
      </c>
    </row>
    <row r="1111">
      <c r="A1111" s="11">
        <v>-65.767593383789</v>
      </c>
      <c r="B1111" s="11">
        <v>-14.4530353546142</v>
      </c>
      <c r="C1111" s="11" t="s">
        <v>1879</v>
      </c>
      <c r="D1111" s="11" t="s">
        <v>1879</v>
      </c>
      <c r="E1111" s="11" t="s">
        <v>1062</v>
      </c>
      <c r="F1111" s="11" t="s">
        <v>1914</v>
      </c>
      <c r="J1111" s="11">
        <v>17.16743850708</v>
      </c>
      <c r="K1111" s="11">
        <v>-46.259220123291</v>
      </c>
      <c r="L1111" s="11" t="s">
        <v>1879</v>
      </c>
      <c r="M1111" s="11" t="s">
        <v>1879</v>
      </c>
      <c r="N1111" s="11" t="s">
        <v>1062</v>
      </c>
      <c r="O1111" s="11" t="s">
        <v>1914</v>
      </c>
    </row>
    <row r="1112">
      <c r="A1112" s="11">
        <v>-62.7470741271972</v>
      </c>
      <c r="B1112" s="11">
        <v>-22.2676525115966</v>
      </c>
      <c r="C1112" s="11" t="s">
        <v>1879</v>
      </c>
      <c r="D1112" s="11" t="s">
        <v>1879</v>
      </c>
      <c r="E1112" s="11" t="s">
        <v>1062</v>
      </c>
      <c r="F1112" s="11" t="s">
        <v>1916</v>
      </c>
      <c r="J1112" s="11">
        <v>23.7769374847412</v>
      </c>
      <c r="K1112" s="11">
        <v>-50.0729598999023</v>
      </c>
      <c r="L1112" s="11" t="s">
        <v>1879</v>
      </c>
      <c r="M1112" s="11" t="s">
        <v>1879</v>
      </c>
      <c r="N1112" s="11" t="s">
        <v>1062</v>
      </c>
      <c r="O1112" s="11" t="s">
        <v>1916</v>
      </c>
    </row>
    <row r="1113">
      <c r="A1113" s="11">
        <v>-47.8983535766601</v>
      </c>
      <c r="B1113" s="11">
        <v>-10.0446128845214</v>
      </c>
      <c r="C1113" s="11" t="s">
        <v>1879</v>
      </c>
      <c r="D1113" s="11" t="s">
        <v>1879</v>
      </c>
      <c r="E1113" s="11" t="s">
        <v>1062</v>
      </c>
      <c r="F1113" s="11" t="s">
        <v>1918</v>
      </c>
      <c r="J1113" s="11">
        <v>6.61722946166992</v>
      </c>
      <c r="K1113" s="11">
        <v>-46.510326385498</v>
      </c>
      <c r="L1113" s="11" t="s">
        <v>1879</v>
      </c>
      <c r="M1113" s="11" t="s">
        <v>1879</v>
      </c>
      <c r="N1113" s="11" t="s">
        <v>1062</v>
      </c>
      <c r="O1113" s="11" t="s">
        <v>1918</v>
      </c>
    </row>
    <row r="1114">
      <c r="A1114" s="11">
        <v>-62.4838600158691</v>
      </c>
      <c r="B1114" s="11">
        <v>-8.23508262634277</v>
      </c>
      <c r="C1114" s="11" t="s">
        <v>1879</v>
      </c>
      <c r="D1114" s="11" t="s">
        <v>1879</v>
      </c>
      <c r="E1114" s="11" t="s">
        <v>1062</v>
      </c>
      <c r="F1114" s="11" t="s">
        <v>1920</v>
      </c>
      <c r="J1114" s="11">
        <v>26.8052024841308</v>
      </c>
      <c r="K1114" s="11">
        <v>-48.78120803833</v>
      </c>
      <c r="L1114" s="11" t="s">
        <v>1879</v>
      </c>
      <c r="M1114" s="11" t="s">
        <v>1879</v>
      </c>
      <c r="N1114" s="11" t="s">
        <v>1062</v>
      </c>
      <c r="O1114" s="11" t="s">
        <v>1920</v>
      </c>
    </row>
    <row r="1115">
      <c r="A1115" s="11">
        <v>-53.2361869812011</v>
      </c>
      <c r="B1115" s="11">
        <v>-35.3024597167968</v>
      </c>
      <c r="C1115" s="11" t="s">
        <v>1879</v>
      </c>
      <c r="D1115" s="11" t="s">
        <v>1879</v>
      </c>
      <c r="E1115" s="11" t="s">
        <v>1062</v>
      </c>
      <c r="F1115" s="11" t="s">
        <v>1922</v>
      </c>
      <c r="J1115" s="11">
        <v>14.6393175125122</v>
      </c>
      <c r="K1115" s="11">
        <v>-38.5113220214843</v>
      </c>
      <c r="L1115" s="11" t="s">
        <v>1879</v>
      </c>
      <c r="M1115" s="11" t="s">
        <v>1879</v>
      </c>
      <c r="N1115" s="11" t="s">
        <v>1062</v>
      </c>
      <c r="O1115" s="11" t="s">
        <v>1922</v>
      </c>
    </row>
    <row r="1116">
      <c r="A1116" s="11">
        <v>-57.1688423156738</v>
      </c>
      <c r="B1116" s="11">
        <v>-20.3893222808837</v>
      </c>
      <c r="C1116" s="11" t="s">
        <v>1879</v>
      </c>
      <c r="D1116" s="11" t="s">
        <v>1879</v>
      </c>
      <c r="E1116" s="11" t="s">
        <v>1062</v>
      </c>
      <c r="F1116" s="11" t="s">
        <v>1925</v>
      </c>
      <c r="J1116" s="11">
        <v>20.6369705200195</v>
      </c>
      <c r="K1116" s="11">
        <v>-43.2336807250976</v>
      </c>
      <c r="L1116" s="11" t="s">
        <v>1879</v>
      </c>
      <c r="M1116" s="11" t="s">
        <v>1879</v>
      </c>
      <c r="N1116" s="11" t="s">
        <v>1062</v>
      </c>
      <c r="O1116" s="11" t="s">
        <v>1925</v>
      </c>
    </row>
    <row r="1117">
      <c r="A1117" s="11">
        <v>-65.6547470092773</v>
      </c>
      <c r="B1117" s="11">
        <v>-15.7892770767211</v>
      </c>
      <c r="C1117" s="11" t="s">
        <v>1879</v>
      </c>
      <c r="D1117" s="11" t="s">
        <v>1879</v>
      </c>
      <c r="E1117" s="11" t="s">
        <v>1062</v>
      </c>
      <c r="F1117" s="11" t="s">
        <v>1927</v>
      </c>
      <c r="J1117" s="11">
        <v>17.3727531433105</v>
      </c>
      <c r="K1117" s="11">
        <v>-45.4045982360839</v>
      </c>
      <c r="L1117" s="11" t="s">
        <v>1879</v>
      </c>
      <c r="M1117" s="11" t="s">
        <v>1879</v>
      </c>
      <c r="N1117" s="11" t="s">
        <v>1062</v>
      </c>
      <c r="O1117" s="11" t="s">
        <v>1927</v>
      </c>
    </row>
    <row r="1118">
      <c r="A1118" s="11">
        <v>-63.8030700683593</v>
      </c>
      <c r="B1118" s="11">
        <v>-21.6180610656738</v>
      </c>
      <c r="C1118" s="11" t="s">
        <v>1879</v>
      </c>
      <c r="D1118" s="11" t="s">
        <v>1879</v>
      </c>
      <c r="E1118" s="11" t="s">
        <v>1062</v>
      </c>
      <c r="F1118" s="11" t="s">
        <v>1929</v>
      </c>
      <c r="J1118" s="11">
        <v>23.1161499023437</v>
      </c>
      <c r="K1118" s="11">
        <v>-50.545612335205</v>
      </c>
      <c r="L1118" s="11" t="s">
        <v>1879</v>
      </c>
      <c r="M1118" s="11" t="s">
        <v>1879</v>
      </c>
      <c r="N1118" s="11" t="s">
        <v>1062</v>
      </c>
      <c r="O1118" s="11" t="s">
        <v>1929</v>
      </c>
    </row>
    <row r="1119">
      <c r="A1119" s="11">
        <v>-46.8827629089355</v>
      </c>
      <c r="B1119" s="11">
        <v>-10.5804290771484</v>
      </c>
      <c r="C1119" s="11" t="s">
        <v>1879</v>
      </c>
      <c r="D1119" s="11" t="s">
        <v>1879</v>
      </c>
      <c r="E1119" s="11" t="s">
        <v>1062</v>
      </c>
      <c r="F1119" s="11" t="s">
        <v>1931</v>
      </c>
      <c r="J1119" s="11">
        <v>18.5876579284667</v>
      </c>
      <c r="K1119" s="11">
        <v>-48.2660293579101</v>
      </c>
      <c r="L1119" s="11" t="s">
        <v>1879</v>
      </c>
      <c r="M1119" s="11" t="s">
        <v>1879</v>
      </c>
      <c r="N1119" s="11" t="s">
        <v>1062</v>
      </c>
      <c r="O1119" s="11" t="s">
        <v>1931</v>
      </c>
    </row>
    <row r="1120">
      <c r="A1120" s="11">
        <v>-30.7945232391357</v>
      </c>
      <c r="B1120" s="11">
        <v>-16.1823177337646</v>
      </c>
      <c r="C1120" s="11" t="s">
        <v>1879</v>
      </c>
      <c r="D1120" s="11" t="s">
        <v>1879</v>
      </c>
      <c r="E1120" s="11" t="s">
        <v>1062</v>
      </c>
      <c r="F1120" s="11" t="s">
        <v>1935</v>
      </c>
      <c r="J1120" s="11">
        <v>31.5203227996826</v>
      </c>
      <c r="K1120" s="11">
        <v>-55.3522109985351</v>
      </c>
      <c r="L1120" s="11" t="s">
        <v>1879</v>
      </c>
      <c r="M1120" s="11" t="s">
        <v>1879</v>
      </c>
      <c r="N1120" s="11" t="s">
        <v>1062</v>
      </c>
      <c r="O1120" s="11" t="s">
        <v>1935</v>
      </c>
    </row>
    <row r="1121">
      <c r="A1121" s="11">
        <v>-52.5233116149902</v>
      </c>
      <c r="B1121" s="11">
        <v>-5.32379484176635</v>
      </c>
      <c r="C1121" s="11" t="s">
        <v>1879</v>
      </c>
      <c r="D1121" s="11" t="s">
        <v>1879</v>
      </c>
      <c r="E1121" s="11" t="s">
        <v>1062</v>
      </c>
      <c r="F1121" s="11" t="s">
        <v>1936</v>
      </c>
      <c r="J1121" s="11">
        <v>44.1120491027832</v>
      </c>
      <c r="K1121" s="11">
        <v>0.416571050882339</v>
      </c>
      <c r="L1121" s="11" t="s">
        <v>1879</v>
      </c>
      <c r="M1121" s="11" t="s">
        <v>1879</v>
      </c>
      <c r="N1121" s="11" t="s">
        <v>1062</v>
      </c>
      <c r="O1121" s="11" t="s">
        <v>1936</v>
      </c>
    </row>
    <row r="1122">
      <c r="A1122" s="11">
        <v>-51.8603858947753</v>
      </c>
      <c r="B1122" s="11">
        <v>-16.7418384552001</v>
      </c>
      <c r="C1122" s="11" t="s">
        <v>1879</v>
      </c>
      <c r="D1122" s="11" t="s">
        <v>1879</v>
      </c>
      <c r="E1122" s="11" t="s">
        <v>1062</v>
      </c>
      <c r="F1122" s="11" t="s">
        <v>1938</v>
      </c>
      <c r="J1122" s="11">
        <v>26.638816833496</v>
      </c>
      <c r="K1122" s="11">
        <v>-39.956687927246</v>
      </c>
      <c r="L1122" s="11" t="s">
        <v>1879</v>
      </c>
      <c r="M1122" s="11" t="s">
        <v>1879</v>
      </c>
      <c r="N1122" s="11" t="s">
        <v>1062</v>
      </c>
      <c r="O1122" s="11" t="s">
        <v>1938</v>
      </c>
    </row>
    <row r="1123">
      <c r="A1123" s="11">
        <v>-46.7943954467773</v>
      </c>
      <c r="B1123" s="11">
        <v>-1.36332368850708</v>
      </c>
      <c r="C1123" s="11" t="s">
        <v>1879</v>
      </c>
      <c r="D1123" s="11" t="s">
        <v>1879</v>
      </c>
      <c r="E1123" s="11" t="s">
        <v>1062</v>
      </c>
      <c r="F1123" s="11" t="s">
        <v>1940</v>
      </c>
      <c r="J1123" s="11">
        <v>44.5915946960449</v>
      </c>
      <c r="K1123" s="11">
        <v>-14.0984334945678</v>
      </c>
      <c r="L1123" s="11" t="s">
        <v>1879</v>
      </c>
      <c r="M1123" s="11" t="s">
        <v>1879</v>
      </c>
      <c r="N1123" s="11" t="s">
        <v>1062</v>
      </c>
      <c r="O1123" s="11" t="s">
        <v>1940</v>
      </c>
    </row>
    <row r="1124">
      <c r="A1124" s="11">
        <v>-42.9221954345703</v>
      </c>
      <c r="B1124" s="11">
        <v>-13.0342779159545</v>
      </c>
      <c r="C1124" s="11" t="s">
        <v>1879</v>
      </c>
      <c r="D1124" s="11" t="s">
        <v>1879</v>
      </c>
      <c r="E1124" s="11" t="s">
        <v>1062</v>
      </c>
      <c r="F1124" s="11" t="s">
        <v>1942</v>
      </c>
      <c r="J1124" s="11">
        <v>18.491075515747</v>
      </c>
      <c r="K1124" s="11">
        <v>-30.8455619812011</v>
      </c>
      <c r="L1124" s="11" t="s">
        <v>1879</v>
      </c>
      <c r="M1124" s="11" t="s">
        <v>1879</v>
      </c>
      <c r="N1124" s="11" t="s">
        <v>1062</v>
      </c>
      <c r="O1124" s="11" t="s">
        <v>1942</v>
      </c>
    </row>
    <row r="1125">
      <c r="A1125" s="11">
        <v>-48.5147705078125</v>
      </c>
      <c r="B1125" s="11">
        <v>-11.6499547958374</v>
      </c>
      <c r="C1125" s="11" t="s">
        <v>1879</v>
      </c>
      <c r="D1125" s="11" t="s">
        <v>1879</v>
      </c>
      <c r="E1125" s="11" t="s">
        <v>1062</v>
      </c>
      <c r="F1125" s="11" t="s">
        <v>1944</v>
      </c>
      <c r="J1125" s="11">
        <v>36.6801033020019</v>
      </c>
      <c r="K1125" s="11">
        <v>-23.7653350830078</v>
      </c>
      <c r="L1125" s="11" t="s">
        <v>1879</v>
      </c>
      <c r="M1125" s="11" t="s">
        <v>1879</v>
      </c>
      <c r="N1125" s="11" t="s">
        <v>1062</v>
      </c>
      <c r="O1125" s="11" t="s">
        <v>1944</v>
      </c>
    </row>
    <row r="1126">
      <c r="A1126" s="11">
        <v>13.4049434661865</v>
      </c>
      <c r="B1126" s="11">
        <v>2.7482590675354</v>
      </c>
      <c r="C1126" s="11" t="s">
        <v>1879</v>
      </c>
      <c r="D1126" s="11" t="s">
        <v>1879</v>
      </c>
      <c r="E1126" s="11" t="s">
        <v>1062</v>
      </c>
      <c r="F1126" s="11" t="s">
        <v>1948</v>
      </c>
      <c r="J1126" s="11">
        <v>-57.9450035095214</v>
      </c>
      <c r="K1126" s="11">
        <v>3.3332176208496</v>
      </c>
      <c r="L1126" s="11" t="s">
        <v>1879</v>
      </c>
      <c r="M1126" s="11" t="s">
        <v>1879</v>
      </c>
      <c r="N1126" s="11" t="s">
        <v>1062</v>
      </c>
      <c r="O1126" s="11" t="s">
        <v>1948</v>
      </c>
    </row>
    <row r="1127">
      <c r="A1127" s="11">
        <v>-31.1456336975097</v>
      </c>
      <c r="B1127" s="11">
        <v>-10.096206665039</v>
      </c>
      <c r="C1127" s="11" t="s">
        <v>1879</v>
      </c>
      <c r="D1127" s="11" t="s">
        <v>1879</v>
      </c>
      <c r="E1127" s="11" t="s">
        <v>1062</v>
      </c>
      <c r="F1127" s="11" t="s">
        <v>1949</v>
      </c>
      <c r="J1127" s="11">
        <v>35.2715187072753</v>
      </c>
      <c r="K1127" s="11">
        <v>-52.4581985473632</v>
      </c>
      <c r="L1127" s="11" t="s">
        <v>1879</v>
      </c>
      <c r="M1127" s="11" t="s">
        <v>1879</v>
      </c>
      <c r="N1127" s="11" t="s">
        <v>1062</v>
      </c>
      <c r="O1127" s="11" t="s">
        <v>1949</v>
      </c>
    </row>
    <row r="1128">
      <c r="A1128" s="11">
        <v>-65.6547470092773</v>
      </c>
      <c r="B1128" s="11">
        <v>-15.7892770767211</v>
      </c>
      <c r="C1128" s="11" t="s">
        <v>1879</v>
      </c>
      <c r="D1128" s="11" t="s">
        <v>1879</v>
      </c>
      <c r="E1128" s="11" t="s">
        <v>1062</v>
      </c>
      <c r="F1128" s="11" t="s">
        <v>1951</v>
      </c>
      <c r="J1128" s="11">
        <v>17.3727531433105</v>
      </c>
      <c r="K1128" s="11">
        <v>-45.4045982360839</v>
      </c>
      <c r="L1128" s="11" t="s">
        <v>1879</v>
      </c>
      <c r="M1128" s="11" t="s">
        <v>1879</v>
      </c>
      <c r="N1128" s="11" t="s">
        <v>1062</v>
      </c>
      <c r="O1128" s="11" t="s">
        <v>1951</v>
      </c>
    </row>
    <row r="1129">
      <c r="A1129" s="11">
        <v>-30.6175918579101</v>
      </c>
      <c r="B1129" s="11">
        <v>47.7901382446289</v>
      </c>
      <c r="C1129" s="11" t="s">
        <v>1879</v>
      </c>
      <c r="D1129" s="11" t="s">
        <v>1879</v>
      </c>
      <c r="E1129" s="11" t="s">
        <v>1062</v>
      </c>
      <c r="F1129" s="11" t="s">
        <v>1955</v>
      </c>
      <c r="J1129" s="11">
        <v>21.9541893005371</v>
      </c>
      <c r="K1129" s="11">
        <v>-61.9764976501464</v>
      </c>
      <c r="L1129" s="11" t="s">
        <v>1879</v>
      </c>
      <c r="M1129" s="11" t="s">
        <v>1879</v>
      </c>
      <c r="N1129" s="11" t="s">
        <v>1062</v>
      </c>
      <c r="O1129" s="11" t="s">
        <v>1955</v>
      </c>
    </row>
    <row r="1130">
      <c r="A1130" s="11">
        <v>-58.4131050109863</v>
      </c>
      <c r="B1130" s="11">
        <v>-14.0678663253784</v>
      </c>
      <c r="C1130" s="11" t="s">
        <v>1879</v>
      </c>
      <c r="D1130" s="11" t="s">
        <v>1879</v>
      </c>
      <c r="E1130" s="11" t="s">
        <v>1062</v>
      </c>
      <c r="F1130" s="11" t="s">
        <v>1957</v>
      </c>
      <c r="J1130" s="11">
        <v>26.0467586517334</v>
      </c>
      <c r="K1130" s="11">
        <v>-53.319839477539</v>
      </c>
      <c r="L1130" s="11" t="s">
        <v>1879</v>
      </c>
      <c r="M1130" s="11" t="s">
        <v>1879</v>
      </c>
      <c r="N1130" s="11" t="s">
        <v>1062</v>
      </c>
      <c r="O1130" s="11" t="s">
        <v>1957</v>
      </c>
    </row>
    <row r="1131">
      <c r="A1131" s="11">
        <v>-30.7945232391357</v>
      </c>
      <c r="B1131" s="11">
        <v>-16.1823177337646</v>
      </c>
      <c r="C1131" s="11" t="s">
        <v>1879</v>
      </c>
      <c r="D1131" s="11" t="s">
        <v>1879</v>
      </c>
      <c r="E1131" s="11" t="s">
        <v>1062</v>
      </c>
      <c r="F1131" s="11" t="s">
        <v>1959</v>
      </c>
      <c r="J1131" s="11">
        <v>31.2096881866455</v>
      </c>
      <c r="K1131" s="11">
        <v>-55.7084808349609</v>
      </c>
      <c r="L1131" s="11" t="s">
        <v>1879</v>
      </c>
      <c r="M1131" s="11" t="s">
        <v>1879</v>
      </c>
      <c r="N1131" s="11" t="s">
        <v>1062</v>
      </c>
      <c r="O1131" s="11" t="s">
        <v>1959</v>
      </c>
    </row>
    <row r="1132">
      <c r="A1132" s="11">
        <v>-50.653076171875</v>
      </c>
      <c r="B1132" s="11">
        <v>2.54900884628295</v>
      </c>
      <c r="C1132" s="11" t="s">
        <v>1879</v>
      </c>
      <c r="D1132" s="11" t="s">
        <v>1879</v>
      </c>
      <c r="E1132" s="11" t="s">
        <v>1062</v>
      </c>
      <c r="F1132" s="11" t="s">
        <v>1961</v>
      </c>
      <c r="J1132" s="11">
        <v>31.9595260620117</v>
      </c>
      <c r="K1132" s="11">
        <v>-43.4486007690429</v>
      </c>
      <c r="L1132" s="11" t="s">
        <v>1879</v>
      </c>
      <c r="M1132" s="11" t="s">
        <v>1879</v>
      </c>
      <c r="N1132" s="11" t="s">
        <v>1062</v>
      </c>
      <c r="O1132" s="11" t="s">
        <v>1961</v>
      </c>
    </row>
    <row r="1133">
      <c r="A1133" s="11">
        <v>-33.6736068725585</v>
      </c>
      <c r="B1133" s="11">
        <v>-20.5971221923828</v>
      </c>
      <c r="C1133" s="11" t="s">
        <v>1879</v>
      </c>
      <c r="D1133" s="11" t="s">
        <v>1879</v>
      </c>
      <c r="E1133" s="11" t="s">
        <v>1062</v>
      </c>
      <c r="F1133" s="11" t="s">
        <v>1963</v>
      </c>
      <c r="J1133" s="11">
        <v>30.1016254425048</v>
      </c>
      <c r="K1133" s="11">
        <v>-39.1764068603515</v>
      </c>
      <c r="L1133" s="11" t="s">
        <v>1879</v>
      </c>
      <c r="M1133" s="11" t="s">
        <v>1879</v>
      </c>
      <c r="N1133" s="11" t="s">
        <v>1062</v>
      </c>
      <c r="O1133" s="11" t="s">
        <v>1963</v>
      </c>
    </row>
    <row r="1134">
      <c r="A1134" s="11">
        <v>-38.7516365051269</v>
      </c>
      <c r="B1134" s="11">
        <v>-5.20341682434082</v>
      </c>
      <c r="C1134" s="11" t="s">
        <v>1879</v>
      </c>
      <c r="D1134" s="11" t="s">
        <v>1879</v>
      </c>
      <c r="E1134" s="11" t="s">
        <v>1062</v>
      </c>
      <c r="F1134" s="11" t="s">
        <v>1968</v>
      </c>
      <c r="J1134" s="11">
        <v>15.0165472030639</v>
      </c>
      <c r="K1134" s="11">
        <v>-55.9924507141113</v>
      </c>
      <c r="L1134" s="11" t="s">
        <v>1879</v>
      </c>
      <c r="M1134" s="11" t="s">
        <v>1879</v>
      </c>
      <c r="N1134" s="11" t="s">
        <v>1062</v>
      </c>
      <c r="O1134" s="11" t="s">
        <v>1968</v>
      </c>
    </row>
    <row r="1135">
      <c r="A1135" s="11">
        <v>-46.8448677062988</v>
      </c>
      <c r="B1135" s="11">
        <v>-13.7759704589843</v>
      </c>
      <c r="C1135" s="11" t="s">
        <v>1879</v>
      </c>
      <c r="D1135" s="11" t="s">
        <v>1879</v>
      </c>
      <c r="E1135" s="11" t="s">
        <v>1062</v>
      </c>
      <c r="F1135" s="11" t="s">
        <v>1970</v>
      </c>
      <c r="J1135" s="11">
        <v>15.2745180130004</v>
      </c>
      <c r="K1135" s="11">
        <v>-61.7946395874023</v>
      </c>
      <c r="L1135" s="11" t="s">
        <v>1879</v>
      </c>
      <c r="M1135" s="11" t="s">
        <v>1879</v>
      </c>
      <c r="N1135" s="11" t="s">
        <v>1062</v>
      </c>
      <c r="O1135" s="11" t="s">
        <v>1970</v>
      </c>
    </row>
    <row r="1136">
      <c r="A1136" s="11">
        <v>-59.195140838623</v>
      </c>
      <c r="B1136" s="11">
        <v>0.214364871382713</v>
      </c>
      <c r="C1136" s="11" t="s">
        <v>1879</v>
      </c>
      <c r="D1136" s="11" t="s">
        <v>1879</v>
      </c>
      <c r="E1136" s="11" t="s">
        <v>1062</v>
      </c>
      <c r="F1136" s="11" t="s">
        <v>1972</v>
      </c>
      <c r="J1136" s="11">
        <v>21.1046257019042</v>
      </c>
      <c r="K1136" s="11">
        <v>-55.3443794250488</v>
      </c>
      <c r="L1136" s="11" t="s">
        <v>1879</v>
      </c>
      <c r="M1136" s="11" t="s">
        <v>1879</v>
      </c>
      <c r="N1136" s="11" t="s">
        <v>1062</v>
      </c>
      <c r="O1136" s="11" t="s">
        <v>1972</v>
      </c>
    </row>
    <row r="1137">
      <c r="A1137" s="11">
        <v>-60.5770149230957</v>
      </c>
      <c r="B1137" s="11">
        <v>-0.0774470791220665</v>
      </c>
      <c r="C1137" s="11" t="s">
        <v>1879</v>
      </c>
      <c r="D1137" s="11" t="s">
        <v>1879</v>
      </c>
      <c r="E1137" s="11" t="s">
        <v>1062</v>
      </c>
      <c r="F1137" s="11" t="s">
        <v>1974</v>
      </c>
      <c r="J1137" s="11">
        <v>20.0741424560546</v>
      </c>
      <c r="K1137" s="11">
        <v>-55.1810417175293</v>
      </c>
      <c r="L1137" s="11" t="s">
        <v>1879</v>
      </c>
      <c r="M1137" s="11" t="s">
        <v>1879</v>
      </c>
      <c r="N1137" s="11" t="s">
        <v>1062</v>
      </c>
      <c r="O1137" s="11" t="s">
        <v>1974</v>
      </c>
    </row>
    <row r="1138">
      <c r="A1138" s="11">
        <v>-56.9819259643554</v>
      </c>
      <c r="B1138" s="11">
        <v>-14.6069641113281</v>
      </c>
      <c r="C1138" s="11" t="s">
        <v>1879</v>
      </c>
      <c r="D1138" s="11" t="s">
        <v>1879</v>
      </c>
      <c r="E1138" s="11" t="s">
        <v>1062</v>
      </c>
      <c r="F1138" s="11" t="s">
        <v>1976</v>
      </c>
      <c r="J1138" s="11">
        <v>24.9159469604492</v>
      </c>
      <c r="K1138" s="11">
        <v>-53.8833961486816</v>
      </c>
      <c r="L1138" s="11" t="s">
        <v>1879</v>
      </c>
      <c r="M1138" s="11" t="s">
        <v>1879</v>
      </c>
      <c r="N1138" s="11" t="s">
        <v>1062</v>
      </c>
      <c r="O1138" s="11" t="s">
        <v>1976</v>
      </c>
    </row>
    <row r="1139">
      <c r="A1139" s="11">
        <v>-48.0900764465332</v>
      </c>
      <c r="B1139" s="11">
        <v>-5.0245451927185</v>
      </c>
      <c r="C1139" s="11" t="s">
        <v>1879</v>
      </c>
      <c r="D1139" s="11" t="s">
        <v>1879</v>
      </c>
      <c r="E1139" s="11" t="s">
        <v>1062</v>
      </c>
      <c r="F1139" s="11" t="s">
        <v>1978</v>
      </c>
      <c r="J1139" s="11">
        <v>46.3967323303222</v>
      </c>
      <c r="K1139" s="11">
        <v>-4.21109676361084</v>
      </c>
      <c r="L1139" s="11" t="s">
        <v>1879</v>
      </c>
      <c r="M1139" s="11" t="s">
        <v>1879</v>
      </c>
      <c r="N1139" s="11" t="s">
        <v>1062</v>
      </c>
      <c r="O1139" s="11" t="s">
        <v>1978</v>
      </c>
    </row>
    <row r="1140">
      <c r="A1140" s="11">
        <v>-37.4568176269531</v>
      </c>
      <c r="B1140" s="11">
        <v>-10.6353302001953</v>
      </c>
      <c r="C1140" s="11" t="s">
        <v>1879</v>
      </c>
      <c r="D1140" s="11" t="s">
        <v>1879</v>
      </c>
      <c r="E1140" s="11" t="s">
        <v>1062</v>
      </c>
      <c r="F1140" s="11" t="s">
        <v>1981</v>
      </c>
      <c r="J1140" s="11">
        <v>11.8649168014526</v>
      </c>
      <c r="K1140" s="11">
        <v>-53.634708404541</v>
      </c>
      <c r="L1140" s="11" t="s">
        <v>1879</v>
      </c>
      <c r="M1140" s="11" t="s">
        <v>1879</v>
      </c>
      <c r="N1140" s="11" t="s">
        <v>1062</v>
      </c>
      <c r="O1140" s="11" t="s">
        <v>1981</v>
      </c>
    </row>
    <row r="1141">
      <c r="A1141" s="11">
        <v>-61.5604972839355</v>
      </c>
      <c r="B1141" s="11">
        <v>-7.58993816375732</v>
      </c>
      <c r="C1141" s="11" t="s">
        <v>1879</v>
      </c>
      <c r="D1141" s="11" t="s">
        <v>1879</v>
      </c>
      <c r="E1141" s="11" t="s">
        <v>1062</v>
      </c>
      <c r="F1141" s="11" t="s">
        <v>1983</v>
      </c>
      <c r="J1141" s="11">
        <v>27.2739009857177</v>
      </c>
      <c r="K1141" s="11">
        <v>-48.4353790283203</v>
      </c>
      <c r="L1141" s="11" t="s">
        <v>1879</v>
      </c>
      <c r="M1141" s="11" t="s">
        <v>1879</v>
      </c>
      <c r="N1141" s="11" t="s">
        <v>1062</v>
      </c>
      <c r="O1141" s="11" t="s">
        <v>1983</v>
      </c>
    </row>
    <row r="1142">
      <c r="A1142" s="11">
        <v>-53.2361869812011</v>
      </c>
      <c r="B1142" s="11">
        <v>-35.3024597167968</v>
      </c>
      <c r="C1142" s="11" t="s">
        <v>1879</v>
      </c>
      <c r="D1142" s="11" t="s">
        <v>1879</v>
      </c>
      <c r="E1142" s="11" t="s">
        <v>1062</v>
      </c>
      <c r="F1142" s="11" t="s">
        <v>1984</v>
      </c>
      <c r="J1142" s="11">
        <v>14.3727493286132</v>
      </c>
      <c r="K1142" s="11">
        <v>-38.6455726623535</v>
      </c>
      <c r="L1142" s="11" t="s">
        <v>1879</v>
      </c>
      <c r="M1142" s="11" t="s">
        <v>1879</v>
      </c>
      <c r="N1142" s="11" t="s">
        <v>1062</v>
      </c>
      <c r="O1142" s="11" t="s">
        <v>1984</v>
      </c>
    </row>
    <row r="1143">
      <c r="A1143" s="11">
        <v>-64.8798446655273</v>
      </c>
      <c r="B1143" s="11">
        <v>-14.9519233703613</v>
      </c>
      <c r="C1143" s="11" t="s">
        <v>1879</v>
      </c>
      <c r="D1143" s="11" t="s">
        <v>1879</v>
      </c>
      <c r="E1143" s="11" t="s">
        <v>1062</v>
      </c>
      <c r="F1143" s="11" t="s">
        <v>1986</v>
      </c>
      <c r="J1143" s="11">
        <v>17.5390110015869</v>
      </c>
      <c r="K1143" s="11">
        <v>-46.329792022705</v>
      </c>
      <c r="L1143" s="11" t="s">
        <v>1879</v>
      </c>
      <c r="M1143" s="11" t="s">
        <v>1879</v>
      </c>
      <c r="N1143" s="11" t="s">
        <v>1062</v>
      </c>
      <c r="O1143" s="11" t="s">
        <v>1986</v>
      </c>
    </row>
    <row r="1144">
      <c r="A1144" s="11">
        <v>-48.0900764465332</v>
      </c>
      <c r="B1144" s="11">
        <v>-5.0245451927185</v>
      </c>
      <c r="C1144" s="11" t="s">
        <v>1879</v>
      </c>
      <c r="D1144" s="11" t="s">
        <v>1879</v>
      </c>
      <c r="E1144" s="11" t="s">
        <v>1062</v>
      </c>
      <c r="F1144" s="11" t="s">
        <v>1989</v>
      </c>
      <c r="J1144" s="11">
        <v>46.4528846740722</v>
      </c>
      <c r="K1144" s="11">
        <v>-3.77121138572692</v>
      </c>
      <c r="L1144" s="11" t="s">
        <v>1879</v>
      </c>
      <c r="M1144" s="11" t="s">
        <v>1879</v>
      </c>
      <c r="N1144" s="11" t="s">
        <v>1062</v>
      </c>
      <c r="O1144" s="11" t="s">
        <v>1989</v>
      </c>
    </row>
    <row r="1145">
      <c r="A1145" s="11">
        <v>-62.4750938415527</v>
      </c>
      <c r="B1145" s="11">
        <v>-6.99166393280029</v>
      </c>
      <c r="C1145" s="11" t="s">
        <v>1879</v>
      </c>
      <c r="D1145" s="11" t="s">
        <v>1879</v>
      </c>
      <c r="E1145" s="11" t="s">
        <v>1062</v>
      </c>
      <c r="F1145" s="11" t="s">
        <v>1991</v>
      </c>
      <c r="J1145" s="11">
        <v>26.8451881408691</v>
      </c>
      <c r="K1145" s="11">
        <v>-49.6113357543945</v>
      </c>
      <c r="L1145" s="11" t="s">
        <v>1879</v>
      </c>
      <c r="M1145" s="11" t="s">
        <v>1879</v>
      </c>
      <c r="N1145" s="11" t="s">
        <v>1062</v>
      </c>
      <c r="O1145" s="11" t="s">
        <v>1991</v>
      </c>
    </row>
    <row r="1146">
      <c r="A1146" s="11">
        <v>-70.3437576293945</v>
      </c>
      <c r="B1146" s="11">
        <v>-4.26564073562622</v>
      </c>
      <c r="C1146" s="11" t="s">
        <v>1879</v>
      </c>
      <c r="D1146" s="11" t="s">
        <v>1879</v>
      </c>
      <c r="E1146" s="11" t="s">
        <v>1062</v>
      </c>
      <c r="F1146" s="11" t="s">
        <v>1993</v>
      </c>
      <c r="J1146" s="11">
        <v>27.5661392211914</v>
      </c>
      <c r="K1146" s="11">
        <v>-43.1953773498535</v>
      </c>
      <c r="L1146" s="11" t="s">
        <v>1879</v>
      </c>
      <c r="M1146" s="11" t="s">
        <v>1879</v>
      </c>
      <c r="N1146" s="11" t="s">
        <v>1062</v>
      </c>
      <c r="O1146" s="11" t="s">
        <v>1993</v>
      </c>
    </row>
    <row r="1147">
      <c r="A1147" s="11">
        <v>-28.6642761230468</v>
      </c>
      <c r="B1147" s="11">
        <v>46.7599601745605</v>
      </c>
      <c r="C1147" s="11" t="s">
        <v>1879</v>
      </c>
      <c r="D1147" s="11" t="s">
        <v>1879</v>
      </c>
      <c r="E1147" s="11" t="s">
        <v>1062</v>
      </c>
      <c r="F1147" s="11" t="s">
        <v>1995</v>
      </c>
      <c r="J1147" s="11">
        <v>22.2180137634277</v>
      </c>
      <c r="K1147" s="11">
        <v>-60.8971099853515</v>
      </c>
      <c r="L1147" s="11" t="s">
        <v>1879</v>
      </c>
      <c r="M1147" s="11" t="s">
        <v>1879</v>
      </c>
      <c r="N1147" s="11" t="s">
        <v>1062</v>
      </c>
      <c r="O1147" s="11" t="s">
        <v>1995</v>
      </c>
    </row>
    <row r="1148">
      <c r="A1148" s="11">
        <v>-62.4838600158691</v>
      </c>
      <c r="B1148" s="11">
        <v>-8.23508262634277</v>
      </c>
      <c r="C1148" s="11" t="s">
        <v>1879</v>
      </c>
      <c r="D1148" s="11" t="s">
        <v>1879</v>
      </c>
      <c r="E1148" s="11" t="s">
        <v>1062</v>
      </c>
      <c r="F1148" s="11" t="s">
        <v>1997</v>
      </c>
      <c r="J1148" s="11">
        <v>27.5538005828857</v>
      </c>
      <c r="K1148" s="11">
        <v>-49.1168212890625</v>
      </c>
      <c r="L1148" s="11" t="s">
        <v>1879</v>
      </c>
      <c r="M1148" s="11" t="s">
        <v>1879</v>
      </c>
      <c r="N1148" s="11" t="s">
        <v>1062</v>
      </c>
      <c r="O1148" s="11" t="s">
        <v>1997</v>
      </c>
    </row>
    <row r="1149">
      <c r="A1149" s="11">
        <v>-38.2861557006835</v>
      </c>
      <c r="B1149" s="11">
        <v>-10.3114967346191</v>
      </c>
      <c r="C1149" s="11" t="s">
        <v>1879</v>
      </c>
      <c r="D1149" s="11" t="s">
        <v>1879</v>
      </c>
      <c r="E1149" s="11" t="s">
        <v>1062</v>
      </c>
      <c r="F1149" s="11" t="s">
        <v>1999</v>
      </c>
      <c r="J1149" s="11">
        <v>11.3972768783569</v>
      </c>
      <c r="K1149" s="11">
        <v>-53.1291389465332</v>
      </c>
      <c r="L1149" s="11" t="s">
        <v>1879</v>
      </c>
      <c r="M1149" s="11" t="s">
        <v>1879</v>
      </c>
      <c r="N1149" s="11" t="s">
        <v>1062</v>
      </c>
      <c r="O1149" s="11" t="s">
        <v>1999</v>
      </c>
    </row>
    <row r="1150">
      <c r="A1150" s="11">
        <v>-41.5056190490722</v>
      </c>
      <c r="B1150" s="11">
        <v>-4.07157516479492</v>
      </c>
      <c r="C1150" s="11" t="s">
        <v>1879</v>
      </c>
      <c r="D1150" s="11" t="s">
        <v>1879</v>
      </c>
      <c r="E1150" s="11" t="s">
        <v>1062</v>
      </c>
      <c r="F1150" s="11" t="s">
        <v>2001</v>
      </c>
      <c r="J1150" s="11">
        <v>16.8111629486084</v>
      </c>
      <c r="K1150" s="11">
        <v>-56.1202926635742</v>
      </c>
      <c r="L1150" s="11" t="s">
        <v>1879</v>
      </c>
      <c r="M1150" s="11" t="s">
        <v>1879</v>
      </c>
      <c r="N1150" s="11" t="s">
        <v>1062</v>
      </c>
      <c r="O1150" s="11" t="s">
        <v>2001</v>
      </c>
    </row>
    <row r="1151">
      <c r="A1151" s="11">
        <v>-46.3217468261718</v>
      </c>
      <c r="B1151" s="11">
        <v>-12.1436357498168</v>
      </c>
      <c r="C1151" s="11" t="s">
        <v>1879</v>
      </c>
      <c r="D1151" s="11" t="s">
        <v>1879</v>
      </c>
      <c r="E1151" s="11" t="s">
        <v>1062</v>
      </c>
      <c r="F1151" s="11" t="s">
        <v>2003</v>
      </c>
      <c r="J1151" s="11">
        <v>26.4057884216308</v>
      </c>
      <c r="K1151" s="11">
        <v>-55.1174392700195</v>
      </c>
      <c r="L1151" s="11" t="s">
        <v>1879</v>
      </c>
      <c r="M1151" s="11" t="s">
        <v>1879</v>
      </c>
      <c r="N1151" s="11" t="s">
        <v>1062</v>
      </c>
      <c r="O1151" s="11" t="s">
        <v>2003</v>
      </c>
    </row>
    <row r="1152">
      <c r="A1152" s="11">
        <v>-59.2947616577148</v>
      </c>
      <c r="B1152" s="11">
        <v>1.15633046627044</v>
      </c>
      <c r="C1152" s="11" t="s">
        <v>1879</v>
      </c>
      <c r="D1152" s="11" t="s">
        <v>1879</v>
      </c>
      <c r="E1152" s="11" t="s">
        <v>1062</v>
      </c>
      <c r="F1152" s="11" t="s">
        <v>2005</v>
      </c>
      <c r="J1152" s="11">
        <v>20.6750354766845</v>
      </c>
      <c r="K1152" s="11">
        <v>-55.0122413635253</v>
      </c>
      <c r="L1152" s="11" t="s">
        <v>1879</v>
      </c>
      <c r="M1152" s="11" t="s">
        <v>1879</v>
      </c>
      <c r="N1152" s="11" t="s">
        <v>1062</v>
      </c>
      <c r="O1152" s="11" t="s">
        <v>2005</v>
      </c>
    </row>
    <row r="1153">
      <c r="A1153" s="11">
        <v>-58.219497680664</v>
      </c>
      <c r="B1153" s="11">
        <v>-21.0492267608642</v>
      </c>
      <c r="C1153" s="11" t="s">
        <v>1879</v>
      </c>
      <c r="D1153" s="11" t="s">
        <v>1879</v>
      </c>
      <c r="E1153" s="11" t="s">
        <v>1062</v>
      </c>
      <c r="F1153" s="11" t="s">
        <v>2007</v>
      </c>
      <c r="J1153" s="11">
        <v>21.1210441589355</v>
      </c>
      <c r="K1153" s="11">
        <v>-43.2325019836425</v>
      </c>
      <c r="L1153" s="11" t="s">
        <v>1879</v>
      </c>
      <c r="M1153" s="11" t="s">
        <v>1879</v>
      </c>
      <c r="N1153" s="11" t="s">
        <v>1062</v>
      </c>
      <c r="O1153" s="11" t="s">
        <v>2007</v>
      </c>
    </row>
    <row r="1154">
      <c r="A1154" s="11">
        <v>-2.8540654182434</v>
      </c>
      <c r="B1154" s="11">
        <v>-54.3782844543457</v>
      </c>
      <c r="C1154" s="11" t="s">
        <v>1879</v>
      </c>
      <c r="D1154" s="11" t="s">
        <v>1879</v>
      </c>
      <c r="E1154" s="11" t="s">
        <v>1062</v>
      </c>
      <c r="F1154" s="11" t="s">
        <v>2009</v>
      </c>
      <c r="J1154" s="11">
        <v>15.1373586654663</v>
      </c>
      <c r="K1154" s="11">
        <v>-59.5382118225097</v>
      </c>
      <c r="L1154" s="11" t="s">
        <v>1879</v>
      </c>
      <c r="M1154" s="11" t="s">
        <v>1879</v>
      </c>
      <c r="N1154" s="11" t="s">
        <v>1062</v>
      </c>
      <c r="O1154" s="11" t="s">
        <v>2009</v>
      </c>
    </row>
    <row r="1155">
      <c r="A1155" s="11">
        <v>-49.9300308227539</v>
      </c>
      <c r="B1155" s="11">
        <v>-10.5094995498657</v>
      </c>
      <c r="C1155" s="11" t="s">
        <v>1879</v>
      </c>
      <c r="D1155" s="11" t="s">
        <v>1879</v>
      </c>
      <c r="E1155" s="11" t="s">
        <v>1062</v>
      </c>
      <c r="F1155" s="11" t="s">
        <v>2011</v>
      </c>
      <c r="J1155" s="11">
        <v>43.3555107116699</v>
      </c>
      <c r="K1155" s="11">
        <v>0.265863716602325</v>
      </c>
      <c r="L1155" s="11" t="s">
        <v>1879</v>
      </c>
      <c r="M1155" s="11" t="s">
        <v>1879</v>
      </c>
      <c r="N1155" s="11" t="s">
        <v>1062</v>
      </c>
      <c r="O1155" s="11" t="s">
        <v>2011</v>
      </c>
    </row>
    <row r="1156">
      <c r="A1156" s="11">
        <v>-58.219497680664</v>
      </c>
      <c r="B1156" s="11">
        <v>-21.0492267608642</v>
      </c>
      <c r="C1156" s="11" t="s">
        <v>1879</v>
      </c>
      <c r="D1156" s="11" t="s">
        <v>1879</v>
      </c>
      <c r="E1156" s="11" t="s">
        <v>1062</v>
      </c>
      <c r="F1156" s="11" t="s">
        <v>2012</v>
      </c>
      <c r="J1156" s="11">
        <v>21.2780017852783</v>
      </c>
      <c r="K1156" s="11">
        <v>-42.6405715942382</v>
      </c>
      <c r="L1156" s="11" t="s">
        <v>1879</v>
      </c>
      <c r="M1156" s="11" t="s">
        <v>1879</v>
      </c>
      <c r="N1156" s="11" t="s">
        <v>1062</v>
      </c>
      <c r="O1156" s="11" t="s">
        <v>2012</v>
      </c>
    </row>
    <row r="1157">
      <c r="A1157" s="11">
        <v>-44.0824317932128</v>
      </c>
      <c r="B1157" s="11">
        <v>-21.7481937408447</v>
      </c>
      <c r="C1157" s="11" t="s">
        <v>1879</v>
      </c>
      <c r="D1157" s="11" t="s">
        <v>1879</v>
      </c>
      <c r="E1157" s="11" t="s">
        <v>1062</v>
      </c>
      <c r="F1157" s="11" t="s">
        <v>2016</v>
      </c>
      <c r="J1157" s="11">
        <v>12.4431419372558</v>
      </c>
      <c r="K1157" s="11">
        <v>-45.8586616516113</v>
      </c>
      <c r="L1157" s="11" t="s">
        <v>1879</v>
      </c>
      <c r="M1157" s="11" t="s">
        <v>1879</v>
      </c>
      <c r="N1157" s="11" t="s">
        <v>1062</v>
      </c>
      <c r="O1157" s="11" t="s">
        <v>2016</v>
      </c>
    </row>
    <row r="1158">
      <c r="A1158" s="11">
        <v>-64.8798446655273</v>
      </c>
      <c r="B1158" s="11">
        <v>-14.9519233703613</v>
      </c>
      <c r="C1158" s="11" t="s">
        <v>1879</v>
      </c>
      <c r="D1158" s="11" t="s">
        <v>1879</v>
      </c>
      <c r="E1158" s="11" t="s">
        <v>1062</v>
      </c>
      <c r="F1158" s="11" t="s">
        <v>2018</v>
      </c>
      <c r="J1158" s="11">
        <v>17.8962726593017</v>
      </c>
      <c r="K1158" s="11">
        <v>-46.0252647399902</v>
      </c>
      <c r="L1158" s="11" t="s">
        <v>1879</v>
      </c>
      <c r="M1158" s="11" t="s">
        <v>1879</v>
      </c>
      <c r="N1158" s="11" t="s">
        <v>1062</v>
      </c>
      <c r="O1158" s="11" t="s">
        <v>2018</v>
      </c>
    </row>
    <row r="1159">
      <c r="A1159" s="11">
        <v>-47.340763092041</v>
      </c>
      <c r="B1159" s="11">
        <v>-8.39979076385498</v>
      </c>
      <c r="C1159" s="11" t="s">
        <v>1879</v>
      </c>
      <c r="D1159" s="11" t="s">
        <v>1879</v>
      </c>
      <c r="E1159" s="11" t="s">
        <v>1062</v>
      </c>
      <c r="F1159" s="11" t="s">
        <v>2020</v>
      </c>
      <c r="J1159" s="11">
        <v>21.4001083374023</v>
      </c>
      <c r="K1159" s="11">
        <v>-40.275218963623</v>
      </c>
      <c r="L1159" s="11" t="s">
        <v>1879</v>
      </c>
      <c r="M1159" s="11" t="s">
        <v>1879</v>
      </c>
      <c r="N1159" s="11" t="s">
        <v>1062</v>
      </c>
      <c r="O1159" s="11" t="s">
        <v>2020</v>
      </c>
    </row>
    <row r="1160">
      <c r="A1160" s="11">
        <v>-41.1848983764648</v>
      </c>
      <c r="B1160" s="11">
        <v>-6.57746362686157</v>
      </c>
      <c r="C1160" s="11" t="s">
        <v>1879</v>
      </c>
      <c r="D1160" s="11" t="s">
        <v>1879</v>
      </c>
      <c r="E1160" s="11" t="s">
        <v>1062</v>
      </c>
      <c r="F1160" s="11" t="s">
        <v>2022</v>
      </c>
      <c r="J1160" s="11">
        <v>14.939185142517</v>
      </c>
      <c r="K1160" s="11">
        <v>-50.4351844787597</v>
      </c>
      <c r="L1160" s="11" t="s">
        <v>1879</v>
      </c>
      <c r="M1160" s="11" t="s">
        <v>1879</v>
      </c>
      <c r="N1160" s="11" t="s">
        <v>1062</v>
      </c>
      <c r="O1160" s="11" t="s">
        <v>2022</v>
      </c>
    </row>
    <row r="1161">
      <c r="A1161" s="11">
        <v>-42.9226264953613</v>
      </c>
      <c r="B1161" s="11">
        <v>-13.0347547531127</v>
      </c>
      <c r="C1161" s="11" t="s">
        <v>1879</v>
      </c>
      <c r="D1161" s="11" t="s">
        <v>1879</v>
      </c>
      <c r="E1161" s="11" t="s">
        <v>1062</v>
      </c>
      <c r="F1161" s="11" t="s">
        <v>2024</v>
      </c>
      <c r="J1161" s="11">
        <v>18.491075515747</v>
      </c>
      <c r="K1161" s="11">
        <v>-30.8455619812011</v>
      </c>
      <c r="L1161" s="11" t="s">
        <v>1879</v>
      </c>
      <c r="M1161" s="11" t="s">
        <v>1879</v>
      </c>
      <c r="N1161" s="11" t="s">
        <v>1062</v>
      </c>
      <c r="O1161" s="11" t="s">
        <v>2024</v>
      </c>
    </row>
    <row r="1162">
      <c r="A1162" s="11">
        <v>-62.4750938415527</v>
      </c>
      <c r="B1162" s="11">
        <v>-6.99166393280029</v>
      </c>
      <c r="C1162" s="11" t="s">
        <v>1879</v>
      </c>
      <c r="D1162" s="11" t="s">
        <v>1879</v>
      </c>
      <c r="E1162" s="11" t="s">
        <v>1062</v>
      </c>
      <c r="F1162" s="11" t="s">
        <v>2026</v>
      </c>
      <c r="J1162" s="11">
        <v>27.3059730529785</v>
      </c>
      <c r="K1162" s="11">
        <v>-49.7317771911621</v>
      </c>
      <c r="L1162" s="11" t="s">
        <v>1879</v>
      </c>
      <c r="M1162" s="11" t="s">
        <v>1879</v>
      </c>
      <c r="N1162" s="11" t="s">
        <v>1062</v>
      </c>
      <c r="O1162" s="11" t="s">
        <v>2026</v>
      </c>
    </row>
    <row r="1163">
      <c r="A1163" s="11">
        <v>-18.4967346191406</v>
      </c>
      <c r="B1163" s="11">
        <v>27.187536239624</v>
      </c>
      <c r="C1163" s="11" t="s">
        <v>1879</v>
      </c>
      <c r="D1163" s="11" t="s">
        <v>1879</v>
      </c>
      <c r="E1163" s="11" t="s">
        <v>1062</v>
      </c>
      <c r="F1163" s="11" t="s">
        <v>2030</v>
      </c>
      <c r="J1163" s="11">
        <v>10.4807510375976</v>
      </c>
      <c r="K1163" s="11">
        <v>-36.8926582336425</v>
      </c>
      <c r="L1163" s="11" t="s">
        <v>1879</v>
      </c>
      <c r="M1163" s="11" t="s">
        <v>1879</v>
      </c>
      <c r="N1163" s="11" t="s">
        <v>1062</v>
      </c>
      <c r="O1163" s="11" t="s">
        <v>2030</v>
      </c>
    </row>
    <row r="1164">
      <c r="A1164" s="11">
        <v>-49.779239654541</v>
      </c>
      <c r="B1164" s="11">
        <v>2.3011577129364</v>
      </c>
      <c r="C1164" s="11" t="s">
        <v>1879</v>
      </c>
      <c r="D1164" s="11" t="s">
        <v>1879</v>
      </c>
      <c r="E1164" s="11" t="s">
        <v>1062</v>
      </c>
      <c r="F1164" s="11" t="s">
        <v>2031</v>
      </c>
      <c r="J1164" s="11">
        <v>31.4155120849609</v>
      </c>
      <c r="K1164" s="11">
        <v>-43.3518333435058</v>
      </c>
      <c r="L1164" s="11" t="s">
        <v>1879</v>
      </c>
      <c r="M1164" s="11" t="s">
        <v>1879</v>
      </c>
      <c r="N1164" s="11" t="s">
        <v>1062</v>
      </c>
      <c r="O1164" s="11" t="s">
        <v>2031</v>
      </c>
    </row>
    <row r="1165">
      <c r="A1165" s="11">
        <v>-30.2259845733642</v>
      </c>
      <c r="B1165" s="11">
        <v>-10.1376247406005</v>
      </c>
      <c r="C1165" s="11" t="s">
        <v>1879</v>
      </c>
      <c r="D1165" s="11" t="s">
        <v>1879</v>
      </c>
      <c r="E1165" s="11" t="s">
        <v>1062</v>
      </c>
      <c r="F1165" s="11" t="s">
        <v>2034</v>
      </c>
      <c r="J1165" s="11">
        <v>34.9279747009277</v>
      </c>
      <c r="K1165" s="11">
        <v>-51.8118896484375</v>
      </c>
      <c r="L1165" s="11" t="s">
        <v>1879</v>
      </c>
      <c r="M1165" s="11" t="s">
        <v>1879</v>
      </c>
      <c r="N1165" s="11" t="s">
        <v>1062</v>
      </c>
      <c r="O1165" s="11" t="s">
        <v>2034</v>
      </c>
    </row>
    <row r="1166">
      <c r="A1166" s="11">
        <v>-47.7565765380859</v>
      </c>
      <c r="B1166" s="11">
        <v>-9.34470081329345</v>
      </c>
      <c r="C1166" s="11" t="s">
        <v>1879</v>
      </c>
      <c r="D1166" s="11" t="s">
        <v>1879</v>
      </c>
      <c r="E1166" s="11" t="s">
        <v>1062</v>
      </c>
      <c r="F1166" s="11" t="s">
        <v>2035</v>
      </c>
      <c r="J1166" s="11">
        <v>21.1085338592529</v>
      </c>
      <c r="K1166" s="11">
        <v>-39.4162788391113</v>
      </c>
      <c r="L1166" s="11" t="s">
        <v>1879</v>
      </c>
      <c r="M1166" s="11" t="s">
        <v>1879</v>
      </c>
      <c r="N1166" s="11" t="s">
        <v>1062</v>
      </c>
      <c r="O1166" s="11" t="s">
        <v>2035</v>
      </c>
    </row>
    <row r="1167">
      <c r="A1167" s="11">
        <v>-43.7852706909179</v>
      </c>
      <c r="B1167" s="11">
        <v>-21.1200523376464</v>
      </c>
      <c r="C1167" s="11" t="s">
        <v>1879</v>
      </c>
      <c r="D1167" s="11" t="s">
        <v>1879</v>
      </c>
      <c r="E1167" s="11" t="s">
        <v>1062</v>
      </c>
      <c r="F1167" s="11" t="s">
        <v>2037</v>
      </c>
      <c r="J1167" s="11">
        <v>12.1851577758789</v>
      </c>
      <c r="K1167" s="11">
        <v>-45.9849548339843</v>
      </c>
      <c r="L1167" s="11" t="s">
        <v>1879</v>
      </c>
      <c r="M1167" s="11" t="s">
        <v>1879</v>
      </c>
      <c r="N1167" s="11" t="s">
        <v>1062</v>
      </c>
      <c r="O1167" s="11" t="s">
        <v>2037</v>
      </c>
    </row>
    <row r="1168">
      <c r="A1168" s="11">
        <v>-58.141990661621</v>
      </c>
      <c r="B1168" s="11">
        <v>-15.1090822219848</v>
      </c>
      <c r="C1168" s="11" t="s">
        <v>1879</v>
      </c>
      <c r="D1168" s="11" t="s">
        <v>1879</v>
      </c>
      <c r="E1168" s="11" t="s">
        <v>1062</v>
      </c>
      <c r="F1168" s="11" t="s">
        <v>2040</v>
      </c>
      <c r="J1168" s="11">
        <v>25.2383289337158</v>
      </c>
      <c r="K1168" s="11">
        <v>-53.1400680541992</v>
      </c>
      <c r="L1168" s="11" t="s">
        <v>1879</v>
      </c>
      <c r="M1168" s="11" t="s">
        <v>1879</v>
      </c>
      <c r="N1168" s="11" t="s">
        <v>1062</v>
      </c>
      <c r="O1168" s="11" t="s">
        <v>2040</v>
      </c>
    </row>
    <row r="1169">
      <c r="A1169" s="11">
        <v>-33.6731338500976</v>
      </c>
      <c r="B1169" s="11">
        <v>-20.5972461700439</v>
      </c>
      <c r="C1169" s="11" t="s">
        <v>1879</v>
      </c>
      <c r="D1169" s="11" t="s">
        <v>1879</v>
      </c>
      <c r="E1169" s="11" t="s">
        <v>1062</v>
      </c>
      <c r="F1169" s="11" t="s">
        <v>2042</v>
      </c>
      <c r="J1169" s="11">
        <v>30.0986499786376</v>
      </c>
      <c r="K1169" s="11">
        <v>-39.1755447387695</v>
      </c>
      <c r="L1169" s="11" t="s">
        <v>1879</v>
      </c>
      <c r="M1169" s="11" t="s">
        <v>1879</v>
      </c>
      <c r="N1169" s="11" t="s">
        <v>1062</v>
      </c>
      <c r="O1169" s="11" t="s">
        <v>2042</v>
      </c>
    </row>
    <row r="1170">
      <c r="A1170" s="11">
        <v>-58.8678359985351</v>
      </c>
      <c r="B1170" s="11">
        <v>-20.3913345336914</v>
      </c>
      <c r="C1170" s="11" t="s">
        <v>1879</v>
      </c>
      <c r="D1170" s="11" t="s">
        <v>1879</v>
      </c>
      <c r="E1170" s="11" t="s">
        <v>1062</v>
      </c>
      <c r="F1170" s="11" t="s">
        <v>2044</v>
      </c>
      <c r="J1170" s="11">
        <v>20.8199615478515</v>
      </c>
      <c r="K1170" s="11">
        <v>-41.9957199096679</v>
      </c>
      <c r="L1170" s="11" t="s">
        <v>1879</v>
      </c>
      <c r="M1170" s="11" t="s">
        <v>1879</v>
      </c>
      <c r="N1170" s="11" t="s">
        <v>1062</v>
      </c>
      <c r="O1170" s="11" t="s">
        <v>2044</v>
      </c>
    </row>
    <row r="1171">
      <c r="A1171" s="11">
        <v>-60.2803001403808</v>
      </c>
      <c r="B1171" s="11">
        <v>0.875840365886688</v>
      </c>
      <c r="C1171" s="11" t="s">
        <v>1879</v>
      </c>
      <c r="D1171" s="11" t="s">
        <v>1879</v>
      </c>
      <c r="E1171" s="11" t="s">
        <v>1062</v>
      </c>
      <c r="F1171" s="11" t="s">
        <v>2047</v>
      </c>
      <c r="J1171" s="11">
        <v>20.3124122619628</v>
      </c>
      <c r="K1171" s="11">
        <v>-55.8831367492675</v>
      </c>
      <c r="L1171" s="11" t="s">
        <v>1879</v>
      </c>
      <c r="M1171" s="11" t="s">
        <v>1879</v>
      </c>
      <c r="N1171" s="11" t="s">
        <v>1062</v>
      </c>
      <c r="O1171" s="11" t="s">
        <v>2047</v>
      </c>
    </row>
    <row r="1172">
      <c r="A1172" s="11">
        <v>-52.4196853637695</v>
      </c>
      <c r="B1172" s="11">
        <v>-9.28563404083252</v>
      </c>
      <c r="C1172" s="11" t="s">
        <v>1879</v>
      </c>
      <c r="D1172" s="11" t="s">
        <v>1879</v>
      </c>
      <c r="E1172" s="11" t="s">
        <v>1062</v>
      </c>
      <c r="F1172" s="11" t="s">
        <v>2049</v>
      </c>
      <c r="J1172" s="11">
        <v>16.117862701416</v>
      </c>
      <c r="K1172" s="11">
        <v>-39.9428672790527</v>
      </c>
      <c r="L1172" s="11" t="s">
        <v>1879</v>
      </c>
      <c r="M1172" s="11" t="s">
        <v>1879</v>
      </c>
      <c r="N1172" s="11" t="s">
        <v>1062</v>
      </c>
      <c r="O1172" s="11" t="s">
        <v>2049</v>
      </c>
    </row>
    <row r="1173">
      <c r="A1173" s="11">
        <v>-29.2093105316162</v>
      </c>
      <c r="B1173" s="11">
        <v>47.6170082092285</v>
      </c>
      <c r="C1173" s="11" t="s">
        <v>1879</v>
      </c>
      <c r="D1173" s="11" t="s">
        <v>1879</v>
      </c>
      <c r="E1173" s="11" t="s">
        <v>1062</v>
      </c>
      <c r="F1173" s="11" t="s">
        <v>2051</v>
      </c>
      <c r="J1173" s="11">
        <v>21.6865215301513</v>
      </c>
      <c r="K1173" s="11">
        <v>-61.0509643554687</v>
      </c>
      <c r="L1173" s="11" t="s">
        <v>1879</v>
      </c>
      <c r="M1173" s="11" t="s">
        <v>1879</v>
      </c>
      <c r="N1173" s="11" t="s">
        <v>1062</v>
      </c>
      <c r="O1173" s="11" t="s">
        <v>2051</v>
      </c>
    </row>
    <row r="1174">
      <c r="A1174" s="11">
        <v>-37.4610519409179</v>
      </c>
      <c r="B1174" s="11">
        <v>-10.6296329498291</v>
      </c>
      <c r="C1174" s="11" t="s">
        <v>1879</v>
      </c>
      <c r="D1174" s="11" t="s">
        <v>1879</v>
      </c>
      <c r="E1174" s="11" t="s">
        <v>1062</v>
      </c>
      <c r="F1174" s="11" t="s">
        <v>2053</v>
      </c>
      <c r="J1174" s="11">
        <v>11.9155254364013</v>
      </c>
      <c r="K1174" s="11">
        <v>-53.6504249572753</v>
      </c>
      <c r="L1174" s="11" t="s">
        <v>1879</v>
      </c>
      <c r="M1174" s="11" t="s">
        <v>1879</v>
      </c>
      <c r="N1174" s="11" t="s">
        <v>1062</v>
      </c>
      <c r="O1174" s="11" t="s">
        <v>2053</v>
      </c>
    </row>
    <row r="1175">
      <c r="A1175" s="11">
        <v>-58.141990661621</v>
      </c>
      <c r="B1175" s="11">
        <v>-15.1090822219848</v>
      </c>
      <c r="C1175" s="11" t="s">
        <v>1879</v>
      </c>
      <c r="D1175" s="11" t="s">
        <v>1879</v>
      </c>
      <c r="E1175" s="11" t="s">
        <v>1062</v>
      </c>
      <c r="F1175" s="11" t="s">
        <v>2054</v>
      </c>
      <c r="J1175" s="11">
        <v>25.2383289337158</v>
      </c>
      <c r="K1175" s="11">
        <v>-53.1400680541992</v>
      </c>
      <c r="L1175" s="11" t="s">
        <v>1879</v>
      </c>
      <c r="M1175" s="11" t="s">
        <v>1879</v>
      </c>
      <c r="N1175" s="11" t="s">
        <v>1062</v>
      </c>
      <c r="O1175" s="11" t="s">
        <v>2054</v>
      </c>
    </row>
    <row r="1176">
      <c r="A1176" s="11">
        <v>-44.0824317932128</v>
      </c>
      <c r="B1176" s="11">
        <v>-21.7481937408447</v>
      </c>
      <c r="C1176" s="11" t="s">
        <v>1879</v>
      </c>
      <c r="D1176" s="11" t="s">
        <v>1879</v>
      </c>
      <c r="E1176" s="11" t="s">
        <v>1062</v>
      </c>
      <c r="F1176" s="11" t="s">
        <v>2056</v>
      </c>
      <c r="J1176" s="11">
        <v>12.4431419372558</v>
      </c>
      <c r="K1176" s="11">
        <v>-45.8586616516113</v>
      </c>
      <c r="L1176" s="11" t="s">
        <v>1879</v>
      </c>
      <c r="M1176" s="11" t="s">
        <v>1879</v>
      </c>
      <c r="N1176" s="11" t="s">
        <v>1062</v>
      </c>
      <c r="O1176" s="11" t="s">
        <v>2056</v>
      </c>
    </row>
    <row r="1177">
      <c r="A1177" s="11">
        <v>-71.7795028686523</v>
      </c>
      <c r="B1177" s="11">
        <v>-17.3795223236084</v>
      </c>
      <c r="C1177" s="11" t="s">
        <v>1879</v>
      </c>
      <c r="D1177" s="11" t="s">
        <v>1879</v>
      </c>
      <c r="E1177" s="11" t="s">
        <v>1062</v>
      </c>
      <c r="F1177" s="11" t="s">
        <v>2058</v>
      </c>
      <c r="J1177" s="11">
        <v>19.1710567474365</v>
      </c>
      <c r="K1177" s="11">
        <v>-50.9676094055175</v>
      </c>
      <c r="L1177" s="11" t="s">
        <v>1879</v>
      </c>
      <c r="M1177" s="11" t="s">
        <v>1879</v>
      </c>
      <c r="N1177" s="11" t="s">
        <v>1062</v>
      </c>
      <c r="O1177" s="11" t="s">
        <v>2058</v>
      </c>
    </row>
    <row r="1178">
      <c r="A1178" s="11">
        <v>-63.8030700683593</v>
      </c>
      <c r="B1178" s="11">
        <v>-21.6180610656738</v>
      </c>
      <c r="C1178" s="11" t="s">
        <v>1879</v>
      </c>
      <c r="D1178" s="11" t="s">
        <v>1879</v>
      </c>
      <c r="E1178" s="11" t="s">
        <v>1062</v>
      </c>
      <c r="F1178" s="11" t="s">
        <v>2061</v>
      </c>
      <c r="J1178" s="11">
        <v>23.1161499023437</v>
      </c>
      <c r="K1178" s="11">
        <v>-50.545612335205</v>
      </c>
      <c r="L1178" s="11" t="s">
        <v>1879</v>
      </c>
      <c r="M1178" s="11" t="s">
        <v>1879</v>
      </c>
      <c r="N1178" s="11" t="s">
        <v>1062</v>
      </c>
      <c r="O1178" s="11" t="s">
        <v>2061</v>
      </c>
    </row>
    <row r="1179">
      <c r="A1179" s="11">
        <v>-2.99730253219604</v>
      </c>
      <c r="B1179" s="11">
        <v>-54.5587730407714</v>
      </c>
      <c r="C1179" s="11" t="s">
        <v>1879</v>
      </c>
      <c r="D1179" s="11" t="s">
        <v>1879</v>
      </c>
      <c r="E1179" s="11" t="s">
        <v>1062</v>
      </c>
      <c r="F1179" s="11" t="s">
        <v>2063</v>
      </c>
      <c r="J1179" s="11">
        <v>15.2203760147094</v>
      </c>
      <c r="K1179" s="11">
        <v>-59.4342041015625</v>
      </c>
      <c r="L1179" s="11" t="s">
        <v>1879</v>
      </c>
      <c r="M1179" s="11" t="s">
        <v>1879</v>
      </c>
      <c r="N1179" s="11" t="s">
        <v>1062</v>
      </c>
      <c r="O1179" s="11" t="s">
        <v>2063</v>
      </c>
    </row>
    <row r="1180">
      <c r="A1180" s="11">
        <v>-50.653076171875</v>
      </c>
      <c r="B1180" s="11">
        <v>2.54900884628295</v>
      </c>
      <c r="C1180" s="11" t="s">
        <v>1879</v>
      </c>
      <c r="D1180" s="11" t="s">
        <v>1879</v>
      </c>
      <c r="E1180" s="11" t="s">
        <v>1062</v>
      </c>
      <c r="F1180" s="11" t="s">
        <v>2065</v>
      </c>
      <c r="J1180" s="11">
        <v>32.1070518493652</v>
      </c>
      <c r="K1180" s="11">
        <v>-43.0192184448242</v>
      </c>
      <c r="L1180" s="11" t="s">
        <v>1879</v>
      </c>
      <c r="M1180" s="11" t="s">
        <v>1879</v>
      </c>
      <c r="N1180" s="11" t="s">
        <v>1062</v>
      </c>
      <c r="O1180" s="11" t="s">
        <v>2065</v>
      </c>
    </row>
    <row r="1181">
      <c r="A1181" s="11">
        <v>-71.5192413330078</v>
      </c>
      <c r="B1181" s="11">
        <v>-16.3452720642089</v>
      </c>
      <c r="C1181" s="11" t="s">
        <v>1879</v>
      </c>
      <c r="D1181" s="11" t="s">
        <v>1879</v>
      </c>
      <c r="E1181" s="11" t="s">
        <v>1062</v>
      </c>
      <c r="F1181" s="11" t="s">
        <v>2067</v>
      </c>
      <c r="J1181" s="11">
        <v>19.9778385162353</v>
      </c>
      <c r="K1181" s="11">
        <v>-50.8754272460937</v>
      </c>
      <c r="L1181" s="11" t="s">
        <v>1879</v>
      </c>
      <c r="M1181" s="11" t="s">
        <v>1879</v>
      </c>
      <c r="N1181" s="11" t="s">
        <v>1062</v>
      </c>
      <c r="O1181" s="11" t="s">
        <v>2067</v>
      </c>
    </row>
    <row r="1182">
      <c r="A1182" s="11">
        <v>-42.9853172302246</v>
      </c>
      <c r="B1182" s="11">
        <v>-4.13477420806884</v>
      </c>
      <c r="C1182" s="11" t="s">
        <v>1879</v>
      </c>
      <c r="D1182" s="11" t="s">
        <v>1879</v>
      </c>
      <c r="E1182" s="11" t="s">
        <v>1062</v>
      </c>
      <c r="F1182" s="11" t="s">
        <v>2068</v>
      </c>
      <c r="J1182" s="11">
        <v>14.9495239257812</v>
      </c>
      <c r="K1182" s="11">
        <v>-53.9499855041503</v>
      </c>
      <c r="L1182" s="11" t="s">
        <v>1879</v>
      </c>
      <c r="M1182" s="11" t="s">
        <v>1879</v>
      </c>
      <c r="N1182" s="11" t="s">
        <v>1062</v>
      </c>
      <c r="O1182" s="11" t="s">
        <v>2068</v>
      </c>
    </row>
    <row r="1183">
      <c r="A1183" s="11">
        <v>-50.0179176330566</v>
      </c>
      <c r="B1183" s="11">
        <v>-8.25859832763671</v>
      </c>
      <c r="C1183" s="11" t="s">
        <v>1879</v>
      </c>
      <c r="D1183" s="11" t="s">
        <v>1879</v>
      </c>
      <c r="E1183" s="11" t="s">
        <v>1062</v>
      </c>
      <c r="F1183" s="11" t="s">
        <v>2070</v>
      </c>
      <c r="J1183" s="11">
        <v>45.8436584472656</v>
      </c>
      <c r="K1183" s="11">
        <v>1.85475039482116</v>
      </c>
      <c r="L1183" s="11" t="s">
        <v>1879</v>
      </c>
      <c r="M1183" s="11" t="s">
        <v>1879</v>
      </c>
      <c r="N1183" s="11" t="s">
        <v>1062</v>
      </c>
      <c r="O1183" s="11" t="s">
        <v>2070</v>
      </c>
    </row>
    <row r="1184">
      <c r="A1184" s="11">
        <v>-43.2324600219726</v>
      </c>
      <c r="B1184" s="11">
        <v>-6.33576440811157</v>
      </c>
      <c r="C1184" s="11" t="s">
        <v>1879</v>
      </c>
      <c r="D1184" s="11" t="s">
        <v>1879</v>
      </c>
      <c r="E1184" s="11" t="s">
        <v>1062</v>
      </c>
      <c r="F1184" s="11" t="s">
        <v>2072</v>
      </c>
      <c r="J1184" s="11">
        <v>16.6716175079345</v>
      </c>
      <c r="K1184" s="11">
        <v>-53.2901191711425</v>
      </c>
      <c r="L1184" s="11" t="s">
        <v>1879</v>
      </c>
      <c r="M1184" s="11" t="s">
        <v>1879</v>
      </c>
      <c r="N1184" s="11" t="s">
        <v>1062</v>
      </c>
      <c r="O1184" s="11" t="s">
        <v>2072</v>
      </c>
    </row>
    <row r="1185">
      <c r="A1185" s="11">
        <v>-48.8058052062988</v>
      </c>
      <c r="B1185" s="11">
        <v>-3.1430480480194</v>
      </c>
      <c r="C1185" s="11" t="s">
        <v>1879</v>
      </c>
      <c r="D1185" s="11" t="s">
        <v>1879</v>
      </c>
      <c r="E1185" s="11" t="s">
        <v>1062</v>
      </c>
      <c r="F1185" s="11" t="s">
        <v>2074</v>
      </c>
      <c r="J1185" s="11">
        <v>45.1865196228027</v>
      </c>
      <c r="K1185" s="11">
        <v>-5.37609910964965</v>
      </c>
      <c r="L1185" s="11" t="s">
        <v>1879</v>
      </c>
      <c r="M1185" s="11" t="s">
        <v>1879</v>
      </c>
      <c r="N1185" s="11" t="s">
        <v>1062</v>
      </c>
      <c r="O1185" s="11" t="s">
        <v>2074</v>
      </c>
    </row>
    <row r="1186">
      <c r="A1186" s="11">
        <v>-41.8291625976562</v>
      </c>
      <c r="B1186" s="11">
        <v>-6.16874265670776</v>
      </c>
      <c r="C1186" s="11" t="s">
        <v>1879</v>
      </c>
      <c r="D1186" s="11" t="s">
        <v>1879</v>
      </c>
      <c r="E1186" s="11" t="s">
        <v>1062</v>
      </c>
      <c r="F1186" s="11" t="s">
        <v>2075</v>
      </c>
      <c r="J1186" s="11">
        <v>15.0200634002685</v>
      </c>
      <c r="K1186" s="11">
        <v>-50.8467407226562</v>
      </c>
      <c r="L1186" s="11" t="s">
        <v>1879</v>
      </c>
      <c r="M1186" s="11" t="s">
        <v>1879</v>
      </c>
      <c r="N1186" s="11" t="s">
        <v>1062</v>
      </c>
      <c r="O1186" s="11" t="s">
        <v>2075</v>
      </c>
    </row>
    <row r="1187">
      <c r="A1187" s="11">
        <v>-48.0900764465332</v>
      </c>
      <c r="B1187" s="11">
        <v>-5.0245451927185</v>
      </c>
      <c r="C1187" s="11" t="s">
        <v>1879</v>
      </c>
      <c r="D1187" s="11" t="s">
        <v>1879</v>
      </c>
      <c r="E1187" s="11" t="s">
        <v>1062</v>
      </c>
      <c r="F1187" s="11" t="s">
        <v>2077</v>
      </c>
      <c r="J1187" s="11">
        <v>46.0508041381835</v>
      </c>
      <c r="K1187" s="11">
        <v>-4.35813045501709</v>
      </c>
      <c r="L1187" s="11" t="s">
        <v>1879</v>
      </c>
      <c r="M1187" s="11" t="s">
        <v>1879</v>
      </c>
      <c r="N1187" s="11" t="s">
        <v>1062</v>
      </c>
      <c r="O1187" s="11" t="s">
        <v>2077</v>
      </c>
    </row>
    <row r="1188">
      <c r="A1188" s="11">
        <v>-57.1114311218261</v>
      </c>
      <c r="B1188" s="11">
        <v>-15.4427738189697</v>
      </c>
      <c r="C1188" s="11" t="s">
        <v>1879</v>
      </c>
      <c r="D1188" s="11" t="s">
        <v>1879</v>
      </c>
      <c r="E1188" s="11" t="s">
        <v>1062</v>
      </c>
      <c r="F1188" s="11" t="s">
        <v>2080</v>
      </c>
      <c r="J1188" s="11">
        <v>24.9159469604492</v>
      </c>
      <c r="K1188" s="11">
        <v>-53.8833961486816</v>
      </c>
      <c r="L1188" s="11" t="s">
        <v>1879</v>
      </c>
      <c r="M1188" s="11" t="s">
        <v>1879</v>
      </c>
      <c r="N1188" s="11" t="s">
        <v>1062</v>
      </c>
      <c r="O1188" s="11" t="s">
        <v>2080</v>
      </c>
    </row>
    <row r="1189">
      <c r="A1189" s="11">
        <v>-62.8333396911621</v>
      </c>
      <c r="B1189" s="11">
        <v>-21.1367893218994</v>
      </c>
      <c r="C1189" s="11" t="s">
        <v>1879</v>
      </c>
      <c r="D1189" s="11" t="s">
        <v>1879</v>
      </c>
      <c r="E1189" s="11" t="s">
        <v>1062</v>
      </c>
      <c r="F1189" s="11" t="s">
        <v>2082</v>
      </c>
      <c r="J1189" s="11">
        <v>22.9179782867431</v>
      </c>
      <c r="K1189" s="11">
        <v>-49.8737449645996</v>
      </c>
      <c r="L1189" s="11" t="s">
        <v>1879</v>
      </c>
      <c r="M1189" s="11" t="s">
        <v>1879</v>
      </c>
      <c r="N1189" s="11" t="s">
        <v>1062</v>
      </c>
      <c r="O1189" s="11" t="s">
        <v>2082</v>
      </c>
    </row>
    <row r="1190">
      <c r="A1190" s="11">
        <v>-18.4967346191406</v>
      </c>
      <c r="B1190" s="11">
        <v>27.187536239624</v>
      </c>
      <c r="C1190" s="11" t="s">
        <v>1879</v>
      </c>
      <c r="D1190" s="11" t="s">
        <v>1879</v>
      </c>
      <c r="E1190" s="11" t="s">
        <v>1062</v>
      </c>
      <c r="F1190" s="11" t="s">
        <v>2084</v>
      </c>
      <c r="J1190" s="11">
        <v>10.4779109954833</v>
      </c>
      <c r="K1190" s="11">
        <v>-36.5366287231445</v>
      </c>
      <c r="L1190" s="11" t="s">
        <v>1879</v>
      </c>
      <c r="M1190" s="11" t="s">
        <v>1879</v>
      </c>
      <c r="N1190" s="11" t="s">
        <v>1062</v>
      </c>
      <c r="O1190" s="11" t="s">
        <v>2084</v>
      </c>
    </row>
    <row r="1191">
      <c r="A1191" s="11">
        <v>-47.5003051757812</v>
      </c>
      <c r="B1191" s="11">
        <v>-17.491226196289</v>
      </c>
      <c r="C1191" s="11" t="s">
        <v>1879</v>
      </c>
      <c r="D1191" s="11" t="s">
        <v>1879</v>
      </c>
      <c r="E1191" s="11" t="s">
        <v>1062</v>
      </c>
      <c r="F1191" s="11" t="s">
        <v>2086</v>
      </c>
      <c r="J1191" s="11">
        <v>1.83965647220611</v>
      </c>
      <c r="K1191" s="11">
        <v>-16.4729843139648</v>
      </c>
      <c r="L1191" s="11" t="s">
        <v>1879</v>
      </c>
      <c r="M1191" s="11" t="s">
        <v>1879</v>
      </c>
      <c r="N1191" s="11" t="s">
        <v>1062</v>
      </c>
      <c r="O1191" s="11" t="s">
        <v>2086</v>
      </c>
    </row>
    <row r="1192">
      <c r="A1192" s="11">
        <v>-31.3202381134033</v>
      </c>
      <c r="B1192" s="11">
        <v>-15.4496479034423</v>
      </c>
      <c r="C1192" s="11" t="s">
        <v>1879</v>
      </c>
      <c r="D1192" s="11" t="s">
        <v>1879</v>
      </c>
      <c r="E1192" s="11" t="s">
        <v>1062</v>
      </c>
      <c r="F1192" s="11" t="s">
        <v>2087</v>
      </c>
      <c r="J1192" s="11">
        <v>30.8954811096191</v>
      </c>
      <c r="K1192" s="11">
        <v>-55.4293670654296</v>
      </c>
      <c r="L1192" s="11" t="s">
        <v>1879</v>
      </c>
      <c r="M1192" s="11" t="s">
        <v>1879</v>
      </c>
      <c r="N1192" s="11" t="s">
        <v>1062</v>
      </c>
      <c r="O1192" s="11" t="s">
        <v>2087</v>
      </c>
    </row>
    <row r="1193">
      <c r="A1193" s="11">
        <v>-43.3511848449707</v>
      </c>
      <c r="B1193" s="11">
        <v>-4.63475179672241</v>
      </c>
      <c r="C1193" s="11" t="s">
        <v>1879</v>
      </c>
      <c r="D1193" s="11" t="s">
        <v>1879</v>
      </c>
      <c r="E1193" s="11" t="s">
        <v>1062</v>
      </c>
      <c r="F1193" s="11" t="s">
        <v>2089</v>
      </c>
      <c r="J1193" s="11">
        <v>15.0053644180297</v>
      </c>
      <c r="K1193" s="11">
        <v>-54.0118179321289</v>
      </c>
      <c r="L1193" s="11" t="s">
        <v>1879</v>
      </c>
      <c r="M1193" s="11" t="s">
        <v>1879</v>
      </c>
      <c r="N1193" s="11" t="s">
        <v>1062</v>
      </c>
      <c r="O1193" s="11" t="s">
        <v>2089</v>
      </c>
    </row>
    <row r="1194">
      <c r="A1194" s="11">
        <v>-51.1987113952636</v>
      </c>
      <c r="B1194" s="11">
        <v>-22.2097091674804</v>
      </c>
      <c r="C1194" s="11" t="s">
        <v>1879</v>
      </c>
      <c r="D1194" s="11" t="s">
        <v>1879</v>
      </c>
      <c r="E1194" s="11" t="s">
        <v>1062</v>
      </c>
      <c r="F1194" s="11" t="s">
        <v>2091</v>
      </c>
      <c r="J1194" s="11">
        <v>10.3054256439208</v>
      </c>
      <c r="K1194" s="11">
        <v>-42.6270027160644</v>
      </c>
      <c r="L1194" s="11" t="s">
        <v>1879</v>
      </c>
      <c r="M1194" s="11" t="s">
        <v>1879</v>
      </c>
      <c r="N1194" s="11" t="s">
        <v>1062</v>
      </c>
      <c r="O1194" s="11" t="s">
        <v>2091</v>
      </c>
    </row>
    <row r="1195">
      <c r="A1195" s="11">
        <v>-42.7172355651855</v>
      </c>
      <c r="B1195" s="11">
        <v>-4.77928972244262</v>
      </c>
      <c r="C1195" s="11" t="s">
        <v>1879</v>
      </c>
      <c r="D1195" s="11" t="s">
        <v>1879</v>
      </c>
      <c r="E1195" s="11" t="s">
        <v>1062</v>
      </c>
      <c r="F1195" s="11" t="s">
        <v>2092</v>
      </c>
      <c r="J1195" s="11">
        <v>14.8723449707031</v>
      </c>
      <c r="K1195" s="11">
        <v>-53.7319183349609</v>
      </c>
      <c r="L1195" s="11" t="s">
        <v>1879</v>
      </c>
      <c r="M1195" s="11" t="s">
        <v>1879</v>
      </c>
      <c r="N1195" s="11" t="s">
        <v>1062</v>
      </c>
      <c r="O1195" s="11" t="s">
        <v>2092</v>
      </c>
    </row>
    <row r="1196">
      <c r="A1196" s="11">
        <v>-66.4543380737304</v>
      </c>
      <c r="B1196" s="11">
        <v>-15.0288352966308</v>
      </c>
      <c r="C1196" s="11" t="s">
        <v>1879</v>
      </c>
      <c r="D1196" s="11" t="s">
        <v>1879</v>
      </c>
      <c r="E1196" s="11" t="s">
        <v>1062</v>
      </c>
      <c r="F1196" s="11" t="s">
        <v>2094</v>
      </c>
      <c r="J1196" s="11">
        <v>16.7072505950927</v>
      </c>
      <c r="K1196" s="11">
        <v>-45.87353515625</v>
      </c>
      <c r="L1196" s="11" t="s">
        <v>1879</v>
      </c>
      <c r="M1196" s="11" t="s">
        <v>1879</v>
      </c>
      <c r="N1196" s="11" t="s">
        <v>1062</v>
      </c>
      <c r="O1196" s="11" t="s">
        <v>2094</v>
      </c>
    </row>
    <row r="1197">
      <c r="A1197" s="11">
        <v>-30.7945232391357</v>
      </c>
      <c r="B1197" s="11">
        <v>-16.1823177337646</v>
      </c>
      <c r="C1197" s="11" t="s">
        <v>1879</v>
      </c>
      <c r="D1197" s="11" t="s">
        <v>1879</v>
      </c>
      <c r="E1197" s="11" t="s">
        <v>1062</v>
      </c>
      <c r="F1197" s="11" t="s">
        <v>2097</v>
      </c>
      <c r="J1197" s="11">
        <v>31.5203227996826</v>
      </c>
      <c r="K1197" s="11">
        <v>-55.3522109985351</v>
      </c>
      <c r="L1197" s="11" t="s">
        <v>1879</v>
      </c>
      <c r="M1197" s="11" t="s">
        <v>1879</v>
      </c>
      <c r="N1197" s="11" t="s">
        <v>1062</v>
      </c>
      <c r="O1197" s="11" t="s">
        <v>2097</v>
      </c>
    </row>
    <row r="1198">
      <c r="A1198" s="11">
        <v>-43.7852706909179</v>
      </c>
      <c r="B1198" s="11">
        <v>-21.1200523376464</v>
      </c>
      <c r="C1198" s="11" t="s">
        <v>1879</v>
      </c>
      <c r="D1198" s="11" t="s">
        <v>1879</v>
      </c>
      <c r="E1198" s="11" t="s">
        <v>1062</v>
      </c>
      <c r="F1198" s="11" t="s">
        <v>2099</v>
      </c>
      <c r="J1198" s="11">
        <v>12.4431419372558</v>
      </c>
      <c r="K1198" s="11">
        <v>-45.8586616516113</v>
      </c>
      <c r="L1198" s="11" t="s">
        <v>1879</v>
      </c>
      <c r="M1198" s="11" t="s">
        <v>1879</v>
      </c>
      <c r="N1198" s="11" t="s">
        <v>1062</v>
      </c>
      <c r="O1198" s="11" t="s">
        <v>2099</v>
      </c>
    </row>
    <row r="1199">
      <c r="A1199" s="11">
        <v>15.1325988769531</v>
      </c>
      <c r="B1199" s="11">
        <v>-24.6931972503662</v>
      </c>
      <c r="C1199" s="11" t="s">
        <v>1879</v>
      </c>
      <c r="D1199" s="11" t="s">
        <v>1879</v>
      </c>
      <c r="E1199" s="11" t="s">
        <v>1062</v>
      </c>
      <c r="F1199" s="11" t="s">
        <v>2103</v>
      </c>
      <c r="J1199" s="11">
        <v>14.1762971878051</v>
      </c>
      <c r="K1199" s="11">
        <v>-61.6072692871093</v>
      </c>
      <c r="L1199" s="11" t="s">
        <v>1879</v>
      </c>
      <c r="M1199" s="11" t="s">
        <v>1879</v>
      </c>
      <c r="N1199" s="11" t="s">
        <v>1062</v>
      </c>
      <c r="O1199" s="11" t="s">
        <v>2103</v>
      </c>
    </row>
    <row r="1200">
      <c r="A1200" s="11">
        <v>53.7524642944335</v>
      </c>
      <c r="B1200" s="11">
        <v>-7.88553428649902</v>
      </c>
      <c r="C1200" s="11" t="s">
        <v>1879</v>
      </c>
      <c r="D1200" s="11" t="s">
        <v>1879</v>
      </c>
      <c r="E1200" s="11" t="s">
        <v>1062</v>
      </c>
      <c r="F1200" s="11" t="s">
        <v>2105</v>
      </c>
      <c r="J1200" s="11">
        <v>13.7547798156738</v>
      </c>
      <c r="K1200" s="11">
        <v>-62.2847900390625</v>
      </c>
      <c r="L1200" s="11" t="s">
        <v>1879</v>
      </c>
      <c r="M1200" s="11" t="s">
        <v>1879</v>
      </c>
      <c r="N1200" s="11" t="s">
        <v>1062</v>
      </c>
      <c r="O1200" s="11" t="s">
        <v>2105</v>
      </c>
    </row>
    <row r="1201">
      <c r="A1201" s="11">
        <v>-47.1813125610351</v>
      </c>
      <c r="B1201" s="11">
        <v>-10.0716314315795</v>
      </c>
      <c r="C1201" s="11" t="s">
        <v>1879</v>
      </c>
      <c r="D1201" s="11" t="s">
        <v>1879</v>
      </c>
      <c r="E1201" s="11" t="s">
        <v>1062</v>
      </c>
      <c r="F1201" s="11" t="s">
        <v>2107</v>
      </c>
      <c r="J1201" s="11">
        <v>24.1441345214843</v>
      </c>
      <c r="K1201" s="11">
        <v>-42.8811531066894</v>
      </c>
      <c r="L1201" s="11" t="s">
        <v>1879</v>
      </c>
      <c r="M1201" s="11" t="s">
        <v>1879</v>
      </c>
      <c r="N1201" s="11" t="s">
        <v>1062</v>
      </c>
      <c r="O1201" s="11" t="s">
        <v>2107</v>
      </c>
    </row>
    <row r="1202">
      <c r="A1202" s="11">
        <v>-38.5233497619628</v>
      </c>
      <c r="B1202" s="11">
        <v>-17.2061653137207</v>
      </c>
      <c r="C1202" s="11" t="s">
        <v>1879</v>
      </c>
      <c r="D1202" s="11" t="s">
        <v>1879</v>
      </c>
      <c r="E1202" s="11" t="s">
        <v>1062</v>
      </c>
      <c r="F1202" s="11" t="s">
        <v>2110</v>
      </c>
      <c r="J1202" s="11">
        <v>32.1767463684082</v>
      </c>
      <c r="K1202" s="11">
        <v>-47.3227920532226</v>
      </c>
      <c r="L1202" s="11" t="s">
        <v>1879</v>
      </c>
      <c r="M1202" s="11" t="s">
        <v>1879</v>
      </c>
      <c r="N1202" s="11" t="s">
        <v>1062</v>
      </c>
      <c r="O1202" s="11" t="s">
        <v>2110</v>
      </c>
    </row>
    <row r="1203">
      <c r="A1203" s="11">
        <v>-50.2562103271484</v>
      </c>
      <c r="B1203" s="11">
        <v>-6.39157056808471</v>
      </c>
      <c r="C1203" s="11" t="s">
        <v>1879</v>
      </c>
      <c r="D1203" s="11" t="s">
        <v>1879</v>
      </c>
      <c r="E1203" s="11" t="s">
        <v>1062</v>
      </c>
      <c r="F1203" s="11" t="s">
        <v>2112</v>
      </c>
      <c r="J1203" s="11">
        <v>46.7840843200683</v>
      </c>
      <c r="K1203" s="11">
        <v>0.0108744790777564</v>
      </c>
      <c r="L1203" s="11" t="s">
        <v>1879</v>
      </c>
      <c r="M1203" s="11" t="s">
        <v>1879</v>
      </c>
      <c r="N1203" s="11" t="s">
        <v>1062</v>
      </c>
      <c r="O1203" s="11" t="s">
        <v>2112</v>
      </c>
    </row>
    <row r="1204">
      <c r="A1204" s="11">
        <v>-63.3933982849121</v>
      </c>
      <c r="B1204" s="11">
        <v>-7.5676040649414</v>
      </c>
      <c r="C1204" s="11" t="s">
        <v>1879</v>
      </c>
      <c r="D1204" s="11" t="s">
        <v>1879</v>
      </c>
      <c r="E1204" s="11" t="s">
        <v>1062</v>
      </c>
      <c r="F1204" s="11" t="s">
        <v>2114</v>
      </c>
      <c r="J1204" s="11">
        <v>26.633897781372</v>
      </c>
      <c r="K1204" s="11">
        <v>-49.1609725952148</v>
      </c>
      <c r="L1204" s="11" t="s">
        <v>1879</v>
      </c>
      <c r="M1204" s="11" t="s">
        <v>1879</v>
      </c>
      <c r="N1204" s="11" t="s">
        <v>1062</v>
      </c>
      <c r="O1204" s="11" t="s">
        <v>2114</v>
      </c>
    </row>
    <row r="1205">
      <c r="A1205" s="11">
        <v>-65.6547470092773</v>
      </c>
      <c r="B1205" s="11">
        <v>-15.7892770767211</v>
      </c>
      <c r="C1205" s="11" t="s">
        <v>1879</v>
      </c>
      <c r="D1205" s="11" t="s">
        <v>1879</v>
      </c>
      <c r="E1205" s="11" t="s">
        <v>1062</v>
      </c>
      <c r="F1205" s="11" t="s">
        <v>2116</v>
      </c>
      <c r="J1205" s="11">
        <v>17.9833374023437</v>
      </c>
      <c r="K1205" s="11">
        <v>-45.5293922424316</v>
      </c>
      <c r="L1205" s="11" t="s">
        <v>1879</v>
      </c>
      <c r="M1205" s="11" t="s">
        <v>1879</v>
      </c>
      <c r="N1205" s="11" t="s">
        <v>1062</v>
      </c>
      <c r="O1205" s="11" t="s">
        <v>2116</v>
      </c>
    </row>
    <row r="1206">
      <c r="A1206" s="11">
        <v>-71.7795028686523</v>
      </c>
      <c r="B1206" s="11">
        <v>-17.3795223236084</v>
      </c>
      <c r="C1206" s="11" t="s">
        <v>1879</v>
      </c>
      <c r="D1206" s="11" t="s">
        <v>1879</v>
      </c>
      <c r="E1206" s="11" t="s">
        <v>1062</v>
      </c>
      <c r="F1206" s="11" t="s">
        <v>2117</v>
      </c>
      <c r="J1206" s="11">
        <v>19.1710567474365</v>
      </c>
      <c r="K1206" s="11">
        <v>-50.9676094055175</v>
      </c>
      <c r="L1206" s="11" t="s">
        <v>1879</v>
      </c>
      <c r="M1206" s="11" t="s">
        <v>1879</v>
      </c>
      <c r="N1206" s="11" t="s">
        <v>1062</v>
      </c>
      <c r="O1206" s="11" t="s">
        <v>2117</v>
      </c>
    </row>
    <row r="1207">
      <c r="A1207" s="11">
        <v>-43.1998825073242</v>
      </c>
      <c r="B1207" s="11">
        <v>-6.32168960571289</v>
      </c>
      <c r="C1207" s="11" t="s">
        <v>1879</v>
      </c>
      <c r="D1207" s="11" t="s">
        <v>1879</v>
      </c>
      <c r="E1207" s="11" t="s">
        <v>1062</v>
      </c>
      <c r="F1207" s="11" t="s">
        <v>2119</v>
      </c>
      <c r="J1207" s="11">
        <v>16.6468448638916</v>
      </c>
      <c r="K1207" s="11">
        <v>-53.2858772277832</v>
      </c>
      <c r="L1207" s="11" t="s">
        <v>1879</v>
      </c>
      <c r="M1207" s="11" t="s">
        <v>1879</v>
      </c>
      <c r="N1207" s="11" t="s">
        <v>1062</v>
      </c>
      <c r="O1207" s="11" t="s">
        <v>2119</v>
      </c>
    </row>
    <row r="1208">
      <c r="A1208" s="11">
        <v>-1.36845302581787</v>
      </c>
      <c r="B1208" s="11">
        <v>-4.84511232376098</v>
      </c>
      <c r="C1208" s="11" t="s">
        <v>1879</v>
      </c>
      <c r="D1208" s="11" t="s">
        <v>1879</v>
      </c>
      <c r="E1208" s="11" t="s">
        <v>1062</v>
      </c>
      <c r="F1208" s="11" t="s">
        <v>2122</v>
      </c>
      <c r="J1208" s="11">
        <v>7.75396728515625</v>
      </c>
      <c r="K1208" s="11">
        <v>-22.9678535461425</v>
      </c>
      <c r="L1208" s="11" t="s">
        <v>1879</v>
      </c>
      <c r="M1208" s="11" t="s">
        <v>1879</v>
      </c>
      <c r="N1208" s="11" t="s">
        <v>1062</v>
      </c>
      <c r="O1208" s="11" t="s">
        <v>2122</v>
      </c>
    </row>
    <row r="1209">
      <c r="A1209" s="11">
        <v>14.5531463623046</v>
      </c>
      <c r="B1209" s="11">
        <v>-25.3670902252197</v>
      </c>
      <c r="C1209" s="11" t="s">
        <v>1879</v>
      </c>
      <c r="D1209" s="11" t="s">
        <v>1879</v>
      </c>
      <c r="E1209" s="11" t="s">
        <v>1062</v>
      </c>
      <c r="F1209" s="11" t="s">
        <v>2124</v>
      </c>
      <c r="J1209" s="11">
        <v>13.299593925476</v>
      </c>
      <c r="K1209" s="11">
        <v>-60.9697113037109</v>
      </c>
      <c r="L1209" s="11" t="s">
        <v>1879</v>
      </c>
      <c r="M1209" s="11" t="s">
        <v>1879</v>
      </c>
      <c r="N1209" s="11" t="s">
        <v>1062</v>
      </c>
      <c r="O1209" s="11" t="s">
        <v>2124</v>
      </c>
    </row>
    <row r="1210">
      <c r="A1210" s="11">
        <v>-18.1497688293457</v>
      </c>
      <c r="B1210" s="11">
        <v>-14.3693342208862</v>
      </c>
      <c r="C1210" s="11" t="s">
        <v>1879</v>
      </c>
      <c r="D1210" s="11" t="s">
        <v>1879</v>
      </c>
      <c r="E1210" s="11" t="s">
        <v>1062</v>
      </c>
      <c r="F1210" s="11" t="s">
        <v>2125</v>
      </c>
      <c r="J1210" s="11">
        <v>59.2471351623535</v>
      </c>
      <c r="K1210" s="11">
        <v>-24.7650985717773</v>
      </c>
      <c r="L1210" s="11" t="s">
        <v>1879</v>
      </c>
      <c r="M1210" s="11" t="s">
        <v>1879</v>
      </c>
      <c r="N1210" s="11" t="s">
        <v>1062</v>
      </c>
      <c r="O1210" s="11" t="s">
        <v>2125</v>
      </c>
    </row>
    <row r="1211">
      <c r="A1211" s="11">
        <v>-30.3877048492431</v>
      </c>
      <c r="B1211" s="11">
        <v>-15.3751277923583</v>
      </c>
      <c r="C1211" s="11" t="s">
        <v>1879</v>
      </c>
      <c r="D1211" s="11" t="s">
        <v>1879</v>
      </c>
      <c r="E1211" s="11" t="s">
        <v>1062</v>
      </c>
      <c r="F1211" s="11" t="s">
        <v>2127</v>
      </c>
      <c r="J1211" s="11">
        <v>31.1017475128173</v>
      </c>
      <c r="K1211" s="11">
        <v>-54.9596672058105</v>
      </c>
      <c r="L1211" s="11" t="s">
        <v>1879</v>
      </c>
      <c r="M1211" s="11" t="s">
        <v>1879</v>
      </c>
      <c r="N1211" s="11" t="s">
        <v>1062</v>
      </c>
      <c r="O1211" s="11" t="s">
        <v>2127</v>
      </c>
    </row>
    <row r="1212">
      <c r="A1212" s="11">
        <v>-46.7512741088867</v>
      </c>
      <c r="B1212" s="11">
        <v>-1.29163992404937</v>
      </c>
      <c r="C1212" s="11" t="s">
        <v>1879</v>
      </c>
      <c r="D1212" s="11" t="s">
        <v>1879</v>
      </c>
      <c r="E1212" s="11" t="s">
        <v>1062</v>
      </c>
      <c r="F1212" s="11" t="s">
        <v>2129</v>
      </c>
      <c r="J1212" s="11">
        <v>44.5909233093261</v>
      </c>
      <c r="K1212" s="11">
        <v>-14.1085081100463</v>
      </c>
      <c r="L1212" s="11" t="s">
        <v>1879</v>
      </c>
      <c r="M1212" s="11" t="s">
        <v>1879</v>
      </c>
      <c r="N1212" s="11" t="s">
        <v>1062</v>
      </c>
      <c r="O1212" s="11" t="s">
        <v>2129</v>
      </c>
    </row>
    <row r="1213">
      <c r="A1213" s="11">
        <v>-62.7470741271972</v>
      </c>
      <c r="B1213" s="11">
        <v>-22.2676525115966</v>
      </c>
      <c r="C1213" s="11" t="s">
        <v>1879</v>
      </c>
      <c r="D1213" s="11" t="s">
        <v>1879</v>
      </c>
      <c r="E1213" s="11" t="s">
        <v>1062</v>
      </c>
      <c r="F1213" s="11" t="s">
        <v>2131</v>
      </c>
      <c r="J1213" s="11">
        <v>23.7769374847412</v>
      </c>
      <c r="K1213" s="11">
        <v>-50.0729598999023</v>
      </c>
      <c r="L1213" s="11" t="s">
        <v>1879</v>
      </c>
      <c r="M1213" s="11" t="s">
        <v>1879</v>
      </c>
      <c r="N1213" s="11" t="s">
        <v>1062</v>
      </c>
      <c r="O1213" s="11" t="s">
        <v>2131</v>
      </c>
    </row>
    <row r="1214">
      <c r="A1214" s="11">
        <v>-41.4448623657226</v>
      </c>
      <c r="B1214" s="11">
        <v>-6.842529296875</v>
      </c>
      <c r="C1214" s="11" t="s">
        <v>1879</v>
      </c>
      <c r="D1214" s="11" t="s">
        <v>1879</v>
      </c>
      <c r="E1214" s="11" t="s">
        <v>1062</v>
      </c>
      <c r="F1214" s="11" t="s">
        <v>2135</v>
      </c>
      <c r="J1214" s="11">
        <v>14.9273672103881</v>
      </c>
      <c r="K1214" s="11">
        <v>-50.39990234375</v>
      </c>
      <c r="L1214" s="11" t="s">
        <v>1879</v>
      </c>
      <c r="M1214" s="11" t="s">
        <v>1879</v>
      </c>
      <c r="N1214" s="11" t="s">
        <v>1062</v>
      </c>
      <c r="O1214" s="11" t="s">
        <v>2135</v>
      </c>
    </row>
    <row r="1215">
      <c r="A1215" s="11">
        <v>-72.5508804321289</v>
      </c>
      <c r="B1215" s="11">
        <v>-16.6313171386718</v>
      </c>
      <c r="C1215" s="11" t="s">
        <v>1879</v>
      </c>
      <c r="D1215" s="11" t="s">
        <v>1879</v>
      </c>
      <c r="E1215" s="11" t="s">
        <v>1062</v>
      </c>
      <c r="F1215" s="11" t="s">
        <v>2138</v>
      </c>
      <c r="J1215" s="11">
        <v>19.6264553070068</v>
      </c>
      <c r="K1215" s="11">
        <v>-51.5263557434082</v>
      </c>
      <c r="L1215" s="11" t="s">
        <v>1879</v>
      </c>
      <c r="M1215" s="11" t="s">
        <v>1879</v>
      </c>
      <c r="N1215" s="11" t="s">
        <v>1062</v>
      </c>
      <c r="O1215" s="11" t="s">
        <v>2138</v>
      </c>
    </row>
    <row r="1216">
      <c r="A1216" s="11">
        <v>-72.5508804321289</v>
      </c>
      <c r="B1216" s="11">
        <v>-16.6313171386718</v>
      </c>
      <c r="C1216" s="11" t="s">
        <v>1879</v>
      </c>
      <c r="D1216" s="11" t="s">
        <v>1879</v>
      </c>
      <c r="E1216" s="11" t="s">
        <v>1062</v>
      </c>
      <c r="F1216" s="11" t="s">
        <v>2140</v>
      </c>
      <c r="J1216" s="11">
        <v>19.6264553070068</v>
      </c>
      <c r="K1216" s="11">
        <v>-51.5263557434082</v>
      </c>
      <c r="L1216" s="11" t="s">
        <v>1879</v>
      </c>
      <c r="M1216" s="11" t="s">
        <v>1879</v>
      </c>
      <c r="N1216" s="11" t="s">
        <v>1062</v>
      </c>
      <c r="O1216" s="11" t="s">
        <v>2140</v>
      </c>
    </row>
    <row r="1217">
      <c r="A1217" s="11">
        <v>-29.7049541473388</v>
      </c>
      <c r="B1217" s="11">
        <v>46.5754318237304</v>
      </c>
      <c r="C1217" s="11" t="s">
        <v>1879</v>
      </c>
      <c r="D1217" s="11" t="s">
        <v>1879</v>
      </c>
      <c r="E1217" s="11" t="s">
        <v>1062</v>
      </c>
      <c r="F1217" s="11" t="s">
        <v>2141</v>
      </c>
      <c r="J1217" s="11">
        <v>21.3538646697998</v>
      </c>
      <c r="K1217" s="11">
        <v>-60.7744255065918</v>
      </c>
      <c r="L1217" s="11" t="s">
        <v>1879</v>
      </c>
      <c r="M1217" s="11" t="s">
        <v>1879</v>
      </c>
      <c r="N1217" s="11" t="s">
        <v>1062</v>
      </c>
      <c r="O1217" s="11" t="s">
        <v>2141</v>
      </c>
    </row>
    <row r="1218">
      <c r="A1218" s="11">
        <v>-3.75515270233154</v>
      </c>
      <c r="B1218" s="11">
        <v>-55.5635757446289</v>
      </c>
      <c r="C1218" s="11" t="s">
        <v>1879</v>
      </c>
      <c r="D1218" s="11" t="s">
        <v>1879</v>
      </c>
      <c r="E1218" s="11" t="s">
        <v>1062</v>
      </c>
      <c r="F1218" s="11" t="s">
        <v>2145</v>
      </c>
      <c r="J1218" s="11">
        <v>13.9409914016723</v>
      </c>
      <c r="K1218" s="11">
        <v>-62.3856697082519</v>
      </c>
      <c r="L1218" s="11" t="s">
        <v>1879</v>
      </c>
      <c r="M1218" s="11" t="s">
        <v>1879</v>
      </c>
      <c r="N1218" s="11" t="s">
        <v>1062</v>
      </c>
      <c r="O1218" s="11" t="s">
        <v>2145</v>
      </c>
    </row>
    <row r="1219">
      <c r="A1219" s="11">
        <v>-28.6642761230468</v>
      </c>
      <c r="B1219" s="11">
        <v>46.7599601745605</v>
      </c>
      <c r="C1219" s="11" t="s">
        <v>1879</v>
      </c>
      <c r="D1219" s="11" t="s">
        <v>1879</v>
      </c>
      <c r="E1219" s="11" t="s">
        <v>1062</v>
      </c>
      <c r="F1219" s="11" t="s">
        <v>2147</v>
      </c>
      <c r="J1219" s="11">
        <v>21.9582347869873</v>
      </c>
      <c r="K1219" s="11">
        <v>-60.2310104370117</v>
      </c>
      <c r="L1219" s="11" t="s">
        <v>1879</v>
      </c>
      <c r="M1219" s="11" t="s">
        <v>1879</v>
      </c>
      <c r="N1219" s="11" t="s">
        <v>1062</v>
      </c>
      <c r="O1219" s="11" t="s">
        <v>2147</v>
      </c>
    </row>
    <row r="1220">
      <c r="A1220" s="11">
        <v>-62.7470741271972</v>
      </c>
      <c r="B1220" s="11">
        <v>-22.2676525115966</v>
      </c>
      <c r="C1220" s="11" t="s">
        <v>1879</v>
      </c>
      <c r="D1220" s="11" t="s">
        <v>1879</v>
      </c>
      <c r="E1220" s="11" t="s">
        <v>1062</v>
      </c>
      <c r="F1220" s="11" t="s">
        <v>2149</v>
      </c>
      <c r="J1220" s="11">
        <v>23.7769374847412</v>
      </c>
      <c r="K1220" s="11">
        <v>-50.0729598999023</v>
      </c>
      <c r="L1220" s="11" t="s">
        <v>1879</v>
      </c>
      <c r="M1220" s="11" t="s">
        <v>1879</v>
      </c>
      <c r="N1220" s="11" t="s">
        <v>1062</v>
      </c>
      <c r="O1220" s="11" t="s">
        <v>2149</v>
      </c>
    </row>
    <row r="1221">
      <c r="A1221" s="11">
        <v>-47.3343849182128</v>
      </c>
      <c r="B1221" s="11">
        <v>-5.72553825378418</v>
      </c>
      <c r="C1221" s="11" t="s">
        <v>1879</v>
      </c>
      <c r="D1221" s="11" t="s">
        <v>1879</v>
      </c>
      <c r="E1221" s="11" t="s">
        <v>1062</v>
      </c>
      <c r="F1221" s="11" t="s">
        <v>2153</v>
      </c>
      <c r="J1221" s="11">
        <v>46.1305923461914</v>
      </c>
      <c r="K1221" s="11">
        <v>-3.4250111579895</v>
      </c>
      <c r="L1221" s="11" t="s">
        <v>1879</v>
      </c>
      <c r="M1221" s="11" t="s">
        <v>1879</v>
      </c>
      <c r="N1221" s="11" t="s">
        <v>1062</v>
      </c>
      <c r="O1221" s="11" t="s">
        <v>2153</v>
      </c>
    </row>
    <row r="1222">
      <c r="A1222" s="11">
        <v>54.4018020629882</v>
      </c>
      <c r="B1222" s="11">
        <v>-7.40552043914794</v>
      </c>
      <c r="C1222" s="11" t="s">
        <v>1879</v>
      </c>
      <c r="D1222" s="11" t="s">
        <v>1879</v>
      </c>
      <c r="E1222" s="11" t="s">
        <v>1062</v>
      </c>
      <c r="F1222" s="11" t="s">
        <v>2155</v>
      </c>
      <c r="J1222" s="11">
        <v>12.9479990005493</v>
      </c>
      <c r="K1222" s="11">
        <v>-61.7804908752441</v>
      </c>
      <c r="L1222" s="11" t="s">
        <v>1879</v>
      </c>
      <c r="M1222" s="11" t="s">
        <v>1879</v>
      </c>
      <c r="N1222" s="11" t="s">
        <v>1062</v>
      </c>
      <c r="O1222" s="11" t="s">
        <v>2155</v>
      </c>
    </row>
    <row r="1223">
      <c r="A1223" s="11">
        <v>-62.4838600158691</v>
      </c>
      <c r="B1223" s="11">
        <v>-8.23508262634277</v>
      </c>
      <c r="C1223" s="11" t="s">
        <v>1879</v>
      </c>
      <c r="D1223" s="11" t="s">
        <v>1879</v>
      </c>
      <c r="E1223" s="11" t="s">
        <v>1062</v>
      </c>
      <c r="F1223" s="11" t="s">
        <v>2158</v>
      </c>
      <c r="J1223" s="11">
        <v>27.5538005828857</v>
      </c>
      <c r="K1223" s="11">
        <v>-49.1168212890625</v>
      </c>
      <c r="L1223" s="11" t="s">
        <v>1879</v>
      </c>
      <c r="M1223" s="11" t="s">
        <v>1879</v>
      </c>
      <c r="N1223" s="11" t="s">
        <v>1062</v>
      </c>
      <c r="O1223" s="11" t="s">
        <v>2158</v>
      </c>
    </row>
    <row r="1224">
      <c r="A1224" s="11">
        <v>-48.0900764465332</v>
      </c>
      <c r="B1224" s="11">
        <v>-5.0245451927185</v>
      </c>
      <c r="C1224" s="11" t="s">
        <v>1879</v>
      </c>
      <c r="D1224" s="11" t="s">
        <v>1879</v>
      </c>
      <c r="E1224" s="11" t="s">
        <v>1062</v>
      </c>
      <c r="F1224" s="11" t="s">
        <v>2162</v>
      </c>
      <c r="J1224" s="11">
        <v>45.6757926940918</v>
      </c>
      <c r="K1224" s="11">
        <v>-3.87001252174377</v>
      </c>
      <c r="L1224" s="11" t="s">
        <v>1879</v>
      </c>
      <c r="M1224" s="11" t="s">
        <v>1879</v>
      </c>
      <c r="N1224" s="11" t="s">
        <v>1062</v>
      </c>
      <c r="O1224" s="11" t="s">
        <v>2162</v>
      </c>
    </row>
    <row r="1225">
      <c r="A1225" s="11">
        <v>-58.141990661621</v>
      </c>
      <c r="B1225" s="11">
        <v>-15.1090822219848</v>
      </c>
      <c r="C1225" s="11" t="s">
        <v>1879</v>
      </c>
      <c r="D1225" s="11" t="s">
        <v>1879</v>
      </c>
      <c r="E1225" s="11" t="s">
        <v>1062</v>
      </c>
      <c r="F1225" s="11" t="s">
        <v>2166</v>
      </c>
      <c r="J1225" s="11">
        <v>25.2383289337158</v>
      </c>
      <c r="K1225" s="11">
        <v>-53.1400680541992</v>
      </c>
      <c r="L1225" s="11" t="s">
        <v>1879</v>
      </c>
      <c r="M1225" s="11" t="s">
        <v>1879</v>
      </c>
      <c r="N1225" s="11" t="s">
        <v>1062</v>
      </c>
      <c r="O1225" s="11" t="s">
        <v>2166</v>
      </c>
    </row>
    <row r="1226">
      <c r="A1226" s="11">
        <v>-59.8154907226562</v>
      </c>
      <c r="B1226" s="11">
        <v>-0.443033963441848</v>
      </c>
      <c r="C1226" s="11" t="s">
        <v>1879</v>
      </c>
      <c r="D1226" s="11" t="s">
        <v>1879</v>
      </c>
      <c r="E1226" s="11" t="s">
        <v>1062</v>
      </c>
      <c r="F1226" s="11" t="s">
        <v>2169</v>
      </c>
      <c r="J1226" s="11">
        <v>21.0269718170166</v>
      </c>
      <c r="K1226" s="11">
        <v>-54.6535339355468</v>
      </c>
      <c r="L1226" s="11" t="s">
        <v>1879</v>
      </c>
      <c r="M1226" s="11" t="s">
        <v>1879</v>
      </c>
      <c r="N1226" s="11" t="s">
        <v>1062</v>
      </c>
      <c r="O1226" s="11" t="s">
        <v>2169</v>
      </c>
    </row>
    <row r="1227">
      <c r="A1227" s="11">
        <v>-51.1987113952636</v>
      </c>
      <c r="B1227" s="11">
        <v>-22.2097091674804</v>
      </c>
      <c r="C1227" s="11" t="s">
        <v>1879</v>
      </c>
      <c r="D1227" s="11" t="s">
        <v>1879</v>
      </c>
      <c r="E1227" s="11" t="s">
        <v>1062</v>
      </c>
      <c r="F1227" s="11" t="s">
        <v>2173</v>
      </c>
      <c r="J1227" s="11">
        <v>10.3054256439208</v>
      </c>
      <c r="K1227" s="11">
        <v>-42.6270027160644</v>
      </c>
      <c r="L1227" s="11" t="s">
        <v>1879</v>
      </c>
      <c r="M1227" s="11" t="s">
        <v>1879</v>
      </c>
      <c r="N1227" s="11" t="s">
        <v>1062</v>
      </c>
      <c r="O1227" s="11" t="s">
        <v>2173</v>
      </c>
    </row>
    <row r="1228">
      <c r="A1228" s="11">
        <v>-72.5508804321289</v>
      </c>
      <c r="B1228" s="11">
        <v>-16.6313171386718</v>
      </c>
      <c r="C1228" s="11" t="s">
        <v>1879</v>
      </c>
      <c r="D1228" s="11" t="s">
        <v>1879</v>
      </c>
      <c r="E1228" s="11" t="s">
        <v>1062</v>
      </c>
      <c r="F1228" s="11" t="s">
        <v>2175</v>
      </c>
      <c r="J1228" s="11">
        <v>19.6264553070068</v>
      </c>
      <c r="K1228" s="11">
        <v>-51.5263557434082</v>
      </c>
      <c r="L1228" s="11" t="s">
        <v>1879</v>
      </c>
      <c r="M1228" s="11" t="s">
        <v>1879</v>
      </c>
      <c r="N1228" s="11" t="s">
        <v>1062</v>
      </c>
      <c r="O1228" s="11" t="s">
        <v>2175</v>
      </c>
    </row>
    <row r="1229">
      <c r="A1229" s="11">
        <v>-58.3160018920898</v>
      </c>
      <c r="B1229" s="11">
        <v>-19.8250942230224</v>
      </c>
      <c r="C1229" s="11" t="s">
        <v>1879</v>
      </c>
      <c r="D1229" s="11" t="s">
        <v>1879</v>
      </c>
      <c r="E1229" s="11" t="s">
        <v>1062</v>
      </c>
      <c r="F1229" s="11" t="s">
        <v>2177</v>
      </c>
      <c r="J1229" s="11">
        <v>20.4339809417724</v>
      </c>
      <c r="K1229" s="11">
        <v>-42.4641723632812</v>
      </c>
      <c r="L1229" s="11" t="s">
        <v>1879</v>
      </c>
      <c r="M1229" s="11" t="s">
        <v>1879</v>
      </c>
      <c r="N1229" s="11" t="s">
        <v>1062</v>
      </c>
      <c r="O1229" s="11" t="s">
        <v>2177</v>
      </c>
    </row>
    <row r="1230">
      <c r="A1230" s="11">
        <v>-39.0314865112304</v>
      </c>
      <c r="B1230" s="11">
        <v>-4.64682817459106</v>
      </c>
      <c r="C1230" s="11" t="s">
        <v>1879</v>
      </c>
      <c r="D1230" s="11" t="s">
        <v>1879</v>
      </c>
      <c r="E1230" s="11" t="s">
        <v>1062</v>
      </c>
      <c r="F1230" s="11" t="s">
        <v>2179</v>
      </c>
      <c r="J1230" s="11">
        <v>14.764570236206</v>
      </c>
      <c r="K1230" s="11">
        <v>-55.7242317199707</v>
      </c>
      <c r="L1230" s="11" t="s">
        <v>1879</v>
      </c>
      <c r="M1230" s="11" t="s">
        <v>1879</v>
      </c>
      <c r="N1230" s="11" t="s">
        <v>1062</v>
      </c>
      <c r="O1230" s="11" t="s">
        <v>2179</v>
      </c>
    </row>
    <row r="1231">
      <c r="A1231" s="11">
        <v>-41.0228805541992</v>
      </c>
      <c r="B1231" s="11">
        <v>-8.68356895446777</v>
      </c>
      <c r="C1231" s="11" t="s">
        <v>1879</v>
      </c>
      <c r="D1231" s="11" t="s">
        <v>1879</v>
      </c>
      <c r="E1231" s="11" t="s">
        <v>1062</v>
      </c>
      <c r="F1231" s="11" t="s">
        <v>2181</v>
      </c>
      <c r="J1231" s="11">
        <v>11.6498680114746</v>
      </c>
      <c r="K1231" s="11">
        <v>-51.0474433898925</v>
      </c>
      <c r="L1231" s="11" t="s">
        <v>1879</v>
      </c>
      <c r="M1231" s="11" t="s">
        <v>1879</v>
      </c>
      <c r="N1231" s="11" t="s">
        <v>1062</v>
      </c>
      <c r="O1231" s="11" t="s">
        <v>2181</v>
      </c>
    </row>
    <row r="1232">
      <c r="A1232" s="11">
        <v>-50.6567764282226</v>
      </c>
      <c r="B1232" s="11">
        <v>-6.88666725158691</v>
      </c>
      <c r="C1232" s="11" t="s">
        <v>1879</v>
      </c>
      <c r="D1232" s="11" t="s">
        <v>1879</v>
      </c>
      <c r="E1232" s="11" t="s">
        <v>1062</v>
      </c>
      <c r="F1232" s="11" t="s">
        <v>2182</v>
      </c>
      <c r="J1232" s="11">
        <v>47.1411666870117</v>
      </c>
      <c r="K1232" s="11">
        <v>0.648674845695495</v>
      </c>
      <c r="L1232" s="11" t="s">
        <v>1879</v>
      </c>
      <c r="M1232" s="11" t="s">
        <v>1879</v>
      </c>
      <c r="N1232" s="11" t="s">
        <v>1062</v>
      </c>
      <c r="O1232" s="11" t="s">
        <v>2182</v>
      </c>
    </row>
    <row r="1233">
      <c r="A1233" s="11">
        <v>-18.4967346191406</v>
      </c>
      <c r="B1233" s="11">
        <v>27.187536239624</v>
      </c>
      <c r="C1233" s="11" t="s">
        <v>1879</v>
      </c>
      <c r="D1233" s="11" t="s">
        <v>1879</v>
      </c>
      <c r="E1233" s="11" t="s">
        <v>1062</v>
      </c>
      <c r="F1233" s="11" t="s">
        <v>2184</v>
      </c>
      <c r="J1233" s="11">
        <v>10.2954111099243</v>
      </c>
      <c r="K1233" s="11">
        <v>-36.7171249389648</v>
      </c>
      <c r="L1233" s="11" t="s">
        <v>1879</v>
      </c>
      <c r="M1233" s="11" t="s">
        <v>1879</v>
      </c>
      <c r="N1233" s="11" t="s">
        <v>1062</v>
      </c>
      <c r="O1233" s="11" t="s">
        <v>2184</v>
      </c>
    </row>
    <row r="1234">
      <c r="A1234" s="11">
        <v>-18.4967346191406</v>
      </c>
      <c r="B1234" s="11">
        <v>27.187536239624</v>
      </c>
      <c r="C1234" s="11" t="s">
        <v>1879</v>
      </c>
      <c r="D1234" s="11" t="s">
        <v>1879</v>
      </c>
      <c r="E1234" s="11" t="s">
        <v>1062</v>
      </c>
      <c r="F1234" s="11" t="s">
        <v>2186</v>
      </c>
      <c r="J1234" s="11">
        <v>10.6541481018066</v>
      </c>
      <c r="K1234" s="11">
        <v>-36.7019805908203</v>
      </c>
      <c r="L1234" s="11" t="s">
        <v>1879</v>
      </c>
      <c r="M1234" s="11" t="s">
        <v>1879</v>
      </c>
      <c r="N1234" s="11" t="s">
        <v>1062</v>
      </c>
      <c r="O1234" s="11" t="s">
        <v>2186</v>
      </c>
    </row>
    <row r="1235">
      <c r="A1235" s="11">
        <v>14.0211467742919</v>
      </c>
      <c r="B1235" s="11">
        <v>-26.610460281372</v>
      </c>
      <c r="C1235" s="11" t="s">
        <v>1879</v>
      </c>
      <c r="D1235" s="11" t="s">
        <v>1879</v>
      </c>
      <c r="E1235" s="11" t="s">
        <v>1062</v>
      </c>
      <c r="F1235" s="11" t="s">
        <v>2187</v>
      </c>
      <c r="J1235" s="11">
        <v>15.038703918457</v>
      </c>
      <c r="K1235" s="11">
        <v>-60.9851760864257</v>
      </c>
      <c r="L1235" s="11" t="s">
        <v>1879</v>
      </c>
      <c r="M1235" s="11" t="s">
        <v>1879</v>
      </c>
      <c r="N1235" s="11" t="s">
        <v>1062</v>
      </c>
      <c r="O1235" s="11" t="s">
        <v>2187</v>
      </c>
    </row>
    <row r="1236">
      <c r="A1236" s="11">
        <v>-28.6642761230468</v>
      </c>
      <c r="B1236" s="11">
        <v>46.7599601745605</v>
      </c>
      <c r="C1236" s="11" t="s">
        <v>1879</v>
      </c>
      <c r="D1236" s="11" t="s">
        <v>1879</v>
      </c>
      <c r="E1236" s="11" t="s">
        <v>1062</v>
      </c>
      <c r="F1236" s="11" t="s">
        <v>2189</v>
      </c>
      <c r="J1236" s="11">
        <v>22.2838706970214</v>
      </c>
      <c r="K1236" s="11">
        <v>-60.5459251403808</v>
      </c>
      <c r="L1236" s="11" t="s">
        <v>1879</v>
      </c>
      <c r="M1236" s="11" t="s">
        <v>1879</v>
      </c>
      <c r="N1236" s="11" t="s">
        <v>1062</v>
      </c>
      <c r="O1236" s="11" t="s">
        <v>2189</v>
      </c>
    </row>
    <row r="1237">
      <c r="A1237" s="11">
        <v>-43.126651763916</v>
      </c>
      <c r="B1237" s="11">
        <v>-7.55732154846191</v>
      </c>
      <c r="C1237" s="11" t="s">
        <v>1879</v>
      </c>
      <c r="D1237" s="11" t="s">
        <v>1879</v>
      </c>
      <c r="E1237" s="11" t="s">
        <v>1062</v>
      </c>
      <c r="F1237" s="11" t="s">
        <v>2193</v>
      </c>
      <c r="J1237" s="11">
        <v>15.7387428283691</v>
      </c>
      <c r="K1237" s="11">
        <v>-52.5323448181152</v>
      </c>
      <c r="L1237" s="11" t="s">
        <v>1879</v>
      </c>
      <c r="M1237" s="11" t="s">
        <v>1879</v>
      </c>
      <c r="N1237" s="11" t="s">
        <v>1062</v>
      </c>
      <c r="O1237" s="11" t="s">
        <v>2193</v>
      </c>
    </row>
    <row r="1238">
      <c r="A1238" s="11">
        <v>-59.195140838623</v>
      </c>
      <c r="B1238" s="11">
        <v>0.214364871382713</v>
      </c>
      <c r="C1238" s="11" t="s">
        <v>1879</v>
      </c>
      <c r="D1238" s="11" t="s">
        <v>1879</v>
      </c>
      <c r="E1238" s="11" t="s">
        <v>1062</v>
      </c>
      <c r="F1238" s="11" t="s">
        <v>2194</v>
      </c>
      <c r="J1238" s="11">
        <v>21.1068058013916</v>
      </c>
      <c r="K1238" s="11">
        <v>-55.5080757141113</v>
      </c>
      <c r="L1238" s="11" t="s">
        <v>1879</v>
      </c>
      <c r="M1238" s="11" t="s">
        <v>1879</v>
      </c>
      <c r="N1238" s="11" t="s">
        <v>1062</v>
      </c>
      <c r="O1238" s="11" t="s">
        <v>2194</v>
      </c>
    </row>
    <row r="1239">
      <c r="A1239" s="11">
        <v>-60.2803001403808</v>
      </c>
      <c r="B1239" s="11">
        <v>0.875840365886688</v>
      </c>
      <c r="C1239" s="11" t="s">
        <v>1879</v>
      </c>
      <c r="D1239" s="11" t="s">
        <v>1879</v>
      </c>
      <c r="E1239" s="11" t="s">
        <v>1062</v>
      </c>
      <c r="F1239" s="11" t="s">
        <v>2196</v>
      </c>
      <c r="J1239" s="11">
        <v>20.3124122619628</v>
      </c>
      <c r="K1239" s="11">
        <v>-55.8831367492675</v>
      </c>
      <c r="L1239" s="11" t="s">
        <v>1879</v>
      </c>
      <c r="M1239" s="11" t="s">
        <v>1879</v>
      </c>
      <c r="N1239" s="11" t="s">
        <v>1062</v>
      </c>
      <c r="O1239" s="11" t="s">
        <v>2196</v>
      </c>
    </row>
    <row r="1240">
      <c r="A1240" s="11">
        <v>-63.782901763916</v>
      </c>
      <c r="B1240" s="11">
        <v>-22.7106819152832</v>
      </c>
      <c r="C1240" s="11" t="s">
        <v>1879</v>
      </c>
      <c r="D1240" s="11" t="s">
        <v>1879</v>
      </c>
      <c r="E1240" s="11" t="s">
        <v>1062</v>
      </c>
      <c r="F1240" s="11" t="s">
        <v>2197</v>
      </c>
      <c r="J1240" s="11">
        <v>23.3618507385253</v>
      </c>
      <c r="K1240" s="11">
        <v>-49.3898315429687</v>
      </c>
      <c r="L1240" s="11" t="s">
        <v>1879</v>
      </c>
      <c r="M1240" s="11" t="s">
        <v>1879</v>
      </c>
      <c r="N1240" s="11" t="s">
        <v>1062</v>
      </c>
      <c r="O1240" s="11" t="s">
        <v>2197</v>
      </c>
    </row>
    <row r="1241">
      <c r="A1241" s="11">
        <v>50.9096641540527</v>
      </c>
      <c r="B1241" s="11">
        <v>-8.19097995758056</v>
      </c>
      <c r="C1241" s="11" t="s">
        <v>1879</v>
      </c>
      <c r="D1241" s="11" t="s">
        <v>1879</v>
      </c>
      <c r="E1241" s="11" t="s">
        <v>1062</v>
      </c>
      <c r="F1241" s="11" t="s">
        <v>2199</v>
      </c>
      <c r="J1241" s="11">
        <v>13.5307273864746</v>
      </c>
      <c r="K1241" s="11">
        <v>-61.9765625</v>
      </c>
      <c r="L1241" s="11" t="s">
        <v>1879</v>
      </c>
      <c r="M1241" s="11" t="s">
        <v>1879</v>
      </c>
      <c r="N1241" s="11" t="s">
        <v>1062</v>
      </c>
      <c r="O1241" s="11" t="s">
        <v>2199</v>
      </c>
    </row>
    <row r="1242">
      <c r="A1242" s="11">
        <v>-53.2361869812011</v>
      </c>
      <c r="B1242" s="11">
        <v>-35.3024597167968</v>
      </c>
      <c r="C1242" s="11" t="s">
        <v>1879</v>
      </c>
      <c r="D1242" s="11" t="s">
        <v>1879</v>
      </c>
      <c r="E1242" s="11" t="s">
        <v>1062</v>
      </c>
      <c r="F1242" s="11" t="s">
        <v>2200</v>
      </c>
      <c r="J1242" s="11">
        <v>14.3727493286132</v>
      </c>
      <c r="K1242" s="11">
        <v>-38.6455726623535</v>
      </c>
      <c r="L1242" s="11" t="s">
        <v>1879</v>
      </c>
      <c r="M1242" s="11" t="s">
        <v>1879</v>
      </c>
      <c r="N1242" s="11" t="s">
        <v>1062</v>
      </c>
      <c r="O1242" s="11" t="s">
        <v>2200</v>
      </c>
    </row>
    <row r="1243">
      <c r="A1243" s="11">
        <v>-48.0900764465332</v>
      </c>
      <c r="B1243" s="11">
        <v>-5.0245451927185</v>
      </c>
      <c r="C1243" s="11" t="s">
        <v>1879</v>
      </c>
      <c r="D1243" s="11" t="s">
        <v>1879</v>
      </c>
      <c r="E1243" s="11" t="s">
        <v>1062</v>
      </c>
      <c r="F1243" s="11" t="s">
        <v>2202</v>
      </c>
      <c r="J1243" s="11">
        <v>45.6757926940918</v>
      </c>
      <c r="K1243" s="11">
        <v>-3.87001252174377</v>
      </c>
      <c r="L1243" s="11" t="s">
        <v>1879</v>
      </c>
      <c r="M1243" s="11" t="s">
        <v>1879</v>
      </c>
      <c r="N1243" s="11" t="s">
        <v>1062</v>
      </c>
      <c r="O1243" s="11" t="s">
        <v>2202</v>
      </c>
    </row>
    <row r="1244">
      <c r="A1244" s="11">
        <v>-57.3191871643066</v>
      </c>
      <c r="B1244" s="11">
        <v>-21.167625427246</v>
      </c>
      <c r="C1244" s="11" t="s">
        <v>1879</v>
      </c>
      <c r="D1244" s="11" t="s">
        <v>1879</v>
      </c>
      <c r="E1244" s="11" t="s">
        <v>1062</v>
      </c>
      <c r="F1244" s="11" t="s">
        <v>2204</v>
      </c>
      <c r="J1244" s="11">
        <v>21.2780017852783</v>
      </c>
      <c r="K1244" s="11">
        <v>-42.6405715942382</v>
      </c>
      <c r="L1244" s="11" t="s">
        <v>1879</v>
      </c>
      <c r="M1244" s="11" t="s">
        <v>1879</v>
      </c>
      <c r="N1244" s="11" t="s">
        <v>1062</v>
      </c>
      <c r="O1244" s="11" t="s">
        <v>2204</v>
      </c>
    </row>
    <row r="1245">
      <c r="A1245" s="11">
        <v>-39.071605682373</v>
      </c>
      <c r="B1245" s="11">
        <v>-5.26485013961792</v>
      </c>
      <c r="C1245" s="11" t="s">
        <v>1879</v>
      </c>
      <c r="D1245" s="11" t="s">
        <v>1879</v>
      </c>
      <c r="E1245" s="11" t="s">
        <v>1062</v>
      </c>
      <c r="F1245" s="11" t="s">
        <v>2206</v>
      </c>
      <c r="J1245" s="11">
        <v>14.983055114746</v>
      </c>
      <c r="K1245" s="11">
        <v>-56.0129241943359</v>
      </c>
      <c r="L1245" s="11" t="s">
        <v>1879</v>
      </c>
      <c r="M1245" s="11" t="s">
        <v>1879</v>
      </c>
      <c r="N1245" s="11" t="s">
        <v>1062</v>
      </c>
      <c r="O1245" s="11" t="s">
        <v>2206</v>
      </c>
    </row>
    <row r="1246">
      <c r="A1246" s="11">
        <v>-50.653076171875</v>
      </c>
      <c r="B1246" s="11">
        <v>2.54900884628295</v>
      </c>
      <c r="C1246" s="11" t="s">
        <v>1879</v>
      </c>
      <c r="D1246" s="11" t="s">
        <v>1879</v>
      </c>
      <c r="E1246" s="11" t="s">
        <v>1062</v>
      </c>
      <c r="F1246" s="11" t="s">
        <v>2209</v>
      </c>
      <c r="J1246" s="11">
        <v>31.9595260620117</v>
      </c>
      <c r="K1246" s="11">
        <v>-43.4486007690429</v>
      </c>
      <c r="L1246" s="11" t="s">
        <v>1879</v>
      </c>
      <c r="M1246" s="11" t="s">
        <v>1879</v>
      </c>
      <c r="N1246" s="11" t="s">
        <v>1062</v>
      </c>
      <c r="O1246" s="11" t="s">
        <v>2209</v>
      </c>
    </row>
    <row r="1247">
      <c r="A1247" s="11">
        <v>-57.5376625061035</v>
      </c>
      <c r="B1247" s="11">
        <v>-14.0316495895385</v>
      </c>
      <c r="C1247" s="11" t="s">
        <v>1879</v>
      </c>
      <c r="D1247" s="11" t="s">
        <v>1879</v>
      </c>
      <c r="E1247" s="11" t="s">
        <v>1062</v>
      </c>
      <c r="F1247" s="11" t="s">
        <v>2211</v>
      </c>
      <c r="J1247" s="11">
        <v>25.6499118804931</v>
      </c>
      <c r="K1247" s="11">
        <v>-53.8848800659179</v>
      </c>
      <c r="L1247" s="11" t="s">
        <v>1879</v>
      </c>
      <c r="M1247" s="11" t="s">
        <v>1879</v>
      </c>
      <c r="N1247" s="11" t="s">
        <v>1062</v>
      </c>
      <c r="O1247" s="11" t="s">
        <v>2211</v>
      </c>
    </row>
    <row r="1248">
      <c r="A1248" s="11">
        <v>-41.0854263305664</v>
      </c>
      <c r="B1248" s="11">
        <v>-4.44381093978881</v>
      </c>
      <c r="C1248" s="11" t="s">
        <v>1879</v>
      </c>
      <c r="D1248" s="11" t="s">
        <v>1879</v>
      </c>
      <c r="E1248" s="11" t="s">
        <v>1062</v>
      </c>
      <c r="F1248" s="11" t="s">
        <v>2213</v>
      </c>
      <c r="J1248" s="11">
        <v>16.7736110687255</v>
      </c>
      <c r="K1248" s="11">
        <v>-56.1316299438476</v>
      </c>
      <c r="L1248" s="11" t="s">
        <v>1879</v>
      </c>
      <c r="M1248" s="11" t="s">
        <v>1879</v>
      </c>
      <c r="N1248" s="11" t="s">
        <v>1062</v>
      </c>
      <c r="O1248" s="11" t="s">
        <v>2213</v>
      </c>
    </row>
    <row r="1249">
      <c r="A1249" s="11">
        <v>-53.7356224060058</v>
      </c>
      <c r="B1249" s="11">
        <v>-3.57350754737854</v>
      </c>
      <c r="C1249" s="11" t="s">
        <v>1879</v>
      </c>
      <c r="D1249" s="11" t="s">
        <v>1879</v>
      </c>
      <c r="E1249" s="11" t="s">
        <v>1062</v>
      </c>
      <c r="F1249" s="11" t="s">
        <v>2215</v>
      </c>
      <c r="J1249" s="11">
        <v>45.0723609924316</v>
      </c>
      <c r="K1249" s="11">
        <v>-0.309305936098098</v>
      </c>
      <c r="L1249" s="11" t="s">
        <v>1879</v>
      </c>
      <c r="M1249" s="11" t="s">
        <v>1879</v>
      </c>
      <c r="N1249" s="11" t="s">
        <v>1062</v>
      </c>
      <c r="O1249" s="11" t="s">
        <v>2215</v>
      </c>
    </row>
    <row r="1250">
      <c r="A1250" s="11">
        <v>-57.6255149841308</v>
      </c>
      <c r="B1250" s="11">
        <v>-19.8748245239257</v>
      </c>
      <c r="C1250" s="11" t="s">
        <v>1879</v>
      </c>
      <c r="D1250" s="11" t="s">
        <v>1879</v>
      </c>
      <c r="E1250" s="11" t="s">
        <v>1062</v>
      </c>
      <c r="F1250" s="11" t="s">
        <v>2217</v>
      </c>
      <c r="J1250" s="11">
        <v>20.3592491149902</v>
      </c>
      <c r="K1250" s="11">
        <v>-42.8741302490234</v>
      </c>
      <c r="L1250" s="11" t="s">
        <v>1879</v>
      </c>
      <c r="M1250" s="11" t="s">
        <v>1879</v>
      </c>
      <c r="N1250" s="11" t="s">
        <v>1062</v>
      </c>
      <c r="O1250" s="11" t="s">
        <v>2217</v>
      </c>
    </row>
    <row r="1251">
      <c r="A1251" s="11">
        <v>4.39471960067749</v>
      </c>
      <c r="B1251" s="11">
        <v>49.7133026123046</v>
      </c>
      <c r="C1251" s="11" t="s">
        <v>2602</v>
      </c>
      <c r="D1251" s="11" t="s">
        <v>2602</v>
      </c>
      <c r="E1251" s="11" t="s">
        <v>1062</v>
      </c>
      <c r="F1251" s="11" t="s">
        <v>2603</v>
      </c>
      <c r="J1251" s="11">
        <v>56.4883842468261</v>
      </c>
      <c r="K1251" s="11">
        <v>-22.230276107788</v>
      </c>
      <c r="L1251" s="11" t="s">
        <v>2602</v>
      </c>
      <c r="M1251" s="11" t="s">
        <v>2602</v>
      </c>
      <c r="N1251" s="11" t="s">
        <v>1062</v>
      </c>
      <c r="O1251" s="11" t="s">
        <v>2603</v>
      </c>
    </row>
    <row r="1252">
      <c r="A1252" s="11">
        <v>5.99964618682861</v>
      </c>
      <c r="B1252" s="11">
        <v>-23.321231842041</v>
      </c>
      <c r="C1252" s="11" t="s">
        <v>2602</v>
      </c>
      <c r="D1252" s="11" t="s">
        <v>2602</v>
      </c>
      <c r="E1252" s="11" t="s">
        <v>1062</v>
      </c>
      <c r="F1252" s="11" t="s">
        <v>2604</v>
      </c>
      <c r="J1252" s="11">
        <v>-40.2104454040527</v>
      </c>
      <c r="K1252" s="11">
        <v>-29.2753543853759</v>
      </c>
      <c r="L1252" s="11" t="s">
        <v>2602</v>
      </c>
      <c r="M1252" s="11" t="s">
        <v>2602</v>
      </c>
      <c r="N1252" s="11" t="s">
        <v>1062</v>
      </c>
      <c r="O1252" s="11" t="s">
        <v>2604</v>
      </c>
    </row>
    <row r="1253">
      <c r="A1253" s="11">
        <v>5.03507471084594</v>
      </c>
      <c r="B1253" s="11">
        <v>-7.30548858642578</v>
      </c>
      <c r="C1253" s="11" t="s">
        <v>2602</v>
      </c>
      <c r="D1253" s="11" t="s">
        <v>2602</v>
      </c>
      <c r="E1253" s="11" t="s">
        <v>1062</v>
      </c>
      <c r="F1253" s="11" t="s">
        <v>2605</v>
      </c>
      <c r="J1253" s="11">
        <v>36.5764732360839</v>
      </c>
      <c r="K1253" s="11">
        <v>-23.7589626312255</v>
      </c>
      <c r="L1253" s="11" t="s">
        <v>2602</v>
      </c>
      <c r="M1253" s="11" t="s">
        <v>2602</v>
      </c>
      <c r="N1253" s="11" t="s">
        <v>1062</v>
      </c>
      <c r="O1253" s="11" t="s">
        <v>2605</v>
      </c>
    </row>
    <row r="1254">
      <c r="A1254" s="11">
        <v>52.3749771118164</v>
      </c>
      <c r="B1254" s="11">
        <v>29.4108753204345</v>
      </c>
      <c r="C1254" s="11" t="s">
        <v>2602</v>
      </c>
      <c r="D1254" s="11" t="s">
        <v>2602</v>
      </c>
      <c r="E1254" s="11" t="s">
        <v>1062</v>
      </c>
      <c r="F1254" s="11" t="s">
        <v>2606</v>
      </c>
      <c r="J1254" s="11">
        <v>-38.6810760498046</v>
      </c>
      <c r="K1254" s="11">
        <v>-33.2097282409668</v>
      </c>
      <c r="L1254" s="11" t="s">
        <v>2602</v>
      </c>
      <c r="M1254" s="11" t="s">
        <v>2602</v>
      </c>
      <c r="N1254" s="11" t="s">
        <v>1062</v>
      </c>
      <c r="O1254" s="11" t="s">
        <v>2606</v>
      </c>
    </row>
    <row r="1255">
      <c r="A1255" s="11">
        <v>12.0674743652343</v>
      </c>
      <c r="B1255" s="11">
        <v>-14.8344469070434</v>
      </c>
      <c r="C1255" s="11" t="s">
        <v>2602</v>
      </c>
      <c r="D1255" s="11" t="s">
        <v>2602</v>
      </c>
      <c r="E1255" s="11" t="s">
        <v>1062</v>
      </c>
      <c r="F1255" s="11" t="s">
        <v>2607</v>
      </c>
      <c r="J1255" s="11">
        <v>-36.2865676879882</v>
      </c>
      <c r="K1255" s="11">
        <v>-30.9247932434082</v>
      </c>
      <c r="L1255" s="11" t="s">
        <v>2602</v>
      </c>
      <c r="M1255" s="11" t="s">
        <v>2602</v>
      </c>
      <c r="N1255" s="11" t="s">
        <v>1062</v>
      </c>
      <c r="O1255" s="11" t="s">
        <v>2607</v>
      </c>
    </row>
    <row r="1256">
      <c r="A1256" s="11">
        <v>1.11885273456573</v>
      </c>
      <c r="B1256" s="11">
        <v>-7.87675285339355</v>
      </c>
      <c r="C1256" s="11" t="s">
        <v>2602</v>
      </c>
      <c r="D1256" s="11" t="s">
        <v>2602</v>
      </c>
      <c r="E1256" s="11" t="s">
        <v>1062</v>
      </c>
      <c r="F1256" s="11" t="s">
        <v>2608</v>
      </c>
      <c r="J1256" s="11">
        <v>-38.9724998474121</v>
      </c>
      <c r="K1256" s="11">
        <v>-25.3353939056396</v>
      </c>
      <c r="L1256" s="11" t="s">
        <v>2602</v>
      </c>
      <c r="M1256" s="11" t="s">
        <v>2602</v>
      </c>
      <c r="N1256" s="11" t="s">
        <v>1062</v>
      </c>
      <c r="O1256" s="11" t="s">
        <v>2608</v>
      </c>
    </row>
    <row r="1257">
      <c r="A1257" s="11">
        <v>12.5866174697875</v>
      </c>
      <c r="B1257" s="11">
        <v>-6.12758207321167</v>
      </c>
      <c r="C1257" s="11" t="s">
        <v>2602</v>
      </c>
      <c r="D1257" s="11" t="s">
        <v>2602</v>
      </c>
      <c r="E1257" s="11" t="s">
        <v>1062</v>
      </c>
      <c r="F1257" s="11" t="s">
        <v>2609</v>
      </c>
      <c r="J1257" s="11">
        <v>-35.456443786621</v>
      </c>
      <c r="K1257" s="11">
        <v>-25.5436115264892</v>
      </c>
      <c r="L1257" s="11" t="s">
        <v>2602</v>
      </c>
      <c r="M1257" s="11" t="s">
        <v>2602</v>
      </c>
      <c r="N1257" s="11" t="s">
        <v>1062</v>
      </c>
      <c r="O1257" s="11" t="s">
        <v>2609</v>
      </c>
    </row>
    <row r="1258">
      <c r="A1258" s="11">
        <v>12.5866174697875</v>
      </c>
      <c r="B1258" s="11">
        <v>-6.12758207321167</v>
      </c>
      <c r="C1258" s="11" t="s">
        <v>2602</v>
      </c>
      <c r="D1258" s="11" t="s">
        <v>2602</v>
      </c>
      <c r="E1258" s="11" t="s">
        <v>1062</v>
      </c>
      <c r="F1258" s="11" t="s">
        <v>2610</v>
      </c>
      <c r="J1258" s="11">
        <v>-35.4566078186035</v>
      </c>
      <c r="K1258" s="11">
        <v>-25.5436744689941</v>
      </c>
      <c r="L1258" s="11" t="s">
        <v>2602</v>
      </c>
      <c r="M1258" s="11" t="s">
        <v>2602</v>
      </c>
      <c r="N1258" s="11" t="s">
        <v>1062</v>
      </c>
      <c r="O1258" s="11" t="s">
        <v>2610</v>
      </c>
    </row>
    <row r="1259">
      <c r="A1259" s="11">
        <v>8.41477584838867</v>
      </c>
      <c r="B1259" s="11">
        <v>-5.53471899032592</v>
      </c>
      <c r="C1259" s="11" t="s">
        <v>2602</v>
      </c>
      <c r="D1259" s="11" t="s">
        <v>2602</v>
      </c>
      <c r="E1259" s="11" t="s">
        <v>1062</v>
      </c>
      <c r="F1259" s="11" t="s">
        <v>2611</v>
      </c>
      <c r="J1259" s="11">
        <v>-34.3718338012695</v>
      </c>
      <c r="K1259" s="11">
        <v>-27.2110710144042</v>
      </c>
      <c r="L1259" s="11" t="s">
        <v>2602</v>
      </c>
      <c r="M1259" s="11" t="s">
        <v>2602</v>
      </c>
      <c r="N1259" s="11" t="s">
        <v>1062</v>
      </c>
      <c r="O1259" s="11" t="s">
        <v>2611</v>
      </c>
    </row>
    <row r="1260">
      <c r="A1260" s="11">
        <v>17.3767662048339</v>
      </c>
      <c r="B1260" s="11">
        <v>-13.4498929977417</v>
      </c>
      <c r="C1260" s="11" t="s">
        <v>2602</v>
      </c>
      <c r="D1260" s="11" t="s">
        <v>2602</v>
      </c>
      <c r="E1260" s="11" t="s">
        <v>1062</v>
      </c>
      <c r="F1260" s="11" t="s">
        <v>2612</v>
      </c>
      <c r="J1260" s="11">
        <v>-7.95509004592895</v>
      </c>
      <c r="K1260" s="11">
        <v>-22.9320354461669</v>
      </c>
      <c r="L1260" s="11" t="s">
        <v>2602</v>
      </c>
      <c r="M1260" s="11" t="s">
        <v>2602</v>
      </c>
      <c r="N1260" s="11" t="s">
        <v>1062</v>
      </c>
      <c r="O1260" s="11" t="s">
        <v>2612</v>
      </c>
    </row>
    <row r="1261">
      <c r="A1261" s="11">
        <v>11.4820470809936</v>
      </c>
      <c r="B1261" s="11">
        <v>-9.92281436920166</v>
      </c>
      <c r="C1261" s="11" t="s">
        <v>2602</v>
      </c>
      <c r="D1261" s="11" t="s">
        <v>2602</v>
      </c>
      <c r="E1261" s="11" t="s">
        <v>1062</v>
      </c>
      <c r="F1261" s="11" t="s">
        <v>2613</v>
      </c>
      <c r="J1261" s="11">
        <v>-38.789695739746</v>
      </c>
      <c r="K1261" s="11">
        <v>-30.2349910736084</v>
      </c>
      <c r="L1261" s="11" t="s">
        <v>2602</v>
      </c>
      <c r="M1261" s="11" t="s">
        <v>2602</v>
      </c>
      <c r="N1261" s="11" t="s">
        <v>1062</v>
      </c>
      <c r="O1261" s="11" t="s">
        <v>2613</v>
      </c>
    </row>
    <row r="1262">
      <c r="A1262" s="11">
        <v>-11.6194086074829</v>
      </c>
      <c r="B1262" s="11">
        <v>-6.40971517562866</v>
      </c>
      <c r="C1262" s="11" t="s">
        <v>2602</v>
      </c>
      <c r="D1262" s="11" t="s">
        <v>2602</v>
      </c>
      <c r="E1262" s="11" t="s">
        <v>1062</v>
      </c>
      <c r="F1262" s="11" t="s">
        <v>2614</v>
      </c>
      <c r="J1262" s="11">
        <v>-32.7042770385742</v>
      </c>
      <c r="K1262" s="11">
        <v>-30.2339782714843</v>
      </c>
      <c r="L1262" s="11" t="s">
        <v>2602</v>
      </c>
      <c r="M1262" s="11" t="s">
        <v>2602</v>
      </c>
      <c r="N1262" s="11" t="s">
        <v>1062</v>
      </c>
      <c r="O1262" s="11" t="s">
        <v>2614</v>
      </c>
    </row>
    <row r="1263">
      <c r="A1263" s="11">
        <v>-3.31765294075012</v>
      </c>
      <c r="B1263" s="11">
        <v>8.61170578002929</v>
      </c>
      <c r="C1263" s="11" t="s">
        <v>2602</v>
      </c>
      <c r="D1263" s="11" t="s">
        <v>2602</v>
      </c>
      <c r="E1263" s="11" t="s">
        <v>1062</v>
      </c>
      <c r="F1263" s="11" t="s">
        <v>2615</v>
      </c>
      <c r="J1263" s="11">
        <v>-36.4128952026367</v>
      </c>
      <c r="K1263" s="11">
        <v>-26.3267002105712</v>
      </c>
      <c r="L1263" s="11" t="s">
        <v>2602</v>
      </c>
      <c r="M1263" s="11" t="s">
        <v>2602</v>
      </c>
      <c r="N1263" s="11" t="s">
        <v>1062</v>
      </c>
      <c r="O1263" s="11" t="s">
        <v>2615</v>
      </c>
    </row>
    <row r="1264">
      <c r="A1264" s="11">
        <v>24.7084445953369</v>
      </c>
      <c r="B1264" s="11">
        <v>14.1034460067749</v>
      </c>
      <c r="C1264" s="11" t="s">
        <v>2602</v>
      </c>
      <c r="D1264" s="11" t="s">
        <v>2602</v>
      </c>
      <c r="E1264" s="11" t="s">
        <v>1062</v>
      </c>
      <c r="F1264" s="11" t="s">
        <v>2616</v>
      </c>
      <c r="J1264" s="11">
        <v>-37.6580238342285</v>
      </c>
      <c r="K1264" s="11">
        <v>-28.3785953521728</v>
      </c>
      <c r="L1264" s="11" t="s">
        <v>2602</v>
      </c>
      <c r="M1264" s="11" t="s">
        <v>2602</v>
      </c>
      <c r="N1264" s="11" t="s">
        <v>1062</v>
      </c>
      <c r="O1264" s="11" t="s">
        <v>2616</v>
      </c>
    </row>
    <row r="1265">
      <c r="A1265" s="11">
        <v>6.0678858757019</v>
      </c>
      <c r="B1265" s="11">
        <v>-8.35588836669921</v>
      </c>
      <c r="C1265" s="11" t="s">
        <v>2602</v>
      </c>
      <c r="D1265" s="11" t="s">
        <v>2602</v>
      </c>
      <c r="E1265" s="11" t="s">
        <v>1062</v>
      </c>
      <c r="F1265" s="11" t="s">
        <v>2617</v>
      </c>
      <c r="J1265" s="11">
        <v>-31.1954402923584</v>
      </c>
      <c r="K1265" s="11">
        <v>-26.0166339874267</v>
      </c>
      <c r="L1265" s="11" t="s">
        <v>2602</v>
      </c>
      <c r="M1265" s="11" t="s">
        <v>2602</v>
      </c>
      <c r="N1265" s="11" t="s">
        <v>1062</v>
      </c>
      <c r="O1265" s="11" t="s">
        <v>2617</v>
      </c>
    </row>
    <row r="1266">
      <c r="A1266" s="11">
        <v>17.3767662048339</v>
      </c>
      <c r="B1266" s="11">
        <v>-13.4498929977417</v>
      </c>
      <c r="C1266" s="11" t="s">
        <v>2602</v>
      </c>
      <c r="D1266" s="11" t="s">
        <v>2602</v>
      </c>
      <c r="E1266" s="11" t="s">
        <v>1062</v>
      </c>
      <c r="F1266" s="11" t="s">
        <v>2618</v>
      </c>
      <c r="J1266" s="11">
        <v>-7.95578050613403</v>
      </c>
      <c r="K1266" s="11">
        <v>-22.9306488037109</v>
      </c>
      <c r="L1266" s="11" t="s">
        <v>2602</v>
      </c>
      <c r="M1266" s="11" t="s">
        <v>2602</v>
      </c>
      <c r="N1266" s="11" t="s">
        <v>1062</v>
      </c>
      <c r="O1266" s="11" t="s">
        <v>2618</v>
      </c>
    </row>
    <row r="1267">
      <c r="A1267" s="11">
        <v>9.18841743469238</v>
      </c>
      <c r="B1267" s="11">
        <v>-9.12336444854736</v>
      </c>
      <c r="C1267" s="11" t="s">
        <v>2602</v>
      </c>
      <c r="D1267" s="11" t="s">
        <v>2602</v>
      </c>
      <c r="E1267" s="11" t="s">
        <v>1062</v>
      </c>
      <c r="F1267" s="11" t="s">
        <v>2619</v>
      </c>
      <c r="J1267" s="11">
        <v>-39.8829689025878</v>
      </c>
      <c r="K1267" s="11">
        <v>-29.2577056884765</v>
      </c>
      <c r="L1267" s="11" t="s">
        <v>2602</v>
      </c>
      <c r="M1267" s="11" t="s">
        <v>2602</v>
      </c>
      <c r="N1267" s="11" t="s">
        <v>1062</v>
      </c>
      <c r="O1267" s="11" t="s">
        <v>2619</v>
      </c>
    </row>
    <row r="1268">
      <c r="A1268" s="11">
        <v>-17.1721973419189</v>
      </c>
      <c r="B1268" s="11">
        <v>-14.2582082748413</v>
      </c>
      <c r="C1268" s="11" t="s">
        <v>2602</v>
      </c>
      <c r="D1268" s="11" t="s">
        <v>2602</v>
      </c>
      <c r="E1268" s="11" t="s">
        <v>1062</v>
      </c>
      <c r="F1268" s="11" t="s">
        <v>2620</v>
      </c>
      <c r="J1268" s="11">
        <v>59.5137367248535</v>
      </c>
      <c r="K1268" s="11">
        <v>-25.4457740783691</v>
      </c>
      <c r="L1268" s="11" t="s">
        <v>2602</v>
      </c>
      <c r="M1268" s="11" t="s">
        <v>2602</v>
      </c>
      <c r="N1268" s="11" t="s">
        <v>1062</v>
      </c>
      <c r="O1268" s="11" t="s">
        <v>2620</v>
      </c>
    </row>
    <row r="1269">
      <c r="A1269" s="11">
        <v>25.0671577453613</v>
      </c>
      <c r="B1269" s="11">
        <v>14.1689147949218</v>
      </c>
      <c r="C1269" s="11" t="s">
        <v>2602</v>
      </c>
      <c r="D1269" s="11" t="s">
        <v>2602</v>
      </c>
      <c r="E1269" s="11" t="s">
        <v>1062</v>
      </c>
      <c r="F1269" s="11" t="s">
        <v>2621</v>
      </c>
      <c r="J1269" s="11">
        <v>-37.7219734191894</v>
      </c>
      <c r="K1269" s="11">
        <v>-28.4095306396484</v>
      </c>
      <c r="L1269" s="11" t="s">
        <v>2602</v>
      </c>
      <c r="M1269" s="11" t="s">
        <v>2602</v>
      </c>
      <c r="N1269" s="11" t="s">
        <v>1062</v>
      </c>
      <c r="O1269" s="11" t="s">
        <v>2621</v>
      </c>
    </row>
    <row r="1270">
      <c r="A1270" s="11">
        <v>45.1851692199707</v>
      </c>
      <c r="B1270" s="11">
        <v>25.5913772583007</v>
      </c>
      <c r="C1270" s="11" t="s">
        <v>2602</v>
      </c>
      <c r="D1270" s="11" t="s">
        <v>2602</v>
      </c>
      <c r="E1270" s="11" t="s">
        <v>1062</v>
      </c>
      <c r="F1270" s="11" t="s">
        <v>2622</v>
      </c>
      <c r="J1270" s="11">
        <v>-38.3619995117187</v>
      </c>
      <c r="K1270" s="11">
        <v>-29.5892658233642</v>
      </c>
      <c r="L1270" s="11" t="s">
        <v>2602</v>
      </c>
      <c r="M1270" s="11" t="s">
        <v>2602</v>
      </c>
      <c r="N1270" s="11" t="s">
        <v>1062</v>
      </c>
      <c r="O1270" s="11" t="s">
        <v>2622</v>
      </c>
    </row>
    <row r="1271">
      <c r="A1271" s="11">
        <v>12.0674743652343</v>
      </c>
      <c r="B1271" s="11">
        <v>-14.8344469070434</v>
      </c>
      <c r="C1271" s="11" t="s">
        <v>2602</v>
      </c>
      <c r="D1271" s="11" t="s">
        <v>2602</v>
      </c>
      <c r="E1271" s="11" t="s">
        <v>1062</v>
      </c>
      <c r="F1271" s="11" t="s">
        <v>2623</v>
      </c>
      <c r="J1271" s="11">
        <v>-36.2865676879882</v>
      </c>
      <c r="K1271" s="11">
        <v>-30.9247932434082</v>
      </c>
      <c r="L1271" s="11" t="s">
        <v>2602</v>
      </c>
      <c r="M1271" s="11" t="s">
        <v>2602</v>
      </c>
      <c r="N1271" s="11" t="s">
        <v>1062</v>
      </c>
      <c r="O1271" s="11" t="s">
        <v>2623</v>
      </c>
    </row>
    <row r="1272">
      <c r="A1272" s="11">
        <v>1.11885273456573</v>
      </c>
      <c r="B1272" s="11">
        <v>-7.87675285339355</v>
      </c>
      <c r="C1272" s="11" t="s">
        <v>2602</v>
      </c>
      <c r="D1272" s="11" t="s">
        <v>2602</v>
      </c>
      <c r="E1272" s="11" t="s">
        <v>1062</v>
      </c>
      <c r="F1272" s="11" t="s">
        <v>2624</v>
      </c>
      <c r="J1272" s="11">
        <v>-38.9724998474121</v>
      </c>
      <c r="K1272" s="11">
        <v>-25.3353939056396</v>
      </c>
      <c r="L1272" s="11" t="s">
        <v>2602</v>
      </c>
      <c r="M1272" s="11" t="s">
        <v>2602</v>
      </c>
      <c r="N1272" s="11" t="s">
        <v>1062</v>
      </c>
      <c r="O1272" s="11" t="s">
        <v>2624</v>
      </c>
    </row>
    <row r="1273">
      <c r="A1273" s="11">
        <v>4.39296293258667</v>
      </c>
      <c r="B1273" s="11">
        <v>49.7077560424804</v>
      </c>
      <c r="C1273" s="11" t="s">
        <v>2602</v>
      </c>
      <c r="D1273" s="11" t="s">
        <v>2602</v>
      </c>
      <c r="E1273" s="11" t="s">
        <v>1062</v>
      </c>
      <c r="F1273" s="11" t="s">
        <v>2625</v>
      </c>
      <c r="J1273" s="11">
        <v>56.4078636169433</v>
      </c>
      <c r="K1273" s="11">
        <v>-22.1215591430664</v>
      </c>
      <c r="L1273" s="11" t="s">
        <v>2602</v>
      </c>
      <c r="M1273" s="11" t="s">
        <v>2602</v>
      </c>
      <c r="N1273" s="11" t="s">
        <v>1062</v>
      </c>
      <c r="O1273" s="11" t="s">
        <v>2625</v>
      </c>
    </row>
    <row r="1274">
      <c r="A1274" s="11">
        <v>13.0850315093994</v>
      </c>
      <c r="B1274" s="11">
        <v>-11.9230804443359</v>
      </c>
      <c r="C1274" s="11" t="s">
        <v>2602</v>
      </c>
      <c r="D1274" s="11" t="s">
        <v>2602</v>
      </c>
      <c r="E1274" s="11" t="s">
        <v>1062</v>
      </c>
      <c r="F1274" s="11" t="s">
        <v>2626</v>
      </c>
      <c r="J1274" s="11">
        <v>-34.9159355163574</v>
      </c>
      <c r="K1274" s="11">
        <v>-29.1193199157714</v>
      </c>
      <c r="L1274" s="11" t="s">
        <v>2602</v>
      </c>
      <c r="M1274" s="11" t="s">
        <v>2602</v>
      </c>
      <c r="N1274" s="11" t="s">
        <v>1062</v>
      </c>
      <c r="O1274" s="11" t="s">
        <v>2626</v>
      </c>
    </row>
    <row r="1275">
      <c r="A1275" s="11">
        <v>11.7435703277587</v>
      </c>
      <c r="B1275" s="11">
        <v>-14.6854448318481</v>
      </c>
      <c r="C1275" s="11" t="s">
        <v>2602</v>
      </c>
      <c r="D1275" s="11" t="s">
        <v>2602</v>
      </c>
      <c r="E1275" s="11" t="s">
        <v>1062</v>
      </c>
      <c r="F1275" s="11" t="s">
        <v>2627</v>
      </c>
      <c r="J1275" s="11">
        <v>-36.3469848632812</v>
      </c>
      <c r="K1275" s="11">
        <v>-30.8725795745849</v>
      </c>
      <c r="L1275" s="11" t="s">
        <v>2602</v>
      </c>
      <c r="M1275" s="11" t="s">
        <v>2602</v>
      </c>
      <c r="N1275" s="11" t="s">
        <v>1062</v>
      </c>
      <c r="O1275" s="11" t="s">
        <v>2627</v>
      </c>
    </row>
    <row r="1276">
      <c r="A1276" s="11">
        <v>52.3746795654296</v>
      </c>
      <c r="B1276" s="11">
        <v>29.4115657806396</v>
      </c>
      <c r="C1276" s="11" t="s">
        <v>2602</v>
      </c>
      <c r="D1276" s="11" t="s">
        <v>2602</v>
      </c>
      <c r="E1276" s="11" t="s">
        <v>1062</v>
      </c>
      <c r="F1276" s="11" t="s">
        <v>2631</v>
      </c>
      <c r="J1276" s="11">
        <v>-38.6817016601562</v>
      </c>
      <c r="K1276" s="11">
        <v>-33.1990165710449</v>
      </c>
      <c r="L1276" s="11" t="s">
        <v>2602</v>
      </c>
      <c r="M1276" s="11" t="s">
        <v>2602</v>
      </c>
      <c r="N1276" s="11" t="s">
        <v>1062</v>
      </c>
      <c r="O1276" s="11" t="s">
        <v>2631</v>
      </c>
    </row>
    <row r="1277">
      <c r="A1277" s="11">
        <v>-16.7384357452392</v>
      </c>
      <c r="B1277" s="11">
        <v>-9.1057653427124</v>
      </c>
      <c r="C1277" s="11" t="s">
        <v>2602</v>
      </c>
      <c r="D1277" s="11" t="s">
        <v>2602</v>
      </c>
      <c r="E1277" s="11" t="s">
        <v>1062</v>
      </c>
      <c r="F1277" s="11" t="s">
        <v>2635</v>
      </c>
      <c r="J1277" s="11">
        <v>48.4293060302734</v>
      </c>
      <c r="K1277" s="11">
        <v>0.438742995262146</v>
      </c>
      <c r="L1277" s="11" t="s">
        <v>2602</v>
      </c>
      <c r="M1277" s="11" t="s">
        <v>2602</v>
      </c>
      <c r="N1277" s="11" t="s">
        <v>1062</v>
      </c>
      <c r="O1277" s="11" t="s">
        <v>2635</v>
      </c>
    </row>
    <row r="1278">
      <c r="A1278" s="11">
        <v>8.30796241760253</v>
      </c>
      <c r="B1278" s="11">
        <v>-9.43510150909423</v>
      </c>
      <c r="C1278" s="11" t="s">
        <v>2602</v>
      </c>
      <c r="D1278" s="11" t="s">
        <v>2602</v>
      </c>
      <c r="E1278" s="11" t="s">
        <v>1062</v>
      </c>
      <c r="F1278" s="11" t="s">
        <v>2636</v>
      </c>
      <c r="J1278" s="11">
        <v>-39.9117355346679</v>
      </c>
      <c r="K1278" s="11">
        <v>-28.8999481201171</v>
      </c>
      <c r="L1278" s="11" t="s">
        <v>2602</v>
      </c>
      <c r="M1278" s="11" t="s">
        <v>2602</v>
      </c>
      <c r="N1278" s="11" t="s">
        <v>1062</v>
      </c>
      <c r="O1278" s="11" t="s">
        <v>2636</v>
      </c>
    </row>
    <row r="1279">
      <c r="A1279" s="11">
        <v>6.06826829910278</v>
      </c>
      <c r="B1279" s="11">
        <v>-8.35526752471923</v>
      </c>
      <c r="C1279" s="11" t="s">
        <v>2602</v>
      </c>
      <c r="D1279" s="11" t="s">
        <v>2602</v>
      </c>
      <c r="E1279" s="11" t="s">
        <v>1062</v>
      </c>
      <c r="F1279" s="11" t="s">
        <v>2637</v>
      </c>
      <c r="J1279" s="11">
        <v>-31.1954402923584</v>
      </c>
      <c r="K1279" s="11">
        <v>-26.0166339874267</v>
      </c>
      <c r="L1279" s="11" t="s">
        <v>2602</v>
      </c>
      <c r="M1279" s="11" t="s">
        <v>2602</v>
      </c>
      <c r="N1279" s="11" t="s">
        <v>1062</v>
      </c>
      <c r="O1279" s="11" t="s">
        <v>2637</v>
      </c>
    </row>
    <row r="1280">
      <c r="A1280" s="11">
        <v>-15.7219629287719</v>
      </c>
      <c r="B1280" s="11">
        <v>-7.675705909729</v>
      </c>
      <c r="C1280" s="11" t="s">
        <v>2602</v>
      </c>
      <c r="D1280" s="11" t="s">
        <v>2602</v>
      </c>
      <c r="E1280" s="11" t="s">
        <v>1062</v>
      </c>
      <c r="F1280" s="11" t="s">
        <v>2638</v>
      </c>
      <c r="J1280" s="11">
        <v>39.6971168518066</v>
      </c>
      <c r="K1280" s="11">
        <v>-20.1806049346923</v>
      </c>
      <c r="L1280" s="11" t="s">
        <v>2602</v>
      </c>
      <c r="M1280" s="11" t="s">
        <v>2602</v>
      </c>
      <c r="N1280" s="11" t="s">
        <v>1062</v>
      </c>
      <c r="O1280" s="11" t="s">
        <v>2638</v>
      </c>
    </row>
    <row r="1281">
      <c r="A1281" s="11">
        <v>10.1523094177246</v>
      </c>
      <c r="B1281" s="11">
        <v>-8.91732215881347</v>
      </c>
      <c r="C1281" s="11" t="s">
        <v>2602</v>
      </c>
      <c r="D1281" s="11" t="s">
        <v>2602</v>
      </c>
      <c r="E1281" s="11" t="s">
        <v>1062</v>
      </c>
      <c r="F1281" s="11" t="s">
        <v>2639</v>
      </c>
      <c r="J1281" s="11">
        <v>-13.4487123489379</v>
      </c>
      <c r="K1281" s="11">
        <v>-13.9605226516723</v>
      </c>
      <c r="L1281" s="11" t="s">
        <v>2602</v>
      </c>
      <c r="M1281" s="11" t="s">
        <v>2602</v>
      </c>
      <c r="N1281" s="11" t="s">
        <v>1062</v>
      </c>
      <c r="O1281" s="11" t="s">
        <v>2639</v>
      </c>
    </row>
    <row r="1282">
      <c r="A1282" s="11">
        <v>13.0850315093994</v>
      </c>
      <c r="B1282" s="11">
        <v>-11.9230804443359</v>
      </c>
      <c r="C1282" s="11" t="s">
        <v>2602</v>
      </c>
      <c r="D1282" s="11" t="s">
        <v>2602</v>
      </c>
      <c r="E1282" s="11" t="s">
        <v>1062</v>
      </c>
      <c r="F1282" s="11" t="s">
        <v>2640</v>
      </c>
      <c r="J1282" s="11">
        <v>-34.9159355163574</v>
      </c>
      <c r="K1282" s="11">
        <v>-29.1193199157714</v>
      </c>
      <c r="L1282" s="11" t="s">
        <v>2602</v>
      </c>
      <c r="M1282" s="11" t="s">
        <v>2602</v>
      </c>
      <c r="N1282" s="11" t="s">
        <v>1062</v>
      </c>
      <c r="O1282" s="11" t="s">
        <v>2640</v>
      </c>
    </row>
    <row r="1283">
      <c r="A1283" s="11">
        <v>-5.46592283248901</v>
      </c>
      <c r="B1283" s="11">
        <v>12.5697793960571</v>
      </c>
      <c r="C1283" s="11" t="s">
        <v>1061</v>
      </c>
      <c r="D1283" s="11" t="s">
        <v>1061</v>
      </c>
      <c r="E1283" s="11" t="s">
        <v>1062</v>
      </c>
      <c r="F1283" s="11" t="s">
        <v>2641</v>
      </c>
      <c r="J1283" s="11">
        <v>-8.85900211334228</v>
      </c>
      <c r="K1283" s="11">
        <v>11.4301595687866</v>
      </c>
      <c r="L1283" s="11" t="s">
        <v>1061</v>
      </c>
      <c r="M1283" s="11" t="s">
        <v>1061</v>
      </c>
      <c r="N1283" s="11" t="s">
        <v>1062</v>
      </c>
      <c r="O1283" s="11" t="s">
        <v>2641</v>
      </c>
    </row>
    <row r="1284">
      <c r="A1284" s="11">
        <v>-43.8989601135253</v>
      </c>
      <c r="B1284" s="11">
        <v>-29.7418479919433</v>
      </c>
      <c r="C1284" s="11" t="s">
        <v>1061</v>
      </c>
      <c r="D1284" s="11" t="s">
        <v>1061</v>
      </c>
      <c r="E1284" s="11" t="s">
        <v>1062</v>
      </c>
      <c r="F1284" s="11" t="s">
        <v>2642</v>
      </c>
      <c r="J1284" s="11">
        <v>-8.00450038909912</v>
      </c>
      <c r="K1284" s="11">
        <v>19.9921112060546</v>
      </c>
      <c r="L1284" s="11" t="s">
        <v>1061</v>
      </c>
      <c r="M1284" s="11" t="s">
        <v>1061</v>
      </c>
      <c r="N1284" s="11" t="s">
        <v>1062</v>
      </c>
      <c r="O1284" s="11" t="s">
        <v>2642</v>
      </c>
    </row>
    <row r="1285">
      <c r="A1285" s="11">
        <v>-6.59927225112915</v>
      </c>
      <c r="B1285" s="11">
        <v>17.6254005432128</v>
      </c>
      <c r="C1285" s="11" t="s">
        <v>1061</v>
      </c>
      <c r="D1285" s="11" t="s">
        <v>1061</v>
      </c>
      <c r="E1285" s="11" t="s">
        <v>1062</v>
      </c>
      <c r="F1285" s="11" t="s">
        <v>2644</v>
      </c>
      <c r="J1285" s="11">
        <v>48.1216926574707</v>
      </c>
      <c r="K1285" s="11">
        <v>-19.0761604309082</v>
      </c>
      <c r="L1285" s="11" t="s">
        <v>1061</v>
      </c>
      <c r="M1285" s="11" t="s">
        <v>1061</v>
      </c>
      <c r="N1285" s="11" t="s">
        <v>1062</v>
      </c>
      <c r="O1285" s="11" t="s">
        <v>2644</v>
      </c>
    </row>
    <row r="1286">
      <c r="A1286" s="11">
        <v>38.2588806152343</v>
      </c>
      <c r="B1286" s="11">
        <v>-3.75792145729064</v>
      </c>
      <c r="C1286" s="11" t="s">
        <v>1061</v>
      </c>
      <c r="D1286" s="11" t="s">
        <v>1061</v>
      </c>
      <c r="E1286" s="11" t="s">
        <v>1062</v>
      </c>
      <c r="F1286" s="11" t="s">
        <v>2646</v>
      </c>
      <c r="J1286" s="11">
        <v>-20.3733177185058</v>
      </c>
      <c r="K1286" s="11">
        <v>21.9195365905761</v>
      </c>
      <c r="L1286" s="11" t="s">
        <v>1061</v>
      </c>
      <c r="M1286" s="11" t="s">
        <v>1061</v>
      </c>
      <c r="N1286" s="11" t="s">
        <v>1062</v>
      </c>
      <c r="O1286" s="11" t="s">
        <v>2646</v>
      </c>
    </row>
    <row r="1287">
      <c r="A1287" s="11">
        <v>13.3429279327392</v>
      </c>
      <c r="B1287" s="11">
        <v>14.5885515213012</v>
      </c>
      <c r="C1287" s="11" t="s">
        <v>1061</v>
      </c>
      <c r="D1287" s="11" t="s">
        <v>1061</v>
      </c>
      <c r="E1287" s="11" t="s">
        <v>1062</v>
      </c>
      <c r="F1287" s="11" t="s">
        <v>2647</v>
      </c>
      <c r="J1287" s="11">
        <v>-7.96809196472168</v>
      </c>
      <c r="K1287" s="11">
        <v>15.0866174697875</v>
      </c>
      <c r="L1287" s="11" t="s">
        <v>1061</v>
      </c>
      <c r="M1287" s="11" t="s">
        <v>1061</v>
      </c>
      <c r="N1287" s="11" t="s">
        <v>1062</v>
      </c>
      <c r="O1287" s="11" t="s">
        <v>2647</v>
      </c>
    </row>
    <row r="1288">
      <c r="A1288" s="11">
        <v>38.4855842590332</v>
      </c>
      <c r="B1288" s="11">
        <v>-4.01441812515258</v>
      </c>
      <c r="C1288" s="11" t="s">
        <v>1061</v>
      </c>
      <c r="D1288" s="11" t="s">
        <v>1061</v>
      </c>
      <c r="E1288" s="11" t="s">
        <v>1062</v>
      </c>
      <c r="F1288" s="11" t="s">
        <v>2648</v>
      </c>
      <c r="J1288" s="11">
        <v>-20.1198234558105</v>
      </c>
      <c r="K1288" s="11">
        <v>21.8366222381591</v>
      </c>
      <c r="L1288" s="11" t="s">
        <v>1061</v>
      </c>
      <c r="M1288" s="11" t="s">
        <v>1061</v>
      </c>
      <c r="N1288" s="11" t="s">
        <v>1062</v>
      </c>
      <c r="O1288" s="11" t="s">
        <v>2648</v>
      </c>
    </row>
    <row r="1289">
      <c r="A1289" s="11">
        <v>-44.4140739440918</v>
      </c>
      <c r="B1289" s="11">
        <v>-30.7020263671875</v>
      </c>
      <c r="C1289" s="11" t="s">
        <v>1061</v>
      </c>
      <c r="D1289" s="11" t="s">
        <v>1061</v>
      </c>
      <c r="E1289" s="11" t="s">
        <v>1062</v>
      </c>
      <c r="F1289" s="11" t="s">
        <v>2649</v>
      </c>
      <c r="J1289" s="11">
        <v>-8.08088207244873</v>
      </c>
      <c r="K1289" s="11">
        <v>19.1517467498779</v>
      </c>
      <c r="L1289" s="11" t="s">
        <v>1061</v>
      </c>
      <c r="M1289" s="11" t="s">
        <v>1061</v>
      </c>
      <c r="N1289" s="11" t="s">
        <v>1062</v>
      </c>
      <c r="O1289" s="11" t="s">
        <v>2649</v>
      </c>
    </row>
    <row r="1290">
      <c r="A1290" s="11">
        <v>11.1237201690673</v>
      </c>
      <c r="B1290" s="11">
        <v>19.1539001464843</v>
      </c>
      <c r="C1290" s="11" t="s">
        <v>1061</v>
      </c>
      <c r="D1290" s="11" t="s">
        <v>1061</v>
      </c>
      <c r="E1290" s="11" t="s">
        <v>1062</v>
      </c>
      <c r="F1290" s="11" t="s">
        <v>2650</v>
      </c>
      <c r="J1290" s="11">
        <v>-15.7207412719726</v>
      </c>
      <c r="K1290" s="11">
        <v>4.10128355026245</v>
      </c>
      <c r="L1290" s="11" t="s">
        <v>1061</v>
      </c>
      <c r="M1290" s="11" t="s">
        <v>1061</v>
      </c>
      <c r="N1290" s="11" t="s">
        <v>1062</v>
      </c>
      <c r="O1290" s="11" t="s">
        <v>2650</v>
      </c>
    </row>
    <row r="1291">
      <c r="A1291" s="11">
        <v>9.44407558441162</v>
      </c>
      <c r="B1291" s="11">
        <v>19.7432498931884</v>
      </c>
      <c r="C1291" s="11" t="s">
        <v>1061</v>
      </c>
      <c r="D1291" s="11" t="s">
        <v>1061</v>
      </c>
      <c r="E1291" s="11" t="s">
        <v>1062</v>
      </c>
      <c r="F1291" s="11" t="s">
        <v>2651</v>
      </c>
      <c r="J1291" s="11">
        <v>24.6595287322998</v>
      </c>
      <c r="K1291" s="11">
        <v>-1.43252897262573</v>
      </c>
      <c r="L1291" s="11" t="s">
        <v>1061</v>
      </c>
      <c r="M1291" s="11" t="s">
        <v>1061</v>
      </c>
      <c r="N1291" s="11" t="s">
        <v>1062</v>
      </c>
      <c r="O1291" s="11" t="s">
        <v>2651</v>
      </c>
    </row>
    <row r="1292">
      <c r="A1292" s="11">
        <v>29.6374855041503</v>
      </c>
      <c r="B1292" s="11">
        <v>52.5805397033691</v>
      </c>
      <c r="C1292" s="11" t="s">
        <v>1061</v>
      </c>
      <c r="D1292" s="11" t="s">
        <v>1061</v>
      </c>
      <c r="E1292" s="11" t="s">
        <v>1062</v>
      </c>
      <c r="F1292" s="11" t="s">
        <v>2652</v>
      </c>
      <c r="J1292" s="11">
        <v>-20.0636024475097</v>
      </c>
      <c r="K1292" s="11">
        <v>26.2931365966796</v>
      </c>
      <c r="L1292" s="11" t="s">
        <v>1061</v>
      </c>
      <c r="M1292" s="11" t="s">
        <v>1061</v>
      </c>
      <c r="N1292" s="11" t="s">
        <v>1062</v>
      </c>
      <c r="O1292" s="11" t="s">
        <v>2652</v>
      </c>
    </row>
    <row r="1293">
      <c r="A1293" s="11">
        <v>1.13687300682067</v>
      </c>
      <c r="B1293" s="11">
        <v>12.3302268981933</v>
      </c>
      <c r="C1293" s="11" t="s">
        <v>1061</v>
      </c>
      <c r="D1293" s="11" t="s">
        <v>1061</v>
      </c>
      <c r="E1293" s="11" t="s">
        <v>1062</v>
      </c>
      <c r="F1293" s="11" t="s">
        <v>2653</v>
      </c>
      <c r="J1293" s="11">
        <v>-14.0608377456665</v>
      </c>
      <c r="K1293" s="11">
        <v>21.8731307983398</v>
      </c>
      <c r="L1293" s="11" t="s">
        <v>1061</v>
      </c>
      <c r="M1293" s="11" t="s">
        <v>1061</v>
      </c>
      <c r="N1293" s="11" t="s">
        <v>1062</v>
      </c>
      <c r="O1293" s="11" t="s">
        <v>2653</v>
      </c>
    </row>
    <row r="1294">
      <c r="A1294" s="11">
        <v>-30.5363521575927</v>
      </c>
      <c r="B1294" s="11">
        <v>1.17515456676483</v>
      </c>
      <c r="C1294" s="11" t="s">
        <v>1061</v>
      </c>
      <c r="D1294" s="11" t="s">
        <v>1061</v>
      </c>
      <c r="E1294" s="11" t="s">
        <v>1062</v>
      </c>
      <c r="F1294" s="11" t="s">
        <v>2655</v>
      </c>
      <c r="J1294" s="11">
        <v>25.8580799102783</v>
      </c>
      <c r="K1294" s="11">
        <v>1.75801241397857</v>
      </c>
      <c r="L1294" s="11" t="s">
        <v>1061</v>
      </c>
      <c r="M1294" s="11" t="s">
        <v>1061</v>
      </c>
      <c r="N1294" s="11" t="s">
        <v>1062</v>
      </c>
      <c r="O1294" s="11" t="s">
        <v>2655</v>
      </c>
    </row>
    <row r="1295">
      <c r="A1295" s="11">
        <v>-22.0673599243164</v>
      </c>
      <c r="B1295" s="11">
        <v>67.8888854980468</v>
      </c>
      <c r="C1295" s="11" t="s">
        <v>1061</v>
      </c>
      <c r="D1295" s="11" t="s">
        <v>1061</v>
      </c>
      <c r="E1295" s="11" t="s">
        <v>1062</v>
      </c>
      <c r="F1295" s="11" t="s">
        <v>2656</v>
      </c>
      <c r="J1295" s="11">
        <v>28.2016906738281</v>
      </c>
      <c r="K1295" s="11">
        <v>-5.10883331298828</v>
      </c>
      <c r="L1295" s="11" t="s">
        <v>1061</v>
      </c>
      <c r="M1295" s="11" t="s">
        <v>1061</v>
      </c>
      <c r="N1295" s="11" t="s">
        <v>1062</v>
      </c>
      <c r="O1295" s="11" t="s">
        <v>2656</v>
      </c>
    </row>
    <row r="1296">
      <c r="A1296" s="11">
        <v>-2.42088866233825</v>
      </c>
      <c r="B1296" s="11">
        <v>34.8932380676269</v>
      </c>
      <c r="C1296" s="11" t="s">
        <v>1061</v>
      </c>
      <c r="D1296" s="11" t="s">
        <v>1061</v>
      </c>
      <c r="E1296" s="11" t="s">
        <v>1062</v>
      </c>
      <c r="F1296" s="11" t="s">
        <v>2657</v>
      </c>
      <c r="J1296" s="11">
        <v>-18.183214187622</v>
      </c>
      <c r="K1296" s="11">
        <v>18.7522277832031</v>
      </c>
      <c r="L1296" s="11" t="s">
        <v>1061</v>
      </c>
      <c r="M1296" s="11" t="s">
        <v>1061</v>
      </c>
      <c r="N1296" s="11" t="s">
        <v>1062</v>
      </c>
      <c r="O1296" s="11" t="s">
        <v>2657</v>
      </c>
    </row>
    <row r="1297">
      <c r="A1297" s="11">
        <v>-3.26531386375427</v>
      </c>
      <c r="B1297" s="11">
        <v>31.7301387786865</v>
      </c>
      <c r="C1297" s="11" t="s">
        <v>1061</v>
      </c>
      <c r="D1297" s="11" t="s">
        <v>1061</v>
      </c>
      <c r="E1297" s="11" t="s">
        <v>1062</v>
      </c>
      <c r="F1297" s="11" t="s">
        <v>2658</v>
      </c>
      <c r="J1297" s="11">
        <v>-12.8423528671264</v>
      </c>
      <c r="K1297" s="11">
        <v>18.9878730773925</v>
      </c>
      <c r="L1297" s="11" t="s">
        <v>1061</v>
      </c>
      <c r="M1297" s="11" t="s">
        <v>1061</v>
      </c>
      <c r="N1297" s="11" t="s">
        <v>1062</v>
      </c>
      <c r="O1297" s="11" t="s">
        <v>2658</v>
      </c>
    </row>
    <row r="1298">
      <c r="A1298" s="11">
        <v>30.3642330169677</v>
      </c>
      <c r="B1298" s="11">
        <v>9.56414318084716</v>
      </c>
      <c r="C1298" s="11" t="s">
        <v>1061</v>
      </c>
      <c r="D1298" s="11" t="s">
        <v>1061</v>
      </c>
      <c r="E1298" s="11" t="s">
        <v>1062</v>
      </c>
      <c r="F1298" s="11" t="s">
        <v>2659</v>
      </c>
      <c r="J1298" s="11">
        <v>-29.8294563293457</v>
      </c>
      <c r="K1298" s="11">
        <v>19.9867858886718</v>
      </c>
      <c r="L1298" s="11" t="s">
        <v>1061</v>
      </c>
      <c r="M1298" s="11" t="s">
        <v>1061</v>
      </c>
      <c r="N1298" s="11" t="s">
        <v>1062</v>
      </c>
      <c r="O1298" s="11" t="s">
        <v>2659</v>
      </c>
    </row>
    <row r="1299">
      <c r="A1299" s="11">
        <v>11.865234375</v>
      </c>
      <c r="B1299" s="11">
        <v>18.7500133514404</v>
      </c>
      <c r="C1299" s="11" t="s">
        <v>1061</v>
      </c>
      <c r="D1299" s="11" t="s">
        <v>1061</v>
      </c>
      <c r="E1299" s="11" t="s">
        <v>1062</v>
      </c>
      <c r="F1299" s="11" t="s">
        <v>2660</v>
      </c>
      <c r="J1299" s="11">
        <v>-15.984444618225</v>
      </c>
      <c r="K1299" s="11">
        <v>3.83174085617065</v>
      </c>
      <c r="L1299" s="11" t="s">
        <v>1061</v>
      </c>
      <c r="M1299" s="11" t="s">
        <v>1061</v>
      </c>
      <c r="N1299" s="11" t="s">
        <v>1062</v>
      </c>
      <c r="O1299" s="11" t="s">
        <v>2660</v>
      </c>
    </row>
    <row r="1300">
      <c r="A1300" s="11">
        <v>83.7716445922851</v>
      </c>
      <c r="B1300" s="11">
        <v>-13.7131023406982</v>
      </c>
      <c r="C1300" s="11" t="s">
        <v>1061</v>
      </c>
      <c r="D1300" s="11" t="s">
        <v>1061</v>
      </c>
      <c r="E1300" s="11" t="s">
        <v>1062</v>
      </c>
      <c r="F1300" s="11" t="s">
        <v>2661</v>
      </c>
      <c r="J1300" s="11">
        <v>-35.7205276489257</v>
      </c>
      <c r="K1300" s="11">
        <v>32.6306800842285</v>
      </c>
      <c r="L1300" s="11" t="s">
        <v>1061</v>
      </c>
      <c r="M1300" s="11" t="s">
        <v>1061</v>
      </c>
      <c r="N1300" s="11" t="s">
        <v>1062</v>
      </c>
      <c r="O1300" s="11" t="s">
        <v>2661</v>
      </c>
    </row>
    <row r="1301">
      <c r="A1301" s="11">
        <v>11.1237201690673</v>
      </c>
      <c r="B1301" s="11">
        <v>19.1539001464843</v>
      </c>
      <c r="C1301" s="11" t="s">
        <v>1061</v>
      </c>
      <c r="D1301" s="11" t="s">
        <v>1061</v>
      </c>
      <c r="E1301" s="11" t="s">
        <v>1062</v>
      </c>
      <c r="F1301" s="11" t="s">
        <v>2662</v>
      </c>
      <c r="J1301" s="11">
        <v>-16.1723117828369</v>
      </c>
      <c r="K1301" s="11">
        <v>4.64891481399536</v>
      </c>
      <c r="L1301" s="11" t="s">
        <v>1061</v>
      </c>
      <c r="M1301" s="11" t="s">
        <v>1061</v>
      </c>
      <c r="N1301" s="11" t="s">
        <v>1062</v>
      </c>
      <c r="O1301" s="11" t="s">
        <v>2662</v>
      </c>
    </row>
    <row r="1302">
      <c r="A1302" s="11">
        <v>29.4877490997314</v>
      </c>
      <c r="B1302" s="11">
        <v>53.2779884338378</v>
      </c>
      <c r="C1302" s="11" t="s">
        <v>1061</v>
      </c>
      <c r="D1302" s="11" t="s">
        <v>1061</v>
      </c>
      <c r="E1302" s="11" t="s">
        <v>1062</v>
      </c>
      <c r="F1302" s="11" t="s">
        <v>2663</v>
      </c>
      <c r="J1302" s="11">
        <v>-20.6858196258544</v>
      </c>
      <c r="K1302" s="11">
        <v>26.7503585815429</v>
      </c>
      <c r="L1302" s="11" t="s">
        <v>1061</v>
      </c>
      <c r="M1302" s="11" t="s">
        <v>1061</v>
      </c>
      <c r="N1302" s="11" t="s">
        <v>1062</v>
      </c>
      <c r="O1302" s="11" t="s">
        <v>2663</v>
      </c>
    </row>
    <row r="1303">
      <c r="A1303" s="11">
        <v>26.8945636749267</v>
      </c>
      <c r="B1303" s="11">
        <v>6.29014587402343</v>
      </c>
      <c r="C1303" s="11" t="s">
        <v>1061</v>
      </c>
      <c r="D1303" s="11" t="s">
        <v>1061</v>
      </c>
      <c r="E1303" s="11" t="s">
        <v>1062</v>
      </c>
      <c r="F1303" s="11" t="s">
        <v>2664</v>
      </c>
      <c r="J1303" s="11">
        <v>-25.0473136901855</v>
      </c>
      <c r="K1303" s="11">
        <v>18.373212814331</v>
      </c>
      <c r="L1303" s="11" t="s">
        <v>1061</v>
      </c>
      <c r="M1303" s="11" t="s">
        <v>1061</v>
      </c>
      <c r="N1303" s="11" t="s">
        <v>1062</v>
      </c>
      <c r="O1303" s="11" t="s">
        <v>2664</v>
      </c>
    </row>
    <row r="1304">
      <c r="A1304" s="11">
        <v>-44.4140739440918</v>
      </c>
      <c r="B1304" s="11">
        <v>-30.7020263671875</v>
      </c>
      <c r="C1304" s="11" t="s">
        <v>1061</v>
      </c>
      <c r="D1304" s="11" t="s">
        <v>1061</v>
      </c>
      <c r="E1304" s="11" t="s">
        <v>1062</v>
      </c>
      <c r="F1304" s="11" t="s">
        <v>2665</v>
      </c>
      <c r="J1304" s="11">
        <v>-8.56381320953369</v>
      </c>
      <c r="K1304" s="11">
        <v>19.3951053619384</v>
      </c>
      <c r="L1304" s="11" t="s">
        <v>1061</v>
      </c>
      <c r="M1304" s="11" t="s">
        <v>1061</v>
      </c>
      <c r="N1304" s="11" t="s">
        <v>1062</v>
      </c>
      <c r="O1304" s="11" t="s">
        <v>2665</v>
      </c>
    </row>
    <row r="1305">
      <c r="A1305" s="11">
        <v>-20.9520893096923</v>
      </c>
      <c r="B1305" s="11">
        <v>68.2499008178711</v>
      </c>
      <c r="C1305" s="11" t="s">
        <v>1061</v>
      </c>
      <c r="D1305" s="11" t="s">
        <v>1061</v>
      </c>
      <c r="E1305" s="11" t="s">
        <v>1062</v>
      </c>
      <c r="F1305" s="11" t="s">
        <v>2666</v>
      </c>
      <c r="J1305" s="11">
        <v>27.7214202880859</v>
      </c>
      <c r="K1305" s="11">
        <v>-5.82814264297485</v>
      </c>
      <c r="L1305" s="11" t="s">
        <v>1061</v>
      </c>
      <c r="M1305" s="11" t="s">
        <v>1061</v>
      </c>
      <c r="N1305" s="11" t="s">
        <v>1062</v>
      </c>
      <c r="O1305" s="11" t="s">
        <v>2666</v>
      </c>
    </row>
    <row r="1306">
      <c r="A1306" s="11">
        <v>-44.4140739440918</v>
      </c>
      <c r="B1306" s="11">
        <v>-30.7020263671875</v>
      </c>
      <c r="C1306" s="11" t="s">
        <v>1061</v>
      </c>
      <c r="D1306" s="11" t="s">
        <v>1061</v>
      </c>
      <c r="E1306" s="11" t="s">
        <v>1062</v>
      </c>
      <c r="F1306" s="11" t="s">
        <v>2667</v>
      </c>
      <c r="J1306" s="11">
        <v>-8.321138381958</v>
      </c>
      <c r="K1306" s="11">
        <v>19.2168655395507</v>
      </c>
      <c r="L1306" s="11" t="s">
        <v>1061</v>
      </c>
      <c r="M1306" s="11" t="s">
        <v>1061</v>
      </c>
      <c r="N1306" s="11" t="s">
        <v>1062</v>
      </c>
      <c r="O1306" s="11" t="s">
        <v>2667</v>
      </c>
    </row>
    <row r="1307">
      <c r="A1307" s="11">
        <v>17.3709316253662</v>
      </c>
      <c r="B1307" s="11">
        <v>-4.97134494781494</v>
      </c>
      <c r="C1307" s="11" t="s">
        <v>1061</v>
      </c>
      <c r="D1307" s="11" t="s">
        <v>1061</v>
      </c>
      <c r="E1307" s="11" t="s">
        <v>1062</v>
      </c>
      <c r="F1307" s="11" t="s">
        <v>2668</v>
      </c>
      <c r="J1307" s="11">
        <v>-4.82855510711669</v>
      </c>
      <c r="K1307" s="11">
        <v>8.47134685516357</v>
      </c>
      <c r="L1307" s="11" t="s">
        <v>1061</v>
      </c>
      <c r="M1307" s="11" t="s">
        <v>1061</v>
      </c>
      <c r="N1307" s="11" t="s">
        <v>1062</v>
      </c>
      <c r="O1307" s="11" t="s">
        <v>2668</v>
      </c>
    </row>
    <row r="1308">
      <c r="A1308" s="11">
        <v>-8.8621129989624</v>
      </c>
      <c r="B1308" s="11">
        <v>31.1826095581054</v>
      </c>
      <c r="C1308" s="11" t="s">
        <v>1061</v>
      </c>
      <c r="D1308" s="11" t="s">
        <v>1061</v>
      </c>
      <c r="E1308" s="11" t="s">
        <v>1062</v>
      </c>
      <c r="F1308" s="11" t="s">
        <v>2669</v>
      </c>
      <c r="J1308" s="11">
        <v>-23.3899307250976</v>
      </c>
      <c r="K1308" s="11">
        <v>24.2865447998046</v>
      </c>
      <c r="L1308" s="11" t="s">
        <v>1061</v>
      </c>
      <c r="M1308" s="11" t="s">
        <v>1061</v>
      </c>
      <c r="N1308" s="11" t="s">
        <v>1062</v>
      </c>
      <c r="O1308" s="11" t="s">
        <v>2669</v>
      </c>
    </row>
    <row r="1309">
      <c r="A1309" s="11">
        <v>-22.0673599243164</v>
      </c>
      <c r="B1309" s="11">
        <v>67.8888854980468</v>
      </c>
      <c r="C1309" s="11" t="s">
        <v>1061</v>
      </c>
      <c r="D1309" s="11" t="s">
        <v>1061</v>
      </c>
      <c r="E1309" s="11" t="s">
        <v>1062</v>
      </c>
      <c r="F1309" s="11" t="s">
        <v>2670</v>
      </c>
      <c r="J1309" s="11">
        <v>28.2016906738281</v>
      </c>
      <c r="K1309" s="11">
        <v>-5.10883331298828</v>
      </c>
      <c r="L1309" s="11" t="s">
        <v>1061</v>
      </c>
      <c r="M1309" s="11" t="s">
        <v>1061</v>
      </c>
      <c r="N1309" s="11" t="s">
        <v>1062</v>
      </c>
      <c r="O1309" s="11" t="s">
        <v>2670</v>
      </c>
    </row>
    <row r="1310">
      <c r="A1310" s="11">
        <v>13.3431739807128</v>
      </c>
      <c r="B1310" s="11">
        <v>14.5885534286499</v>
      </c>
      <c r="C1310" s="11" t="s">
        <v>1061</v>
      </c>
      <c r="D1310" s="11" t="s">
        <v>1061</v>
      </c>
      <c r="E1310" s="11" t="s">
        <v>1062</v>
      </c>
      <c r="F1310" s="11" t="s">
        <v>2671</v>
      </c>
      <c r="J1310" s="11">
        <v>-7.96551275253295</v>
      </c>
      <c r="K1310" s="11">
        <v>15.0880651473999</v>
      </c>
      <c r="L1310" s="11" t="s">
        <v>1061</v>
      </c>
      <c r="M1310" s="11" t="s">
        <v>1061</v>
      </c>
      <c r="N1310" s="11" t="s">
        <v>1062</v>
      </c>
      <c r="O1310" s="11" t="s">
        <v>2671</v>
      </c>
    </row>
    <row r="1311">
      <c r="A1311" s="11">
        <v>-31.3243503570556</v>
      </c>
      <c r="B1311" s="11">
        <v>0.763651311397552</v>
      </c>
      <c r="C1311" s="11" t="s">
        <v>1061</v>
      </c>
      <c r="D1311" s="11" t="s">
        <v>1061</v>
      </c>
      <c r="E1311" s="11" t="s">
        <v>1062</v>
      </c>
      <c r="F1311" s="11" t="s">
        <v>2672</v>
      </c>
      <c r="J1311" s="11">
        <v>25.4494094848632</v>
      </c>
      <c r="K1311" s="11">
        <v>1.80531966686248</v>
      </c>
      <c r="L1311" s="11" t="s">
        <v>1061</v>
      </c>
      <c r="M1311" s="11" t="s">
        <v>1061</v>
      </c>
      <c r="N1311" s="11" t="s">
        <v>1062</v>
      </c>
      <c r="O1311" s="11" t="s">
        <v>2672</v>
      </c>
    </row>
    <row r="1312">
      <c r="A1312" s="11">
        <v>38.4855842590332</v>
      </c>
      <c r="B1312" s="11">
        <v>-4.01441812515258</v>
      </c>
      <c r="C1312" s="11" t="s">
        <v>1061</v>
      </c>
      <c r="D1312" s="11" t="s">
        <v>1061</v>
      </c>
      <c r="E1312" s="11" t="s">
        <v>1062</v>
      </c>
      <c r="F1312" s="11" t="s">
        <v>2673</v>
      </c>
      <c r="J1312" s="11">
        <v>-20.1197872161865</v>
      </c>
      <c r="K1312" s="11">
        <v>21.8365421295166</v>
      </c>
      <c r="L1312" s="11" t="s">
        <v>1061</v>
      </c>
      <c r="M1312" s="11" t="s">
        <v>1061</v>
      </c>
      <c r="N1312" s="11" t="s">
        <v>1062</v>
      </c>
      <c r="O1312" s="11" t="s">
        <v>2673</v>
      </c>
    </row>
    <row r="1313">
      <c r="A1313" s="11">
        <v>-43.8989601135253</v>
      </c>
      <c r="B1313" s="11">
        <v>-29.7418479919433</v>
      </c>
      <c r="C1313" s="11" t="s">
        <v>1061</v>
      </c>
      <c r="D1313" s="11" t="s">
        <v>1061</v>
      </c>
      <c r="E1313" s="11" t="s">
        <v>1062</v>
      </c>
      <c r="F1313" s="11" t="s">
        <v>2674</v>
      </c>
      <c r="J1313" s="11">
        <v>-8.27538776397705</v>
      </c>
      <c r="K1313" s="11">
        <v>19.9992542266845</v>
      </c>
      <c r="L1313" s="11" t="s">
        <v>1061</v>
      </c>
      <c r="M1313" s="11" t="s">
        <v>1061</v>
      </c>
      <c r="N1313" s="11" t="s">
        <v>1062</v>
      </c>
      <c r="O1313" s="11" t="s">
        <v>2674</v>
      </c>
    </row>
    <row r="1314">
      <c r="A1314" s="11">
        <v>16.5408306121826</v>
      </c>
      <c r="B1314" s="11">
        <v>62.3149032592773</v>
      </c>
      <c r="C1314" s="11" t="s">
        <v>1061</v>
      </c>
      <c r="D1314" s="11" t="s">
        <v>1061</v>
      </c>
      <c r="E1314" s="11" t="s">
        <v>1062</v>
      </c>
      <c r="F1314" s="11" t="s">
        <v>2675</v>
      </c>
      <c r="J1314" s="11">
        <v>-16.2853984832763</v>
      </c>
      <c r="K1314" s="11">
        <v>19.6636047363281</v>
      </c>
      <c r="L1314" s="11" t="s">
        <v>1061</v>
      </c>
      <c r="M1314" s="11" t="s">
        <v>1061</v>
      </c>
      <c r="N1314" s="11" t="s">
        <v>1062</v>
      </c>
      <c r="O1314" s="11" t="s">
        <v>2675</v>
      </c>
    </row>
    <row r="1315">
      <c r="A1315" s="11">
        <v>12.1991777420043</v>
      </c>
      <c r="B1315" s="11">
        <v>19.4026947021484</v>
      </c>
      <c r="C1315" s="11" t="s">
        <v>1061</v>
      </c>
      <c r="D1315" s="11" t="s">
        <v>1061</v>
      </c>
      <c r="E1315" s="11" t="s">
        <v>1062</v>
      </c>
      <c r="F1315" s="11" t="s">
        <v>2676</v>
      </c>
      <c r="J1315" s="11">
        <v>-15.8171033859252</v>
      </c>
      <c r="K1315" s="11">
        <v>4.54500246047973</v>
      </c>
      <c r="L1315" s="11" t="s">
        <v>1061</v>
      </c>
      <c r="M1315" s="11" t="s">
        <v>1061</v>
      </c>
      <c r="N1315" s="11" t="s">
        <v>1062</v>
      </c>
      <c r="O1315" s="11" t="s">
        <v>2676</v>
      </c>
    </row>
    <row r="1316">
      <c r="A1316" s="11">
        <v>-31.3243503570556</v>
      </c>
      <c r="B1316" s="11">
        <v>0.763651311397552</v>
      </c>
      <c r="C1316" s="11" t="s">
        <v>1061</v>
      </c>
      <c r="D1316" s="11" t="s">
        <v>1061</v>
      </c>
      <c r="E1316" s="11" t="s">
        <v>1062</v>
      </c>
      <c r="F1316" s="11" t="s">
        <v>2677</v>
      </c>
      <c r="J1316" s="11">
        <v>25.4476356506347</v>
      </c>
      <c r="K1316" s="11">
        <v>1.80436730384826</v>
      </c>
      <c r="L1316" s="11" t="s">
        <v>1061</v>
      </c>
      <c r="M1316" s="11" t="s">
        <v>1061</v>
      </c>
      <c r="N1316" s="11" t="s">
        <v>1062</v>
      </c>
      <c r="O1316" s="11" t="s">
        <v>2677</v>
      </c>
    </row>
    <row r="1317">
      <c r="A1317" s="11">
        <v>43.0380783081054</v>
      </c>
      <c r="B1317" s="11">
        <v>-1.08302819728851</v>
      </c>
      <c r="C1317" s="11" t="s">
        <v>1061</v>
      </c>
      <c r="D1317" s="11" t="s">
        <v>1061</v>
      </c>
      <c r="E1317" s="11" t="s">
        <v>1062</v>
      </c>
      <c r="F1317" s="11" t="s">
        <v>2678</v>
      </c>
      <c r="J1317" s="11">
        <v>7.92810630798339</v>
      </c>
      <c r="K1317" s="11">
        <v>65.4683532714843</v>
      </c>
      <c r="L1317" s="11" t="s">
        <v>1061</v>
      </c>
      <c r="M1317" s="11" t="s">
        <v>1061</v>
      </c>
      <c r="N1317" s="11" t="s">
        <v>1062</v>
      </c>
      <c r="O1317" s="11" t="s">
        <v>2678</v>
      </c>
    </row>
    <row r="1318">
      <c r="A1318" s="11">
        <v>52.3109092712402</v>
      </c>
      <c r="B1318" s="11">
        <v>16.2220478057861</v>
      </c>
      <c r="C1318" s="11" t="s">
        <v>1061</v>
      </c>
      <c r="D1318" s="11" t="s">
        <v>1061</v>
      </c>
      <c r="E1318" s="11" t="s">
        <v>1062</v>
      </c>
      <c r="F1318" s="11" t="s">
        <v>2679</v>
      </c>
      <c r="J1318" s="11">
        <v>-30.8195934295654</v>
      </c>
      <c r="K1318" s="11">
        <v>34.2700462341308</v>
      </c>
      <c r="L1318" s="11" t="s">
        <v>1061</v>
      </c>
      <c r="M1318" s="11" t="s">
        <v>1061</v>
      </c>
      <c r="N1318" s="11" t="s">
        <v>1062</v>
      </c>
      <c r="O1318" s="11" t="s">
        <v>2679</v>
      </c>
    </row>
    <row r="1319">
      <c r="A1319" s="11">
        <v>-17.7954044342041</v>
      </c>
      <c r="B1319" s="11">
        <v>-13.3739290237426</v>
      </c>
      <c r="C1319" s="11" t="s">
        <v>1061</v>
      </c>
      <c r="D1319" s="11" t="s">
        <v>1061</v>
      </c>
      <c r="E1319" s="11" t="s">
        <v>1062</v>
      </c>
      <c r="F1319" s="11" t="s">
        <v>2680</v>
      </c>
      <c r="J1319" s="11">
        <v>59.0127716064453</v>
      </c>
      <c r="K1319" s="11">
        <v>-25.9448127746582</v>
      </c>
      <c r="L1319" s="11" t="s">
        <v>1061</v>
      </c>
      <c r="M1319" s="11" t="s">
        <v>1061</v>
      </c>
      <c r="N1319" s="11" t="s">
        <v>1062</v>
      </c>
      <c r="O1319" s="11" t="s">
        <v>2680</v>
      </c>
    </row>
    <row r="1320">
      <c r="A1320" s="11">
        <v>42.1568298339843</v>
      </c>
      <c r="B1320" s="11">
        <v>-4.47306680679321</v>
      </c>
      <c r="C1320" s="11" t="s">
        <v>1061</v>
      </c>
      <c r="D1320" s="11" t="s">
        <v>1061</v>
      </c>
      <c r="E1320" s="11" t="s">
        <v>1062</v>
      </c>
      <c r="F1320" s="11" t="s">
        <v>2681</v>
      </c>
      <c r="J1320" s="11">
        <v>-33.45654296875</v>
      </c>
      <c r="K1320" s="11">
        <v>27.854356765747</v>
      </c>
      <c r="L1320" s="11" t="s">
        <v>1061</v>
      </c>
      <c r="M1320" s="11" t="s">
        <v>1061</v>
      </c>
      <c r="N1320" s="11" t="s">
        <v>1062</v>
      </c>
      <c r="O1320" s="11" t="s">
        <v>2681</v>
      </c>
    </row>
    <row r="1321">
      <c r="A1321" s="11">
        <v>-43.3626518249511</v>
      </c>
      <c r="B1321" s="11">
        <v>-30.6916694641113</v>
      </c>
      <c r="C1321" s="11" t="s">
        <v>1061</v>
      </c>
      <c r="D1321" s="11" t="s">
        <v>1061</v>
      </c>
      <c r="E1321" s="11" t="s">
        <v>1062</v>
      </c>
      <c r="F1321" s="11" t="s">
        <v>2682</v>
      </c>
      <c r="J1321" s="11">
        <v>-7.55203342437744</v>
      </c>
      <c r="K1321" s="11">
        <v>19.3426246643066</v>
      </c>
      <c r="L1321" s="11" t="s">
        <v>1061</v>
      </c>
      <c r="M1321" s="11" t="s">
        <v>1061</v>
      </c>
      <c r="N1321" s="11" t="s">
        <v>1062</v>
      </c>
      <c r="O1321" s="11" t="s">
        <v>2682</v>
      </c>
    </row>
    <row r="1322">
      <c r="A1322" s="11">
        <v>-13.9336061477661</v>
      </c>
      <c r="B1322" s="11">
        <v>59.6309356689453</v>
      </c>
      <c r="C1322" s="11" t="s">
        <v>1061</v>
      </c>
      <c r="D1322" s="11" t="s">
        <v>1061</v>
      </c>
      <c r="E1322" s="11" t="s">
        <v>1062</v>
      </c>
      <c r="F1322" s="11" t="s">
        <v>2683</v>
      </c>
      <c r="J1322" s="11">
        <v>29.4739475250244</v>
      </c>
      <c r="K1322" s="11">
        <v>3.19443869590759</v>
      </c>
      <c r="L1322" s="11" t="s">
        <v>1061</v>
      </c>
      <c r="M1322" s="11" t="s">
        <v>1061</v>
      </c>
      <c r="N1322" s="11" t="s">
        <v>1062</v>
      </c>
      <c r="O1322" s="11" t="s">
        <v>2683</v>
      </c>
    </row>
    <row r="1323">
      <c r="A1323" s="11">
        <v>-21.1241931915283</v>
      </c>
      <c r="B1323" s="11">
        <v>69.1030883789062</v>
      </c>
      <c r="C1323" s="11" t="s">
        <v>1061</v>
      </c>
      <c r="D1323" s="11" t="s">
        <v>1061</v>
      </c>
      <c r="E1323" s="11" t="s">
        <v>1062</v>
      </c>
      <c r="F1323" s="11" t="s">
        <v>2684</v>
      </c>
      <c r="J1323" s="11">
        <v>27.2183933258056</v>
      </c>
      <c r="K1323" s="11">
        <v>-5.67473173141479</v>
      </c>
      <c r="L1323" s="11" t="s">
        <v>1061</v>
      </c>
      <c r="M1323" s="11" t="s">
        <v>1061</v>
      </c>
      <c r="N1323" s="11" t="s">
        <v>1062</v>
      </c>
      <c r="O1323" s="11" t="s">
        <v>2684</v>
      </c>
    </row>
    <row r="1324">
      <c r="A1324" s="11">
        <v>-11.613974571228</v>
      </c>
      <c r="B1324" s="11">
        <v>15.4823493957519</v>
      </c>
      <c r="C1324" s="11" t="s">
        <v>1515</v>
      </c>
      <c r="D1324" s="11" t="s">
        <v>1515</v>
      </c>
      <c r="E1324" s="11" t="s">
        <v>1062</v>
      </c>
      <c r="F1324" s="11" t="s">
        <v>2685</v>
      </c>
      <c r="J1324" s="11">
        <v>53.4025268554687</v>
      </c>
      <c r="K1324" s="11">
        <v>-14.3106718063354</v>
      </c>
      <c r="L1324" s="11" t="s">
        <v>1515</v>
      </c>
      <c r="M1324" s="11" t="s">
        <v>1515</v>
      </c>
      <c r="N1324" s="11" t="s">
        <v>1062</v>
      </c>
      <c r="O1324" s="11" t="s">
        <v>2685</v>
      </c>
    </row>
    <row r="1325">
      <c r="A1325" s="11">
        <v>-10.2836647033691</v>
      </c>
      <c r="B1325" s="11">
        <v>5.66518020629882</v>
      </c>
      <c r="C1325" s="11" t="s">
        <v>1515</v>
      </c>
      <c r="D1325" s="11" t="s">
        <v>1515</v>
      </c>
      <c r="E1325" s="11" t="s">
        <v>1062</v>
      </c>
      <c r="F1325" s="11" t="s">
        <v>2686</v>
      </c>
      <c r="J1325" s="11">
        <v>-0.0461049862205982</v>
      </c>
      <c r="K1325" s="11">
        <v>-10.786244392395</v>
      </c>
      <c r="L1325" s="11" t="s">
        <v>1515</v>
      </c>
      <c r="M1325" s="11" t="s">
        <v>1515</v>
      </c>
      <c r="N1325" s="11" t="s">
        <v>1062</v>
      </c>
      <c r="O1325" s="11" t="s">
        <v>2686</v>
      </c>
    </row>
    <row r="1326">
      <c r="A1326" s="11">
        <v>67.2817077636718</v>
      </c>
      <c r="B1326" s="11">
        <v>-3.54151463508605</v>
      </c>
      <c r="C1326" s="11" t="s">
        <v>1515</v>
      </c>
      <c r="D1326" s="11" t="s">
        <v>1515</v>
      </c>
      <c r="E1326" s="11" t="s">
        <v>1062</v>
      </c>
      <c r="F1326" s="11" t="s">
        <v>2687</v>
      </c>
      <c r="J1326" s="11">
        <v>-1.78449928760528</v>
      </c>
      <c r="K1326" s="11">
        <v>63.709903717041</v>
      </c>
      <c r="L1326" s="11" t="s">
        <v>1515</v>
      </c>
      <c r="M1326" s="11" t="s">
        <v>1515</v>
      </c>
      <c r="N1326" s="11" t="s">
        <v>1062</v>
      </c>
      <c r="O1326" s="11" t="s">
        <v>2687</v>
      </c>
    </row>
    <row r="1327">
      <c r="A1327" s="11">
        <v>24.1960391998291</v>
      </c>
      <c r="B1327" s="11">
        <v>2.24328422546386</v>
      </c>
      <c r="C1327" s="11" t="s">
        <v>1515</v>
      </c>
      <c r="D1327" s="11" t="s">
        <v>1515</v>
      </c>
      <c r="E1327" s="11" t="s">
        <v>1062</v>
      </c>
      <c r="F1327" s="11" t="s">
        <v>2688</v>
      </c>
      <c r="J1327" s="11">
        <v>-6.28352117538452</v>
      </c>
      <c r="K1327" s="11">
        <v>54.1791534423828</v>
      </c>
      <c r="L1327" s="11" t="s">
        <v>1515</v>
      </c>
      <c r="M1327" s="11" t="s">
        <v>1515</v>
      </c>
      <c r="N1327" s="11" t="s">
        <v>1062</v>
      </c>
      <c r="O1327" s="11" t="s">
        <v>2688</v>
      </c>
    </row>
    <row r="1328">
      <c r="A1328" s="11">
        <v>-9.73214244842529</v>
      </c>
      <c r="B1328" s="11">
        <v>5.85553884506225</v>
      </c>
      <c r="C1328" s="11" t="s">
        <v>1515</v>
      </c>
      <c r="D1328" s="11" t="s">
        <v>1515</v>
      </c>
      <c r="E1328" s="11" t="s">
        <v>1062</v>
      </c>
      <c r="F1328" s="11" t="s">
        <v>2689</v>
      </c>
      <c r="J1328" s="11">
        <v>-0.0461049862205982</v>
      </c>
      <c r="K1328" s="11">
        <v>-10.786244392395</v>
      </c>
      <c r="L1328" s="11" t="s">
        <v>1515</v>
      </c>
      <c r="M1328" s="11" t="s">
        <v>1515</v>
      </c>
      <c r="N1328" s="11" t="s">
        <v>1062</v>
      </c>
      <c r="O1328" s="11" t="s">
        <v>2689</v>
      </c>
    </row>
    <row r="1329">
      <c r="A1329" s="11">
        <v>-9.91076183319091</v>
      </c>
      <c r="B1329" s="11">
        <v>6.44575548171997</v>
      </c>
      <c r="C1329" s="11" t="s">
        <v>1515</v>
      </c>
      <c r="D1329" s="11" t="s">
        <v>1515</v>
      </c>
      <c r="E1329" s="11" t="s">
        <v>1062</v>
      </c>
      <c r="F1329" s="11" t="s">
        <v>2690</v>
      </c>
      <c r="J1329" s="11">
        <v>0.266942888498306</v>
      </c>
      <c r="K1329" s="11">
        <v>-10.7989664077758</v>
      </c>
      <c r="L1329" s="11" t="s">
        <v>1515</v>
      </c>
      <c r="M1329" s="11" t="s">
        <v>1515</v>
      </c>
      <c r="N1329" s="11" t="s">
        <v>1062</v>
      </c>
      <c r="O1329" s="11" t="s">
        <v>2690</v>
      </c>
    </row>
    <row r="1330">
      <c r="A1330" s="11">
        <v>45.0421257019043</v>
      </c>
      <c r="B1330" s="11">
        <v>-2.82433676719665</v>
      </c>
      <c r="C1330" s="11" t="s">
        <v>1515</v>
      </c>
      <c r="D1330" s="11" t="s">
        <v>1515</v>
      </c>
      <c r="E1330" s="11" t="s">
        <v>1062</v>
      </c>
      <c r="F1330" s="11" t="s">
        <v>2691</v>
      </c>
      <c r="J1330" s="11">
        <v>7.4845495223999</v>
      </c>
      <c r="K1330" s="11">
        <v>62.2964897155761</v>
      </c>
      <c r="L1330" s="11" t="s">
        <v>1515</v>
      </c>
      <c r="M1330" s="11" t="s">
        <v>1515</v>
      </c>
      <c r="N1330" s="11" t="s">
        <v>1062</v>
      </c>
      <c r="O1330" s="11" t="s">
        <v>2691</v>
      </c>
    </row>
    <row r="1331">
      <c r="A1331" s="11">
        <v>-33.09468460083</v>
      </c>
      <c r="B1331" s="11">
        <v>20.5908470153808</v>
      </c>
      <c r="C1331" s="11" t="s">
        <v>1515</v>
      </c>
      <c r="D1331" s="11" t="s">
        <v>1515</v>
      </c>
      <c r="E1331" s="11" t="s">
        <v>1062</v>
      </c>
      <c r="F1331" s="11" t="s">
        <v>2692</v>
      </c>
      <c r="J1331" s="11">
        <v>45.944538116455</v>
      </c>
      <c r="K1331" s="11">
        <v>3.33122968673706</v>
      </c>
      <c r="L1331" s="11" t="s">
        <v>1515</v>
      </c>
      <c r="M1331" s="11" t="s">
        <v>1515</v>
      </c>
      <c r="N1331" s="11" t="s">
        <v>1062</v>
      </c>
      <c r="O1331" s="11" t="s">
        <v>2692</v>
      </c>
    </row>
    <row r="1332">
      <c r="A1332" s="11">
        <v>-37.5700187683105</v>
      </c>
      <c r="B1332" s="11">
        <v>17.1136779785156</v>
      </c>
      <c r="C1332" s="11" t="s">
        <v>1515</v>
      </c>
      <c r="D1332" s="11" t="s">
        <v>1515</v>
      </c>
      <c r="E1332" s="11" t="s">
        <v>1062</v>
      </c>
      <c r="F1332" s="11" t="s">
        <v>2693</v>
      </c>
      <c r="J1332" s="11">
        <v>11.7459344863891</v>
      </c>
      <c r="K1332" s="11">
        <v>45.135871887207</v>
      </c>
      <c r="L1332" s="11" t="s">
        <v>1515</v>
      </c>
      <c r="M1332" s="11" t="s">
        <v>1515</v>
      </c>
      <c r="N1332" s="11" t="s">
        <v>1062</v>
      </c>
      <c r="O1332" s="11" t="s">
        <v>2693</v>
      </c>
    </row>
    <row r="1333">
      <c r="A1333" s="11">
        <v>-38.1188774108886</v>
      </c>
      <c r="B1333" s="11">
        <v>17.5458583831787</v>
      </c>
      <c r="C1333" s="11" t="s">
        <v>1515</v>
      </c>
      <c r="D1333" s="11" t="s">
        <v>1515</v>
      </c>
      <c r="E1333" s="11" t="s">
        <v>1062</v>
      </c>
      <c r="F1333" s="11" t="s">
        <v>2694</v>
      </c>
      <c r="J1333" s="11">
        <v>11.3589811325073</v>
      </c>
      <c r="K1333" s="11">
        <v>45.7228279113769</v>
      </c>
      <c r="L1333" s="11" t="s">
        <v>1515</v>
      </c>
      <c r="M1333" s="11" t="s">
        <v>1515</v>
      </c>
      <c r="N1333" s="11" t="s">
        <v>1062</v>
      </c>
      <c r="O1333" s="11" t="s">
        <v>2694</v>
      </c>
    </row>
    <row r="1334">
      <c r="A1334" s="11">
        <v>-56.7562675476074</v>
      </c>
      <c r="B1334" s="11">
        <v>-27.5031852722167</v>
      </c>
      <c r="C1334" s="11" t="s">
        <v>1515</v>
      </c>
      <c r="D1334" s="11" t="s">
        <v>1515</v>
      </c>
      <c r="E1334" s="11" t="s">
        <v>1062</v>
      </c>
      <c r="F1334" s="11" t="s">
        <v>2695</v>
      </c>
      <c r="J1334" s="11">
        <v>18.9693946838378</v>
      </c>
      <c r="K1334" s="11">
        <v>26.1908416748046</v>
      </c>
      <c r="L1334" s="11" t="s">
        <v>1515</v>
      </c>
      <c r="M1334" s="11" t="s">
        <v>1515</v>
      </c>
      <c r="N1334" s="11" t="s">
        <v>1062</v>
      </c>
      <c r="O1334" s="11" t="s">
        <v>2695</v>
      </c>
    </row>
    <row r="1335">
      <c r="A1335" s="11">
        <v>46.9269752502441</v>
      </c>
      <c r="B1335" s="11">
        <v>-2.40215969085693</v>
      </c>
      <c r="C1335" s="11" t="s">
        <v>1515</v>
      </c>
      <c r="D1335" s="11" t="s">
        <v>1515</v>
      </c>
      <c r="E1335" s="11" t="s">
        <v>1062</v>
      </c>
      <c r="F1335" s="11" t="s">
        <v>2696</v>
      </c>
      <c r="J1335" s="11">
        <v>6.28151655197143</v>
      </c>
      <c r="K1335" s="11">
        <v>61.5231857299804</v>
      </c>
      <c r="L1335" s="11" t="s">
        <v>1515</v>
      </c>
      <c r="M1335" s="11" t="s">
        <v>1515</v>
      </c>
      <c r="N1335" s="11" t="s">
        <v>1062</v>
      </c>
      <c r="O1335" s="11" t="s">
        <v>2696</v>
      </c>
    </row>
    <row r="1336">
      <c r="A1336" s="11">
        <v>68.4427413940429</v>
      </c>
      <c r="B1336" s="11">
        <v>-3.30870985984802</v>
      </c>
      <c r="C1336" s="11" t="s">
        <v>1515</v>
      </c>
      <c r="D1336" s="11" t="s">
        <v>1515</v>
      </c>
      <c r="E1336" s="11" t="s">
        <v>1062</v>
      </c>
      <c r="F1336" s="11" t="s">
        <v>2697</v>
      </c>
      <c r="J1336" s="11">
        <v>-0.865237772464752</v>
      </c>
      <c r="K1336" s="11">
        <v>61.8727989196777</v>
      </c>
      <c r="L1336" s="11" t="s">
        <v>1515</v>
      </c>
      <c r="M1336" s="11" t="s">
        <v>1515</v>
      </c>
      <c r="N1336" s="11" t="s">
        <v>1062</v>
      </c>
      <c r="O1336" s="11" t="s">
        <v>2697</v>
      </c>
    </row>
    <row r="1337">
      <c r="A1337" s="11">
        <v>-7.10118246078491</v>
      </c>
      <c r="B1337" s="11">
        <v>-3.59972786903381</v>
      </c>
      <c r="C1337" s="11" t="s">
        <v>1515</v>
      </c>
      <c r="D1337" s="11" t="s">
        <v>1515</v>
      </c>
      <c r="E1337" s="11" t="s">
        <v>1062</v>
      </c>
      <c r="F1337" s="11" t="s">
        <v>2698</v>
      </c>
      <c r="J1337" s="11">
        <v>15.7276277542114</v>
      </c>
      <c r="K1337" s="11">
        <v>66.0496139526367</v>
      </c>
      <c r="L1337" s="11" t="s">
        <v>1515</v>
      </c>
      <c r="M1337" s="11" t="s">
        <v>1515</v>
      </c>
      <c r="N1337" s="11" t="s">
        <v>1062</v>
      </c>
      <c r="O1337" s="11" t="s">
        <v>2698</v>
      </c>
    </row>
    <row r="1338">
      <c r="A1338" s="11">
        <v>-43.1782341003418</v>
      </c>
      <c r="B1338" s="11">
        <v>9.44124031066894</v>
      </c>
      <c r="C1338" s="11" t="s">
        <v>1515</v>
      </c>
      <c r="D1338" s="11" t="s">
        <v>1515</v>
      </c>
      <c r="E1338" s="11" t="s">
        <v>1062</v>
      </c>
      <c r="F1338" s="11" t="s">
        <v>2699</v>
      </c>
      <c r="J1338" s="11">
        <v>15.2401800155639</v>
      </c>
      <c r="K1338" s="11">
        <v>29.7657127380371</v>
      </c>
      <c r="L1338" s="11" t="s">
        <v>1515</v>
      </c>
      <c r="M1338" s="11" t="s">
        <v>1515</v>
      </c>
      <c r="N1338" s="11" t="s">
        <v>1062</v>
      </c>
      <c r="O1338" s="11" t="s">
        <v>2699</v>
      </c>
    </row>
    <row r="1339">
      <c r="A1339" s="11">
        <v>25.091287612915</v>
      </c>
      <c r="B1339" s="11">
        <v>9.35779380798339</v>
      </c>
      <c r="C1339" s="11" t="s">
        <v>1515</v>
      </c>
      <c r="D1339" s="11" t="s">
        <v>1515</v>
      </c>
      <c r="E1339" s="11" t="s">
        <v>1062</v>
      </c>
      <c r="F1339" s="11" t="s">
        <v>2700</v>
      </c>
      <c r="J1339" s="11">
        <v>13.7072944641113</v>
      </c>
      <c r="K1339" s="11">
        <v>60.5480117797851</v>
      </c>
      <c r="L1339" s="11" t="s">
        <v>1515</v>
      </c>
      <c r="M1339" s="11" t="s">
        <v>1515</v>
      </c>
      <c r="N1339" s="11" t="s">
        <v>1062</v>
      </c>
      <c r="O1339" s="11" t="s">
        <v>2700</v>
      </c>
    </row>
    <row r="1340">
      <c r="A1340" s="11">
        <v>-56.7562675476074</v>
      </c>
      <c r="B1340" s="11">
        <v>-27.5031852722167</v>
      </c>
      <c r="C1340" s="11" t="s">
        <v>1515</v>
      </c>
      <c r="D1340" s="11" t="s">
        <v>1515</v>
      </c>
      <c r="E1340" s="11" t="s">
        <v>1062</v>
      </c>
      <c r="F1340" s="11" t="s">
        <v>2701</v>
      </c>
      <c r="J1340" s="11">
        <v>18.9693946838378</v>
      </c>
      <c r="K1340" s="11">
        <v>26.1908416748046</v>
      </c>
      <c r="L1340" s="11" t="s">
        <v>1515</v>
      </c>
      <c r="M1340" s="11" t="s">
        <v>1515</v>
      </c>
      <c r="N1340" s="11" t="s">
        <v>1062</v>
      </c>
      <c r="O1340" s="11" t="s">
        <v>2701</v>
      </c>
    </row>
    <row r="1341">
      <c r="A1341" s="11">
        <v>66.484130859375</v>
      </c>
      <c r="B1341" s="11">
        <v>-2.25091671943664</v>
      </c>
      <c r="C1341" s="11" t="s">
        <v>1515</v>
      </c>
      <c r="D1341" s="11" t="s">
        <v>1515</v>
      </c>
      <c r="E1341" s="11" t="s">
        <v>1062</v>
      </c>
      <c r="F1341" s="11" t="s">
        <v>2702</v>
      </c>
      <c r="J1341" s="11">
        <v>-2.77893257141113</v>
      </c>
      <c r="K1341" s="11">
        <v>63.4436340332031</v>
      </c>
      <c r="L1341" s="11" t="s">
        <v>1515</v>
      </c>
      <c r="M1341" s="11" t="s">
        <v>1515</v>
      </c>
      <c r="N1341" s="11" t="s">
        <v>1062</v>
      </c>
      <c r="O1341" s="11" t="s">
        <v>2702</v>
      </c>
    </row>
    <row r="1342">
      <c r="A1342" s="11">
        <v>-57.6360130310058</v>
      </c>
      <c r="B1342" s="11">
        <v>-28.2126960754394</v>
      </c>
      <c r="C1342" s="11" t="s">
        <v>1515</v>
      </c>
      <c r="D1342" s="11" t="s">
        <v>1515</v>
      </c>
      <c r="E1342" s="11" t="s">
        <v>1062</v>
      </c>
      <c r="F1342" s="11" t="s">
        <v>2703</v>
      </c>
      <c r="J1342" s="11">
        <v>19.5721130371093</v>
      </c>
      <c r="K1342" s="11">
        <v>26.5985488891601</v>
      </c>
      <c r="L1342" s="11" t="s">
        <v>1515</v>
      </c>
      <c r="M1342" s="11" t="s">
        <v>1515</v>
      </c>
      <c r="N1342" s="11" t="s">
        <v>1062</v>
      </c>
      <c r="O1342" s="11" t="s">
        <v>2703</v>
      </c>
    </row>
    <row r="1343">
      <c r="A1343" s="11">
        <v>47.5376014709472</v>
      </c>
      <c r="B1343" s="11">
        <v>-4.16355752944946</v>
      </c>
      <c r="C1343" s="11" t="s">
        <v>1515</v>
      </c>
      <c r="D1343" s="11" t="s">
        <v>1515</v>
      </c>
      <c r="E1343" s="11" t="s">
        <v>1062</v>
      </c>
      <c r="F1343" s="11" t="s">
        <v>2705</v>
      </c>
      <c r="J1343" s="11">
        <v>5.86706447601318</v>
      </c>
      <c r="K1343" s="11">
        <v>62.0531425476074</v>
      </c>
      <c r="L1343" s="11" t="s">
        <v>1515</v>
      </c>
      <c r="M1343" s="11" t="s">
        <v>1515</v>
      </c>
      <c r="N1343" s="11" t="s">
        <v>1062</v>
      </c>
      <c r="O1343" s="11" t="s">
        <v>2705</v>
      </c>
    </row>
    <row r="1344">
      <c r="A1344" s="11">
        <v>-42.8675346374511</v>
      </c>
      <c r="B1344" s="11">
        <v>8.59039402008056</v>
      </c>
      <c r="C1344" s="11" t="s">
        <v>1515</v>
      </c>
      <c r="D1344" s="11" t="s">
        <v>1515</v>
      </c>
      <c r="E1344" s="11" t="s">
        <v>1062</v>
      </c>
      <c r="F1344" s="11" t="s">
        <v>2706</v>
      </c>
      <c r="J1344" s="11">
        <v>15.646969795227</v>
      </c>
      <c r="K1344" s="11">
        <v>29.264045715332</v>
      </c>
      <c r="L1344" s="11" t="s">
        <v>1515</v>
      </c>
      <c r="M1344" s="11" t="s">
        <v>1515</v>
      </c>
      <c r="N1344" s="11" t="s">
        <v>1062</v>
      </c>
      <c r="O1344" s="11" t="s">
        <v>2706</v>
      </c>
    </row>
    <row r="1345">
      <c r="A1345" s="11">
        <v>-57.6360130310058</v>
      </c>
      <c r="B1345" s="11">
        <v>-28.2126960754394</v>
      </c>
      <c r="C1345" s="11" t="s">
        <v>1515</v>
      </c>
      <c r="D1345" s="11" t="s">
        <v>1515</v>
      </c>
      <c r="E1345" s="11" t="s">
        <v>1062</v>
      </c>
      <c r="F1345" s="11" t="s">
        <v>2707</v>
      </c>
      <c r="J1345" s="11">
        <v>19.5721130371093</v>
      </c>
      <c r="K1345" s="11">
        <v>26.5985488891601</v>
      </c>
      <c r="L1345" s="11" t="s">
        <v>1515</v>
      </c>
      <c r="M1345" s="11" t="s">
        <v>1515</v>
      </c>
      <c r="N1345" s="11" t="s">
        <v>1062</v>
      </c>
      <c r="O1345" s="11" t="s">
        <v>2707</v>
      </c>
    </row>
    <row r="1346">
      <c r="A1346" s="11">
        <v>48.355541229248</v>
      </c>
      <c r="B1346" s="11">
        <v>-3.63790917396545</v>
      </c>
      <c r="C1346" s="11" t="s">
        <v>1515</v>
      </c>
      <c r="D1346" s="11" t="s">
        <v>1515</v>
      </c>
      <c r="E1346" s="11" t="s">
        <v>1062</v>
      </c>
      <c r="F1346" s="11" t="s">
        <v>2708</v>
      </c>
      <c r="J1346" s="11">
        <v>5.10301303863525</v>
      </c>
      <c r="K1346" s="11">
        <v>61.4888343811035</v>
      </c>
      <c r="L1346" s="11" t="s">
        <v>1515</v>
      </c>
      <c r="M1346" s="11" t="s">
        <v>1515</v>
      </c>
      <c r="N1346" s="11" t="s">
        <v>1062</v>
      </c>
      <c r="O1346" s="11" t="s">
        <v>2708</v>
      </c>
    </row>
    <row r="1347">
      <c r="A1347" s="11">
        <v>25.0911903381347</v>
      </c>
      <c r="B1347" s="11">
        <v>9.35691833496093</v>
      </c>
      <c r="C1347" s="11" t="s">
        <v>1515</v>
      </c>
      <c r="D1347" s="11" t="s">
        <v>1515</v>
      </c>
      <c r="E1347" s="11" t="s">
        <v>1062</v>
      </c>
      <c r="F1347" s="11" t="s">
        <v>2709</v>
      </c>
      <c r="J1347" s="11">
        <v>13.7067737579345</v>
      </c>
      <c r="K1347" s="11">
        <v>60.5494194030761</v>
      </c>
      <c r="L1347" s="11" t="s">
        <v>1515</v>
      </c>
      <c r="M1347" s="11" t="s">
        <v>1515</v>
      </c>
      <c r="N1347" s="11" t="s">
        <v>1062</v>
      </c>
      <c r="O1347" s="11" t="s">
        <v>2709</v>
      </c>
    </row>
    <row r="1348">
      <c r="A1348" s="11">
        <v>-11.6657819747924</v>
      </c>
      <c r="B1348" s="11">
        <v>13.596357345581</v>
      </c>
      <c r="C1348" s="11" t="s">
        <v>1515</v>
      </c>
      <c r="D1348" s="11" t="s">
        <v>1515</v>
      </c>
      <c r="E1348" s="11" t="s">
        <v>1062</v>
      </c>
      <c r="F1348" s="11" t="s">
        <v>2710</v>
      </c>
      <c r="J1348" s="11">
        <v>51.0814094543457</v>
      </c>
      <c r="K1348" s="11">
        <v>-17.5346183776855</v>
      </c>
      <c r="L1348" s="11" t="s">
        <v>1515</v>
      </c>
      <c r="M1348" s="11" t="s">
        <v>1515</v>
      </c>
      <c r="N1348" s="11" t="s">
        <v>1062</v>
      </c>
      <c r="O1348" s="11" t="s">
        <v>2710</v>
      </c>
    </row>
    <row r="1349">
      <c r="A1349" s="11">
        <v>-43.1782341003418</v>
      </c>
      <c r="B1349" s="11">
        <v>9.44124031066894</v>
      </c>
      <c r="C1349" s="11" t="s">
        <v>1515</v>
      </c>
      <c r="D1349" s="11" t="s">
        <v>1515</v>
      </c>
      <c r="E1349" s="11" t="s">
        <v>1062</v>
      </c>
      <c r="F1349" s="11" t="s">
        <v>2711</v>
      </c>
      <c r="J1349" s="11">
        <v>15.5925140380859</v>
      </c>
      <c r="K1349" s="11">
        <v>29.6392841339111</v>
      </c>
      <c r="L1349" s="11" t="s">
        <v>1515</v>
      </c>
      <c r="M1349" s="11" t="s">
        <v>1515</v>
      </c>
      <c r="N1349" s="11" t="s">
        <v>1062</v>
      </c>
      <c r="O1349" s="11" t="s">
        <v>2711</v>
      </c>
    </row>
    <row r="1350">
      <c r="A1350" s="11">
        <v>-59.3661003112793</v>
      </c>
      <c r="B1350" s="11">
        <v>15.6608800888061</v>
      </c>
      <c r="C1350" s="11" t="s">
        <v>1515</v>
      </c>
      <c r="D1350" s="11" t="s">
        <v>1515</v>
      </c>
      <c r="E1350" s="11" t="s">
        <v>1062</v>
      </c>
      <c r="F1350" s="11" t="s">
        <v>2713</v>
      </c>
      <c r="J1350" s="11">
        <v>52.4649658203125</v>
      </c>
      <c r="K1350" s="11">
        <v>6.26067590713501</v>
      </c>
      <c r="L1350" s="11" t="s">
        <v>1515</v>
      </c>
      <c r="M1350" s="11" t="s">
        <v>1515</v>
      </c>
      <c r="N1350" s="11" t="s">
        <v>1062</v>
      </c>
      <c r="O1350" s="11" t="s">
        <v>2713</v>
      </c>
    </row>
    <row r="1351">
      <c r="A1351" s="11">
        <v>-42.0475540161132</v>
      </c>
      <c r="B1351" s="11">
        <v>9.55022430419921</v>
      </c>
      <c r="C1351" s="11" t="s">
        <v>1515</v>
      </c>
      <c r="D1351" s="11" t="s">
        <v>1515</v>
      </c>
      <c r="E1351" s="11" t="s">
        <v>1062</v>
      </c>
      <c r="F1351" s="11" t="s">
        <v>2714</v>
      </c>
      <c r="J1351" s="11">
        <v>14.9545078277587</v>
      </c>
      <c r="K1351" s="11">
        <v>29.0828495025634</v>
      </c>
      <c r="L1351" s="11" t="s">
        <v>1515</v>
      </c>
      <c r="M1351" s="11" t="s">
        <v>1515</v>
      </c>
      <c r="N1351" s="11" t="s">
        <v>1062</v>
      </c>
      <c r="O1351" s="11" t="s">
        <v>2714</v>
      </c>
    </row>
    <row r="1352">
      <c r="A1352" s="11">
        <v>-42.5633163452148</v>
      </c>
      <c r="B1352" s="11">
        <v>10.1071062088012</v>
      </c>
      <c r="C1352" s="11" t="s">
        <v>1515</v>
      </c>
      <c r="D1352" s="11" t="s">
        <v>1515</v>
      </c>
      <c r="E1352" s="11" t="s">
        <v>1062</v>
      </c>
      <c r="F1352" s="11" t="s">
        <v>2715</v>
      </c>
      <c r="J1352" s="11">
        <v>15.5166130065917</v>
      </c>
      <c r="K1352" s="11">
        <v>28.7580966949462</v>
      </c>
      <c r="L1352" s="11" t="s">
        <v>1515</v>
      </c>
      <c r="M1352" s="11" t="s">
        <v>1515</v>
      </c>
      <c r="N1352" s="11" t="s">
        <v>1062</v>
      </c>
      <c r="O1352" s="11" t="s">
        <v>2715</v>
      </c>
    </row>
    <row r="1353">
      <c r="A1353" s="11">
        <v>-10.4447689056396</v>
      </c>
      <c r="B1353" s="11">
        <v>6.30870389938354</v>
      </c>
      <c r="C1353" s="11" t="s">
        <v>1515</v>
      </c>
      <c r="D1353" s="11" t="s">
        <v>1515</v>
      </c>
      <c r="E1353" s="11" t="s">
        <v>1062</v>
      </c>
      <c r="F1353" s="11" t="s">
        <v>2716</v>
      </c>
      <c r="J1353" s="11">
        <v>-0.0461049862205982</v>
      </c>
      <c r="K1353" s="11">
        <v>-10.786244392395</v>
      </c>
      <c r="L1353" s="11" t="s">
        <v>1515</v>
      </c>
      <c r="M1353" s="11" t="s">
        <v>1515</v>
      </c>
      <c r="N1353" s="11" t="s">
        <v>1062</v>
      </c>
      <c r="O1353" s="11" t="s">
        <v>2716</v>
      </c>
    </row>
    <row r="1354">
      <c r="A1354" s="11">
        <v>-19.0082893371582</v>
      </c>
      <c r="B1354" s="11">
        <v>21.1754741668701</v>
      </c>
      <c r="C1354" s="11" t="s">
        <v>1515</v>
      </c>
      <c r="D1354" s="11" t="s">
        <v>1515</v>
      </c>
      <c r="E1354" s="11" t="s">
        <v>1062</v>
      </c>
      <c r="F1354" s="11" t="s">
        <v>2717</v>
      </c>
      <c r="J1354" s="11">
        <v>20.0231189727783</v>
      </c>
      <c r="K1354" s="11">
        <v>44.5120315551757</v>
      </c>
      <c r="L1354" s="11" t="s">
        <v>1515</v>
      </c>
      <c r="M1354" s="11" t="s">
        <v>1515</v>
      </c>
      <c r="N1354" s="11" t="s">
        <v>1062</v>
      </c>
      <c r="O1354" s="11" t="s">
        <v>2717</v>
      </c>
    </row>
    <row r="1355">
      <c r="A1355" s="11">
        <v>-56.7267837524414</v>
      </c>
      <c r="B1355" s="11">
        <v>-28.4655609130859</v>
      </c>
      <c r="C1355" s="11" t="s">
        <v>1515</v>
      </c>
      <c r="D1355" s="11" t="s">
        <v>1515</v>
      </c>
      <c r="E1355" s="11" t="s">
        <v>1062</v>
      </c>
      <c r="F1355" s="11" t="s">
        <v>2718</v>
      </c>
      <c r="J1355" s="11">
        <v>18.9693946838378</v>
      </c>
      <c r="K1355" s="11">
        <v>26.1908416748046</v>
      </c>
      <c r="L1355" s="11" t="s">
        <v>1515</v>
      </c>
      <c r="M1355" s="11" t="s">
        <v>1515</v>
      </c>
      <c r="N1355" s="11" t="s">
        <v>1062</v>
      </c>
      <c r="O1355" s="11" t="s">
        <v>2718</v>
      </c>
    </row>
    <row r="1356">
      <c r="A1356" s="11">
        <v>-18.0535316467285</v>
      </c>
      <c r="B1356" s="11">
        <v>20.4910106658935</v>
      </c>
      <c r="C1356" s="11" t="s">
        <v>1515</v>
      </c>
      <c r="D1356" s="11" t="s">
        <v>1515</v>
      </c>
      <c r="E1356" s="11" t="s">
        <v>1062</v>
      </c>
      <c r="F1356" s="11" t="s">
        <v>2719</v>
      </c>
      <c r="J1356" s="11">
        <v>19.7579345703125</v>
      </c>
      <c r="K1356" s="11">
        <v>44.0045623779296</v>
      </c>
      <c r="L1356" s="11" t="s">
        <v>1515</v>
      </c>
      <c r="M1356" s="11" t="s">
        <v>1515</v>
      </c>
      <c r="N1356" s="11" t="s">
        <v>1062</v>
      </c>
      <c r="O1356" s="11" t="s">
        <v>2719</v>
      </c>
    </row>
    <row r="1357">
      <c r="A1357" s="11">
        <v>-59.5479125976562</v>
      </c>
      <c r="B1357" s="11">
        <v>14.0425672531127</v>
      </c>
      <c r="C1357" s="11" t="s">
        <v>1515</v>
      </c>
      <c r="D1357" s="11" t="s">
        <v>1515</v>
      </c>
      <c r="E1357" s="11" t="s">
        <v>1062</v>
      </c>
      <c r="F1357" s="11" t="s">
        <v>2721</v>
      </c>
      <c r="J1357" s="11">
        <v>52.5812377929687</v>
      </c>
      <c r="K1357" s="11">
        <v>5.26139688491821</v>
      </c>
      <c r="L1357" s="11" t="s">
        <v>1515</v>
      </c>
      <c r="M1357" s="11" t="s">
        <v>1515</v>
      </c>
      <c r="N1357" s="11" t="s">
        <v>1062</v>
      </c>
      <c r="O1357" s="11" t="s">
        <v>2721</v>
      </c>
    </row>
    <row r="1358">
      <c r="A1358" s="11">
        <v>30.0592651367187</v>
      </c>
      <c r="B1358" s="11">
        <v>5.90989065170288</v>
      </c>
      <c r="C1358" s="11" t="s">
        <v>1515</v>
      </c>
      <c r="D1358" s="11" t="s">
        <v>1515</v>
      </c>
      <c r="E1358" s="11" t="s">
        <v>1062</v>
      </c>
      <c r="F1358" s="11" t="s">
        <v>2722</v>
      </c>
      <c r="J1358" s="11">
        <v>-3.939293384552</v>
      </c>
      <c r="K1358" s="11">
        <v>50.8183326721191</v>
      </c>
      <c r="L1358" s="11" t="s">
        <v>1515</v>
      </c>
      <c r="M1358" s="11" t="s">
        <v>1515</v>
      </c>
      <c r="N1358" s="11" t="s">
        <v>1062</v>
      </c>
      <c r="O1358" s="11" t="s">
        <v>2722</v>
      </c>
    </row>
    <row r="1359">
      <c r="A1359" s="11">
        <v>-57.6759223937988</v>
      </c>
      <c r="B1359" s="11">
        <v>-27.2418670654296</v>
      </c>
      <c r="C1359" s="11" t="s">
        <v>1515</v>
      </c>
      <c r="D1359" s="11" t="s">
        <v>1515</v>
      </c>
      <c r="E1359" s="11" t="s">
        <v>1062</v>
      </c>
      <c r="F1359" s="11" t="s">
        <v>2723</v>
      </c>
      <c r="J1359" s="11">
        <v>19.6667556762695</v>
      </c>
      <c r="K1359" s="11">
        <v>25.7833385467529</v>
      </c>
      <c r="L1359" s="11" t="s">
        <v>1515</v>
      </c>
      <c r="M1359" s="11" t="s">
        <v>1515</v>
      </c>
      <c r="N1359" s="11" t="s">
        <v>1062</v>
      </c>
      <c r="O1359" s="11" t="s">
        <v>2723</v>
      </c>
    </row>
    <row r="1360">
      <c r="A1360" s="11">
        <v>-49.0489311218261</v>
      </c>
      <c r="B1360" s="11">
        <v>21.7573318481445</v>
      </c>
      <c r="C1360" s="11" t="s">
        <v>1515</v>
      </c>
      <c r="D1360" s="11" t="s">
        <v>1515</v>
      </c>
      <c r="E1360" s="11" t="s">
        <v>1062</v>
      </c>
      <c r="F1360" s="11" t="s">
        <v>2724</v>
      </c>
      <c r="J1360" s="11">
        <v>13.10618019104</v>
      </c>
      <c r="K1360" s="11">
        <v>49.3556289672851</v>
      </c>
      <c r="L1360" s="11" t="s">
        <v>1515</v>
      </c>
      <c r="M1360" s="11" t="s">
        <v>1515</v>
      </c>
      <c r="N1360" s="11" t="s">
        <v>1062</v>
      </c>
      <c r="O1360" s="11" t="s">
        <v>2724</v>
      </c>
    </row>
    <row r="1361">
      <c r="A1361" s="11">
        <v>-42.1657104492187</v>
      </c>
      <c r="B1361" s="11">
        <v>8.86621475219726</v>
      </c>
      <c r="C1361" s="11" t="s">
        <v>1515</v>
      </c>
      <c r="D1361" s="11" t="s">
        <v>1515</v>
      </c>
      <c r="E1361" s="11" t="s">
        <v>1062</v>
      </c>
      <c r="F1361" s="11" t="s">
        <v>2725</v>
      </c>
      <c r="J1361" s="11">
        <v>14.8904495239257</v>
      </c>
      <c r="K1361" s="11">
        <v>29.4174079895019</v>
      </c>
      <c r="L1361" s="11" t="s">
        <v>1515</v>
      </c>
      <c r="M1361" s="11" t="s">
        <v>1515</v>
      </c>
      <c r="N1361" s="11" t="s">
        <v>1062</v>
      </c>
      <c r="O1361" s="11" t="s">
        <v>2725</v>
      </c>
    </row>
    <row r="1362">
      <c r="A1362" s="11">
        <v>66.9259490966796</v>
      </c>
      <c r="B1362" s="11">
        <v>-4.92818069458007</v>
      </c>
      <c r="C1362" s="11" t="s">
        <v>1515</v>
      </c>
      <c r="D1362" s="11" t="s">
        <v>1515</v>
      </c>
      <c r="E1362" s="11" t="s">
        <v>1062</v>
      </c>
      <c r="F1362" s="11" t="s">
        <v>2726</v>
      </c>
      <c r="J1362" s="11">
        <v>-3.74704766273498</v>
      </c>
      <c r="K1362" s="11">
        <v>63.4771614074707</v>
      </c>
      <c r="L1362" s="11" t="s">
        <v>1515</v>
      </c>
      <c r="M1362" s="11" t="s">
        <v>1515</v>
      </c>
      <c r="N1362" s="11" t="s">
        <v>1062</v>
      </c>
      <c r="O1362" s="11" t="s">
        <v>2726</v>
      </c>
    </row>
    <row r="1363">
      <c r="A1363" s="11">
        <v>-18.8698348999023</v>
      </c>
      <c r="B1363" s="11">
        <v>20.3603839874267</v>
      </c>
      <c r="C1363" s="11" t="s">
        <v>1515</v>
      </c>
      <c r="D1363" s="11" t="s">
        <v>1515</v>
      </c>
      <c r="E1363" s="11" t="s">
        <v>1062</v>
      </c>
      <c r="F1363" s="11" t="s">
        <v>2728</v>
      </c>
      <c r="J1363" s="11">
        <v>19.7579345703125</v>
      </c>
      <c r="K1363" s="11">
        <v>44.0045623779296</v>
      </c>
      <c r="L1363" s="11" t="s">
        <v>1515</v>
      </c>
      <c r="M1363" s="11" t="s">
        <v>1515</v>
      </c>
      <c r="N1363" s="11" t="s">
        <v>1062</v>
      </c>
      <c r="O1363" s="11" t="s">
        <v>2728</v>
      </c>
    </row>
    <row r="1364">
      <c r="A1364" s="11">
        <v>-8.71111297607421</v>
      </c>
      <c r="B1364" s="11">
        <v>11.496295928955</v>
      </c>
      <c r="C1364" s="11" t="s">
        <v>1515</v>
      </c>
      <c r="D1364" s="11" t="s">
        <v>1515</v>
      </c>
      <c r="E1364" s="11" t="s">
        <v>1062</v>
      </c>
      <c r="F1364" s="11" t="s">
        <v>2729</v>
      </c>
      <c r="J1364" s="11">
        <v>16.2073974609375</v>
      </c>
      <c r="K1364" s="11">
        <v>33.0923042297363</v>
      </c>
      <c r="L1364" s="11" t="s">
        <v>1515</v>
      </c>
      <c r="M1364" s="11" t="s">
        <v>1515</v>
      </c>
      <c r="N1364" s="11" t="s">
        <v>1062</v>
      </c>
      <c r="O1364" s="11" t="s">
        <v>2729</v>
      </c>
    </row>
    <row r="1365">
      <c r="A1365" s="11">
        <v>46.1194458007812</v>
      </c>
      <c r="B1365" s="11">
        <v>-3.04031705856323</v>
      </c>
      <c r="C1365" s="11" t="s">
        <v>1515</v>
      </c>
      <c r="D1365" s="11" t="s">
        <v>1515</v>
      </c>
      <c r="E1365" s="11" t="s">
        <v>1062</v>
      </c>
      <c r="F1365" s="11" t="s">
        <v>2731</v>
      </c>
      <c r="J1365" s="11">
        <v>8.06697750091552</v>
      </c>
      <c r="K1365" s="11">
        <v>63.5581130981445</v>
      </c>
      <c r="L1365" s="11" t="s">
        <v>1515</v>
      </c>
      <c r="M1365" s="11" t="s">
        <v>1515</v>
      </c>
      <c r="N1365" s="11" t="s">
        <v>1062</v>
      </c>
      <c r="O1365" s="11" t="s">
        <v>2731</v>
      </c>
    </row>
    <row r="1366">
      <c r="A1366" s="11">
        <v>-22.7111129760742</v>
      </c>
      <c r="B1366" s="11">
        <v>-26.7364635467529</v>
      </c>
      <c r="C1366" s="11" t="s">
        <v>1390</v>
      </c>
      <c r="D1366" s="11" t="s">
        <v>1390</v>
      </c>
      <c r="E1366" s="11" t="s">
        <v>1062</v>
      </c>
      <c r="F1366" s="11" t="s">
        <v>2219</v>
      </c>
      <c r="J1366" s="11">
        <v>-9.10548591613769</v>
      </c>
      <c r="K1366" s="11">
        <v>-41.8531761169433</v>
      </c>
      <c r="L1366" s="11" t="s">
        <v>1390</v>
      </c>
      <c r="M1366" s="11" t="s">
        <v>1390</v>
      </c>
      <c r="N1366" s="11" t="s">
        <v>1062</v>
      </c>
      <c r="O1366" s="11" t="s">
        <v>2219</v>
      </c>
    </row>
    <row r="1367">
      <c r="A1367" s="11">
        <v>-4.94201755523681</v>
      </c>
      <c r="B1367" s="11">
        <v>-26.2969532012939</v>
      </c>
      <c r="C1367" s="11" t="s">
        <v>1390</v>
      </c>
      <c r="D1367" s="11" t="s">
        <v>1390</v>
      </c>
      <c r="E1367" s="11" t="s">
        <v>1062</v>
      </c>
      <c r="F1367" s="11" t="s">
        <v>2221</v>
      </c>
      <c r="J1367" s="11">
        <v>57.8239135742187</v>
      </c>
      <c r="K1367" s="11">
        <v>-19.9393081665039</v>
      </c>
      <c r="L1367" s="11" t="s">
        <v>1390</v>
      </c>
      <c r="M1367" s="11" t="s">
        <v>1390</v>
      </c>
      <c r="N1367" s="11" t="s">
        <v>1062</v>
      </c>
      <c r="O1367" s="11" t="s">
        <v>2221</v>
      </c>
    </row>
    <row r="1368">
      <c r="A1368" s="11">
        <v>-11.2917003631591</v>
      </c>
      <c r="B1368" s="11">
        <v>-25.7242965698242</v>
      </c>
      <c r="C1368" s="11" t="s">
        <v>1390</v>
      </c>
      <c r="D1368" s="11" t="s">
        <v>1390</v>
      </c>
      <c r="E1368" s="11" t="s">
        <v>1062</v>
      </c>
      <c r="F1368" s="11" t="s">
        <v>2223</v>
      </c>
      <c r="J1368" s="11">
        <v>50.8825645446777</v>
      </c>
      <c r="K1368" s="11">
        <v>1.62051534652709</v>
      </c>
      <c r="L1368" s="11" t="s">
        <v>1390</v>
      </c>
      <c r="M1368" s="11" t="s">
        <v>1390</v>
      </c>
      <c r="N1368" s="11" t="s">
        <v>1062</v>
      </c>
      <c r="O1368" s="11" t="s">
        <v>2223</v>
      </c>
    </row>
    <row r="1369">
      <c r="A1369" s="11">
        <v>-11.3172464370727</v>
      </c>
      <c r="B1369" s="11">
        <v>-10.8930749893188</v>
      </c>
      <c r="C1369" s="11" t="s">
        <v>1390</v>
      </c>
      <c r="D1369" s="11" t="s">
        <v>1390</v>
      </c>
      <c r="E1369" s="11" t="s">
        <v>1062</v>
      </c>
      <c r="F1369" s="11" t="s">
        <v>2225</v>
      </c>
      <c r="J1369" s="11">
        <v>-12.930453300476</v>
      </c>
      <c r="K1369" s="11">
        <v>-38.2491874694824</v>
      </c>
      <c r="L1369" s="11" t="s">
        <v>1390</v>
      </c>
      <c r="M1369" s="11" t="s">
        <v>1390</v>
      </c>
      <c r="N1369" s="11" t="s">
        <v>1062</v>
      </c>
      <c r="O1369" s="11" t="s">
        <v>2225</v>
      </c>
    </row>
    <row r="1370">
      <c r="A1370" s="11">
        <v>15.6715583801269</v>
      </c>
      <c r="B1370" s="11">
        <v>-19.5174331665039</v>
      </c>
      <c r="C1370" s="11" t="s">
        <v>1390</v>
      </c>
      <c r="D1370" s="11" t="s">
        <v>1390</v>
      </c>
      <c r="E1370" s="11" t="s">
        <v>1062</v>
      </c>
      <c r="F1370" s="11" t="s">
        <v>2227</v>
      </c>
      <c r="J1370" s="11">
        <v>-20.6695880889892</v>
      </c>
      <c r="K1370" s="11">
        <v>-30.7630901336669</v>
      </c>
      <c r="L1370" s="11" t="s">
        <v>1390</v>
      </c>
      <c r="M1370" s="11" t="s">
        <v>1390</v>
      </c>
      <c r="N1370" s="11" t="s">
        <v>1062</v>
      </c>
      <c r="O1370" s="11" t="s">
        <v>2227</v>
      </c>
    </row>
    <row r="1371">
      <c r="A1371" s="11">
        <v>16.8605518341064</v>
      </c>
      <c r="B1371" s="11">
        <v>-18.5808734893798</v>
      </c>
      <c r="C1371" s="11" t="s">
        <v>1390</v>
      </c>
      <c r="D1371" s="11" t="s">
        <v>1390</v>
      </c>
      <c r="E1371" s="11" t="s">
        <v>1062</v>
      </c>
      <c r="F1371" s="11" t="s">
        <v>2229</v>
      </c>
      <c r="J1371" s="11">
        <v>-19.83225440979</v>
      </c>
      <c r="K1371" s="11">
        <v>-31.0235748291015</v>
      </c>
      <c r="L1371" s="11" t="s">
        <v>1390</v>
      </c>
      <c r="M1371" s="11" t="s">
        <v>1390</v>
      </c>
      <c r="N1371" s="11" t="s">
        <v>1062</v>
      </c>
      <c r="O1371" s="11" t="s">
        <v>2229</v>
      </c>
    </row>
    <row r="1372">
      <c r="A1372" s="11">
        <v>-22.7111129760742</v>
      </c>
      <c r="B1372" s="11">
        <v>-26.7364635467529</v>
      </c>
      <c r="C1372" s="11" t="s">
        <v>1390</v>
      </c>
      <c r="D1372" s="11" t="s">
        <v>1390</v>
      </c>
      <c r="E1372" s="11" t="s">
        <v>1062</v>
      </c>
      <c r="F1372" s="11" t="s">
        <v>2231</v>
      </c>
      <c r="J1372" s="11">
        <v>-9.48622322082519</v>
      </c>
      <c r="K1372" s="11">
        <v>-42.3446044921875</v>
      </c>
      <c r="L1372" s="11" t="s">
        <v>1390</v>
      </c>
      <c r="M1372" s="11" t="s">
        <v>1390</v>
      </c>
      <c r="N1372" s="11" t="s">
        <v>1062</v>
      </c>
      <c r="O1372" s="11" t="s">
        <v>2231</v>
      </c>
    </row>
    <row r="1373">
      <c r="A1373" s="11">
        <v>3.9657711982727</v>
      </c>
      <c r="B1373" s="11">
        <v>-18.4030838012695</v>
      </c>
      <c r="C1373" s="11" t="s">
        <v>1390</v>
      </c>
      <c r="D1373" s="11" t="s">
        <v>1390</v>
      </c>
      <c r="E1373" s="11" t="s">
        <v>1062</v>
      </c>
      <c r="F1373" s="11" t="s">
        <v>2234</v>
      </c>
      <c r="J1373" s="11">
        <v>-24.7004222869873</v>
      </c>
      <c r="K1373" s="11">
        <v>-39.4447860717773</v>
      </c>
      <c r="L1373" s="11" t="s">
        <v>1390</v>
      </c>
      <c r="M1373" s="11" t="s">
        <v>1390</v>
      </c>
      <c r="N1373" s="11" t="s">
        <v>1062</v>
      </c>
      <c r="O1373" s="11" t="s">
        <v>2234</v>
      </c>
    </row>
    <row r="1374">
      <c r="A1374" s="11">
        <v>-21.1631031036376</v>
      </c>
      <c r="B1374" s="11">
        <v>-34.2443199157714</v>
      </c>
      <c r="C1374" s="11" t="s">
        <v>1390</v>
      </c>
      <c r="D1374" s="11" t="s">
        <v>1390</v>
      </c>
      <c r="E1374" s="11" t="s">
        <v>1062</v>
      </c>
      <c r="F1374" s="11" t="s">
        <v>2236</v>
      </c>
      <c r="J1374" s="11">
        <v>-19.0338020324707</v>
      </c>
      <c r="K1374" s="11">
        <v>-43.6773452758789</v>
      </c>
      <c r="L1374" s="11" t="s">
        <v>1390</v>
      </c>
      <c r="M1374" s="11" t="s">
        <v>1390</v>
      </c>
      <c r="N1374" s="11" t="s">
        <v>1062</v>
      </c>
      <c r="O1374" s="11" t="s">
        <v>2236</v>
      </c>
    </row>
    <row r="1375">
      <c r="A1375" s="11">
        <v>16.5874710083007</v>
      </c>
      <c r="B1375" s="11">
        <v>-19.4102630615234</v>
      </c>
      <c r="C1375" s="11" t="s">
        <v>1390</v>
      </c>
      <c r="D1375" s="11" t="s">
        <v>1390</v>
      </c>
      <c r="E1375" s="11" t="s">
        <v>1062</v>
      </c>
      <c r="F1375" s="11" t="s">
        <v>2237</v>
      </c>
      <c r="J1375" s="11">
        <v>-19.83225440979</v>
      </c>
      <c r="K1375" s="11">
        <v>-31.0235748291015</v>
      </c>
      <c r="L1375" s="11" t="s">
        <v>1390</v>
      </c>
      <c r="M1375" s="11" t="s">
        <v>1390</v>
      </c>
      <c r="N1375" s="11" t="s">
        <v>1062</v>
      </c>
      <c r="O1375" s="11" t="s">
        <v>2237</v>
      </c>
    </row>
    <row r="1376">
      <c r="A1376" s="11">
        <v>1.66043543815612</v>
      </c>
      <c r="B1376" s="11">
        <v>-33.6028060913085</v>
      </c>
      <c r="C1376" s="11" t="s">
        <v>1390</v>
      </c>
      <c r="D1376" s="11" t="s">
        <v>1390</v>
      </c>
      <c r="E1376" s="11" t="s">
        <v>1062</v>
      </c>
      <c r="F1376" s="11" t="s">
        <v>2239</v>
      </c>
      <c r="J1376" s="11">
        <v>-32.781810760498</v>
      </c>
      <c r="K1376" s="11">
        <v>-48.1757164001464</v>
      </c>
      <c r="L1376" s="11" t="s">
        <v>1390</v>
      </c>
      <c r="M1376" s="11" t="s">
        <v>1390</v>
      </c>
      <c r="N1376" s="11" t="s">
        <v>1062</v>
      </c>
      <c r="O1376" s="11" t="s">
        <v>2239</v>
      </c>
    </row>
    <row r="1377">
      <c r="A1377" s="11">
        <v>1.68790078163146</v>
      </c>
      <c r="B1377" s="11">
        <v>-14.0090608596801</v>
      </c>
      <c r="C1377" s="11" t="s">
        <v>1390</v>
      </c>
      <c r="D1377" s="11" t="s">
        <v>1390</v>
      </c>
      <c r="E1377" s="11" t="s">
        <v>1062</v>
      </c>
      <c r="F1377" s="11" t="s">
        <v>2241</v>
      </c>
      <c r="J1377" s="11">
        <v>-31.7163562774658</v>
      </c>
      <c r="K1377" s="11">
        <v>-46.3611183166503</v>
      </c>
      <c r="L1377" s="11" t="s">
        <v>1390</v>
      </c>
      <c r="M1377" s="11" t="s">
        <v>1390</v>
      </c>
      <c r="N1377" s="11" t="s">
        <v>1062</v>
      </c>
      <c r="O1377" s="11" t="s">
        <v>2241</v>
      </c>
    </row>
    <row r="1378">
      <c r="A1378" s="11">
        <v>-22.7111129760742</v>
      </c>
      <c r="B1378" s="11">
        <v>-26.7364635467529</v>
      </c>
      <c r="C1378" s="11" t="s">
        <v>1390</v>
      </c>
      <c r="D1378" s="11" t="s">
        <v>1390</v>
      </c>
      <c r="E1378" s="11" t="s">
        <v>1062</v>
      </c>
      <c r="F1378" s="11" t="s">
        <v>2243</v>
      </c>
      <c r="J1378" s="11">
        <v>-9.10548591613769</v>
      </c>
      <c r="K1378" s="11">
        <v>-41.8531761169433</v>
      </c>
      <c r="L1378" s="11" t="s">
        <v>1390</v>
      </c>
      <c r="M1378" s="11" t="s">
        <v>1390</v>
      </c>
      <c r="N1378" s="11" t="s">
        <v>1062</v>
      </c>
      <c r="O1378" s="11" t="s">
        <v>2243</v>
      </c>
    </row>
    <row r="1379">
      <c r="A1379" s="11">
        <v>20.9172325134277</v>
      </c>
      <c r="B1379" s="11">
        <v>-37.9430313110351</v>
      </c>
      <c r="C1379" s="11" t="s">
        <v>1390</v>
      </c>
      <c r="D1379" s="11" t="s">
        <v>1390</v>
      </c>
      <c r="E1379" s="11" t="s">
        <v>1062</v>
      </c>
      <c r="F1379" s="11" t="s">
        <v>2245</v>
      </c>
      <c r="J1379" s="11">
        <v>-35.4178276062011</v>
      </c>
      <c r="K1379" s="11">
        <v>-46.203140258789</v>
      </c>
      <c r="L1379" s="11" t="s">
        <v>1390</v>
      </c>
      <c r="M1379" s="11" t="s">
        <v>1390</v>
      </c>
      <c r="N1379" s="11" t="s">
        <v>1062</v>
      </c>
      <c r="O1379" s="11" t="s">
        <v>2245</v>
      </c>
    </row>
    <row r="1380">
      <c r="A1380" s="11">
        <v>-31.9288120269775</v>
      </c>
      <c r="B1380" s="11">
        <v>-51.774169921875</v>
      </c>
      <c r="C1380" s="11" t="s">
        <v>1390</v>
      </c>
      <c r="D1380" s="11" t="s">
        <v>1390</v>
      </c>
      <c r="E1380" s="11" t="s">
        <v>1062</v>
      </c>
      <c r="F1380" s="11" t="s">
        <v>2248</v>
      </c>
      <c r="J1380" s="11">
        <v>-16.8588333129882</v>
      </c>
      <c r="K1380" s="11">
        <v>-41.1616020202636</v>
      </c>
      <c r="L1380" s="11" t="s">
        <v>1390</v>
      </c>
      <c r="M1380" s="11" t="s">
        <v>1390</v>
      </c>
      <c r="N1380" s="11" t="s">
        <v>1062</v>
      </c>
      <c r="O1380" s="11" t="s">
        <v>2248</v>
      </c>
    </row>
    <row r="1381">
      <c r="A1381" s="11">
        <v>-23.1049118041992</v>
      </c>
      <c r="B1381" s="11">
        <v>-27.8892822265625</v>
      </c>
      <c r="C1381" s="11" t="s">
        <v>1390</v>
      </c>
      <c r="D1381" s="11" t="s">
        <v>1390</v>
      </c>
      <c r="E1381" s="11" t="s">
        <v>1062</v>
      </c>
      <c r="F1381" s="11" t="s">
        <v>2250</v>
      </c>
      <c r="J1381" s="11">
        <v>-9.63997364044189</v>
      </c>
      <c r="K1381" s="11">
        <v>-41.1131248474121</v>
      </c>
      <c r="L1381" s="11" t="s">
        <v>1390</v>
      </c>
      <c r="M1381" s="11" t="s">
        <v>1390</v>
      </c>
      <c r="N1381" s="11" t="s">
        <v>1062</v>
      </c>
      <c r="O1381" s="11" t="s">
        <v>2250</v>
      </c>
    </row>
    <row r="1382">
      <c r="A1382" s="11">
        <v>15.9182815551757</v>
      </c>
      <c r="B1382" s="11">
        <v>-18.4690742492675</v>
      </c>
      <c r="C1382" s="11" t="s">
        <v>1390</v>
      </c>
      <c r="D1382" s="11" t="s">
        <v>1390</v>
      </c>
      <c r="E1382" s="11" t="s">
        <v>1062</v>
      </c>
      <c r="F1382" s="11" t="s">
        <v>2251</v>
      </c>
      <c r="J1382" s="11">
        <v>-20.0550518035888</v>
      </c>
      <c r="K1382" s="11">
        <v>-30.3343429565429</v>
      </c>
      <c r="L1382" s="11" t="s">
        <v>1390</v>
      </c>
      <c r="M1382" s="11" t="s">
        <v>1390</v>
      </c>
      <c r="N1382" s="11" t="s">
        <v>1062</v>
      </c>
      <c r="O1382" s="11" t="s">
        <v>2251</v>
      </c>
    </row>
    <row r="1383">
      <c r="A1383" s="11">
        <v>15.9182815551757</v>
      </c>
      <c r="B1383" s="11">
        <v>-18.4690742492675</v>
      </c>
      <c r="C1383" s="11" t="s">
        <v>1390</v>
      </c>
      <c r="D1383" s="11" t="s">
        <v>1390</v>
      </c>
      <c r="E1383" s="11" t="s">
        <v>1062</v>
      </c>
      <c r="F1383" s="11" t="s">
        <v>2253</v>
      </c>
      <c r="J1383" s="11">
        <v>-19.559434890747</v>
      </c>
      <c r="K1383" s="11">
        <v>-30.4346199035644</v>
      </c>
      <c r="L1383" s="11" t="s">
        <v>1390</v>
      </c>
      <c r="M1383" s="11" t="s">
        <v>1390</v>
      </c>
      <c r="N1383" s="11" t="s">
        <v>1062</v>
      </c>
      <c r="O1383" s="11" t="s">
        <v>2253</v>
      </c>
    </row>
    <row r="1384">
      <c r="A1384" s="11">
        <v>7.0175347328186</v>
      </c>
      <c r="B1384" s="11">
        <v>-28.9048175811767</v>
      </c>
      <c r="C1384" s="11" t="s">
        <v>1390</v>
      </c>
      <c r="D1384" s="11" t="s">
        <v>1390</v>
      </c>
      <c r="E1384" s="11" t="s">
        <v>1062</v>
      </c>
      <c r="F1384" s="11" t="s">
        <v>2255</v>
      </c>
      <c r="J1384" s="11">
        <v>-28.443862915039</v>
      </c>
      <c r="K1384" s="11">
        <v>-39.3195533752441</v>
      </c>
      <c r="L1384" s="11" t="s">
        <v>1390</v>
      </c>
      <c r="M1384" s="11" t="s">
        <v>1390</v>
      </c>
      <c r="N1384" s="11" t="s">
        <v>1062</v>
      </c>
      <c r="O1384" s="11" t="s">
        <v>2255</v>
      </c>
    </row>
    <row r="1385">
      <c r="A1385" s="11">
        <v>-11.6708183288574</v>
      </c>
      <c r="B1385" s="11">
        <v>-11.5041742324829</v>
      </c>
      <c r="C1385" s="11" t="s">
        <v>1390</v>
      </c>
      <c r="D1385" s="11" t="s">
        <v>1390</v>
      </c>
      <c r="E1385" s="11" t="s">
        <v>1062</v>
      </c>
      <c r="F1385" s="11" t="s">
        <v>2258</v>
      </c>
      <c r="J1385" s="11">
        <v>-12.61812210083</v>
      </c>
      <c r="K1385" s="11">
        <v>-37.7801322937011</v>
      </c>
      <c r="L1385" s="11" t="s">
        <v>1390</v>
      </c>
      <c r="M1385" s="11" t="s">
        <v>1390</v>
      </c>
      <c r="N1385" s="11" t="s">
        <v>1062</v>
      </c>
      <c r="O1385" s="11" t="s">
        <v>2258</v>
      </c>
    </row>
    <row r="1386">
      <c r="A1386" s="11">
        <v>-8.16990089416503</v>
      </c>
      <c r="B1386" s="11">
        <v>-18.5469341278076</v>
      </c>
      <c r="C1386" s="11" t="s">
        <v>1390</v>
      </c>
      <c r="D1386" s="11" t="s">
        <v>1390</v>
      </c>
      <c r="E1386" s="11" t="s">
        <v>1062</v>
      </c>
      <c r="F1386" s="11" t="s">
        <v>2259</v>
      </c>
      <c r="J1386" s="11">
        <v>-28.3545570373535</v>
      </c>
      <c r="K1386" s="11">
        <v>-50.6390800476074</v>
      </c>
      <c r="L1386" s="11" t="s">
        <v>1390</v>
      </c>
      <c r="M1386" s="11" t="s">
        <v>1390</v>
      </c>
      <c r="N1386" s="11" t="s">
        <v>1062</v>
      </c>
      <c r="O1386" s="11" t="s">
        <v>2259</v>
      </c>
    </row>
    <row r="1387">
      <c r="A1387" s="11">
        <v>-9.24665737152099</v>
      </c>
      <c r="B1387" s="11">
        <v>-28.2063846588134</v>
      </c>
      <c r="C1387" s="11" t="s">
        <v>1390</v>
      </c>
      <c r="D1387" s="11" t="s">
        <v>1390</v>
      </c>
      <c r="E1387" s="11" t="s">
        <v>1062</v>
      </c>
      <c r="F1387" s="11" t="s">
        <v>2261</v>
      </c>
      <c r="J1387" s="11">
        <v>-42.4057922363281</v>
      </c>
      <c r="K1387" s="11">
        <v>-40.3785438537597</v>
      </c>
      <c r="L1387" s="11" t="s">
        <v>1390</v>
      </c>
      <c r="M1387" s="11" t="s">
        <v>1390</v>
      </c>
      <c r="N1387" s="11" t="s">
        <v>1062</v>
      </c>
      <c r="O1387" s="11" t="s">
        <v>2261</v>
      </c>
    </row>
    <row r="1388">
      <c r="A1388" s="11">
        <v>-11.339108467102</v>
      </c>
      <c r="B1388" s="11">
        <v>-10.9364919662475</v>
      </c>
      <c r="C1388" s="11" t="s">
        <v>1390</v>
      </c>
      <c r="D1388" s="11" t="s">
        <v>1390</v>
      </c>
      <c r="E1388" s="11" t="s">
        <v>1062</v>
      </c>
      <c r="F1388" s="11" t="s">
        <v>2263</v>
      </c>
      <c r="J1388" s="11">
        <v>-12.9203729629516</v>
      </c>
      <c r="K1388" s="11">
        <v>-38.2397727966308</v>
      </c>
      <c r="L1388" s="11" t="s">
        <v>1390</v>
      </c>
      <c r="M1388" s="11" t="s">
        <v>1390</v>
      </c>
      <c r="N1388" s="11" t="s">
        <v>1062</v>
      </c>
      <c r="O1388" s="11" t="s">
        <v>2263</v>
      </c>
    </row>
    <row r="1389">
      <c r="A1389" s="11">
        <v>-31.9288120269775</v>
      </c>
      <c r="B1389" s="11">
        <v>-51.774169921875</v>
      </c>
      <c r="C1389" s="11" t="s">
        <v>1390</v>
      </c>
      <c r="D1389" s="11" t="s">
        <v>1390</v>
      </c>
      <c r="E1389" s="11" t="s">
        <v>1062</v>
      </c>
      <c r="F1389" s="11" t="s">
        <v>2265</v>
      </c>
      <c r="J1389" s="11">
        <v>-16.8592090606689</v>
      </c>
      <c r="K1389" s="11">
        <v>-41.1614074707031</v>
      </c>
      <c r="L1389" s="11" t="s">
        <v>1390</v>
      </c>
      <c r="M1389" s="11" t="s">
        <v>1390</v>
      </c>
      <c r="N1389" s="11" t="s">
        <v>1062</v>
      </c>
      <c r="O1389" s="11" t="s">
        <v>2265</v>
      </c>
    </row>
    <row r="1390">
      <c r="A1390" s="11">
        <v>6.08112907409668</v>
      </c>
      <c r="B1390" s="11">
        <v>-27.0669498443603</v>
      </c>
      <c r="C1390" s="11" t="s">
        <v>1390</v>
      </c>
      <c r="D1390" s="11" t="s">
        <v>1390</v>
      </c>
      <c r="E1390" s="11" t="s">
        <v>1062</v>
      </c>
      <c r="F1390" s="11" t="s">
        <v>2267</v>
      </c>
      <c r="J1390" s="11">
        <v>35.5511741638183</v>
      </c>
      <c r="K1390" s="11">
        <v>-23.9580993652343</v>
      </c>
      <c r="L1390" s="11" t="s">
        <v>1390</v>
      </c>
      <c r="M1390" s="11" t="s">
        <v>1390</v>
      </c>
      <c r="N1390" s="11" t="s">
        <v>1062</v>
      </c>
      <c r="O1390" s="11" t="s">
        <v>2267</v>
      </c>
    </row>
    <row r="1391">
      <c r="A1391" s="11">
        <v>-4.12108564376831</v>
      </c>
      <c r="B1391" s="11">
        <v>-21.7219161987304</v>
      </c>
      <c r="C1391" s="11" t="s">
        <v>1390</v>
      </c>
      <c r="D1391" s="11" t="s">
        <v>1390</v>
      </c>
      <c r="E1391" s="11" t="s">
        <v>1062</v>
      </c>
      <c r="F1391" s="11" t="s">
        <v>2269</v>
      </c>
      <c r="J1391" s="11">
        <v>-32.1080207824707</v>
      </c>
      <c r="K1391" s="11">
        <v>-39.4900016784668</v>
      </c>
      <c r="L1391" s="11" t="s">
        <v>1390</v>
      </c>
      <c r="M1391" s="11" t="s">
        <v>1390</v>
      </c>
      <c r="N1391" s="11" t="s">
        <v>1062</v>
      </c>
      <c r="O1391" s="11" t="s">
        <v>2269</v>
      </c>
    </row>
    <row r="1392">
      <c r="A1392" s="11">
        <v>-23.1049118041992</v>
      </c>
      <c r="B1392" s="11">
        <v>-27.8892822265625</v>
      </c>
      <c r="C1392" s="11" t="s">
        <v>1390</v>
      </c>
      <c r="D1392" s="11" t="s">
        <v>1390</v>
      </c>
      <c r="E1392" s="11" t="s">
        <v>1062</v>
      </c>
      <c r="F1392" s="11" t="s">
        <v>2270</v>
      </c>
      <c r="J1392" s="11">
        <v>-9.25503349304199</v>
      </c>
      <c r="K1392" s="11">
        <v>-41.1702575683593</v>
      </c>
      <c r="L1392" s="11" t="s">
        <v>1390</v>
      </c>
      <c r="M1392" s="11" t="s">
        <v>1390</v>
      </c>
      <c r="N1392" s="11" t="s">
        <v>1062</v>
      </c>
      <c r="O1392" s="11" t="s">
        <v>2270</v>
      </c>
    </row>
    <row r="1393">
      <c r="A1393" s="11">
        <v>-21.1631031036376</v>
      </c>
      <c r="B1393" s="11">
        <v>-34.2443199157714</v>
      </c>
      <c r="C1393" s="11" t="s">
        <v>1390</v>
      </c>
      <c r="D1393" s="11" t="s">
        <v>1390</v>
      </c>
      <c r="E1393" s="11" t="s">
        <v>1062</v>
      </c>
      <c r="F1393" s="11" t="s">
        <v>2272</v>
      </c>
      <c r="J1393" s="11">
        <v>-19.0345363616943</v>
      </c>
      <c r="K1393" s="11">
        <v>-43.6791229248046</v>
      </c>
      <c r="L1393" s="11" t="s">
        <v>1390</v>
      </c>
      <c r="M1393" s="11" t="s">
        <v>1390</v>
      </c>
      <c r="N1393" s="11" t="s">
        <v>1062</v>
      </c>
      <c r="O1393" s="11" t="s">
        <v>2272</v>
      </c>
    </row>
    <row r="1394">
      <c r="A1394" s="11">
        <v>64.6354217529296</v>
      </c>
      <c r="B1394" s="11">
        <v>-31.8374443054199</v>
      </c>
      <c r="C1394" s="11" t="s">
        <v>2524</v>
      </c>
      <c r="D1394" s="11" t="s">
        <v>2524</v>
      </c>
      <c r="E1394" s="11" t="s">
        <v>1062</v>
      </c>
      <c r="F1394" s="11" t="s">
        <v>2732</v>
      </c>
      <c r="J1394" s="11">
        <v>-65.1553802490234</v>
      </c>
      <c r="K1394" s="11">
        <v>-17.3019351959228</v>
      </c>
      <c r="L1394" s="11" t="s">
        <v>2524</v>
      </c>
      <c r="M1394" s="11" t="s">
        <v>2524</v>
      </c>
      <c r="N1394" s="11" t="s">
        <v>1062</v>
      </c>
      <c r="O1394" s="11" t="s">
        <v>2732</v>
      </c>
    </row>
    <row r="1395">
      <c r="A1395" s="11">
        <v>48.227912902832</v>
      </c>
      <c r="B1395" s="11">
        <v>-13.128059387207</v>
      </c>
      <c r="C1395" s="11" t="s">
        <v>2524</v>
      </c>
      <c r="D1395" s="11" t="s">
        <v>2524</v>
      </c>
      <c r="E1395" s="11" t="s">
        <v>1062</v>
      </c>
      <c r="F1395" s="11" t="s">
        <v>2733</v>
      </c>
      <c r="J1395" s="11">
        <v>-65.075080871582</v>
      </c>
      <c r="K1395" s="11">
        <v>-20.9152202606201</v>
      </c>
      <c r="L1395" s="11" t="s">
        <v>2524</v>
      </c>
      <c r="M1395" s="11" t="s">
        <v>2524</v>
      </c>
      <c r="N1395" s="11" t="s">
        <v>1062</v>
      </c>
      <c r="O1395" s="11" t="s">
        <v>2733</v>
      </c>
    </row>
    <row r="1396">
      <c r="A1396" s="11">
        <v>59.4582176208496</v>
      </c>
      <c r="B1396" s="11">
        <v>-26.6161270141601</v>
      </c>
      <c r="C1396" s="11" t="s">
        <v>2524</v>
      </c>
      <c r="D1396" s="11" t="s">
        <v>2524</v>
      </c>
      <c r="E1396" s="11" t="s">
        <v>1062</v>
      </c>
      <c r="F1396" s="11" t="s">
        <v>2734</v>
      </c>
      <c r="J1396" s="11">
        <v>-62.6816291809082</v>
      </c>
      <c r="K1396" s="11">
        <v>-24.6247444152832</v>
      </c>
      <c r="L1396" s="11" t="s">
        <v>2524</v>
      </c>
      <c r="M1396" s="11" t="s">
        <v>2524</v>
      </c>
      <c r="N1396" s="11" t="s">
        <v>1062</v>
      </c>
      <c r="O1396" s="11" t="s">
        <v>2734</v>
      </c>
    </row>
    <row r="1397">
      <c r="A1397" s="11">
        <v>36.4662857055664</v>
      </c>
      <c r="B1397" s="11">
        <v>-12.3011465072631</v>
      </c>
      <c r="C1397" s="11" t="s">
        <v>2524</v>
      </c>
      <c r="D1397" s="11" t="s">
        <v>2524</v>
      </c>
      <c r="E1397" s="11" t="s">
        <v>1062</v>
      </c>
      <c r="F1397" s="11" t="s">
        <v>2735</v>
      </c>
      <c r="J1397" s="11">
        <v>-69.5530242919921</v>
      </c>
      <c r="K1397" s="11">
        <v>-20.0247440338134</v>
      </c>
      <c r="L1397" s="11" t="s">
        <v>2524</v>
      </c>
      <c r="M1397" s="11" t="s">
        <v>2524</v>
      </c>
      <c r="N1397" s="11" t="s">
        <v>1062</v>
      </c>
      <c r="O1397" s="11" t="s">
        <v>2735</v>
      </c>
    </row>
    <row r="1398">
      <c r="A1398" s="11">
        <v>-46.0671005249023</v>
      </c>
      <c r="B1398" s="11">
        <v>-9.14754962921142</v>
      </c>
      <c r="C1398" s="11" t="s">
        <v>1879</v>
      </c>
      <c r="D1398" s="11" t="s">
        <v>1879</v>
      </c>
      <c r="E1398" s="11" t="s">
        <v>1062</v>
      </c>
      <c r="F1398" s="11" t="s">
        <v>2276</v>
      </c>
      <c r="J1398" s="11">
        <v>22.5199871063232</v>
      </c>
      <c r="K1398" s="11">
        <v>-39.4311485290527</v>
      </c>
      <c r="L1398" s="11" t="s">
        <v>1879</v>
      </c>
      <c r="M1398" s="11" t="s">
        <v>1879</v>
      </c>
      <c r="N1398" s="11" t="s">
        <v>1062</v>
      </c>
      <c r="O1398" s="11" t="s">
        <v>2276</v>
      </c>
    </row>
    <row r="1399">
      <c r="A1399" s="11">
        <v>-55.5857238769531</v>
      </c>
      <c r="B1399" s="11">
        <v>-10.6347494125366</v>
      </c>
      <c r="C1399" s="11" t="s">
        <v>1879</v>
      </c>
      <c r="D1399" s="11" t="s">
        <v>1879</v>
      </c>
      <c r="E1399" s="11" t="s">
        <v>1062</v>
      </c>
      <c r="F1399" s="11" t="s">
        <v>2278</v>
      </c>
      <c r="J1399" s="11">
        <v>23.976707458496</v>
      </c>
      <c r="K1399" s="11">
        <v>-44.7792472839355</v>
      </c>
      <c r="L1399" s="11" t="s">
        <v>1879</v>
      </c>
      <c r="M1399" s="11" t="s">
        <v>1879</v>
      </c>
      <c r="N1399" s="11" t="s">
        <v>1062</v>
      </c>
      <c r="O1399" s="11" t="s">
        <v>2278</v>
      </c>
    </row>
    <row r="1400">
      <c r="A1400" s="11">
        <v>-55.1421546936035</v>
      </c>
      <c r="B1400" s="11">
        <v>-9.91141605377197</v>
      </c>
      <c r="C1400" s="11" t="s">
        <v>1879</v>
      </c>
      <c r="D1400" s="11" t="s">
        <v>1879</v>
      </c>
      <c r="E1400" s="11" t="s">
        <v>1062</v>
      </c>
      <c r="F1400" s="11" t="s">
        <v>2280</v>
      </c>
      <c r="J1400" s="11">
        <v>24.3831005096435</v>
      </c>
      <c r="K1400" s="11">
        <v>-45.528564453125</v>
      </c>
      <c r="L1400" s="11" t="s">
        <v>1879</v>
      </c>
      <c r="M1400" s="11" t="s">
        <v>1879</v>
      </c>
      <c r="N1400" s="11" t="s">
        <v>1062</v>
      </c>
      <c r="O1400" s="11" t="s">
        <v>2280</v>
      </c>
    </row>
    <row r="1401">
      <c r="A1401" s="11">
        <v>-38.5233497619628</v>
      </c>
      <c r="B1401" s="11">
        <v>-17.2061653137207</v>
      </c>
      <c r="C1401" s="11" t="s">
        <v>1879</v>
      </c>
      <c r="D1401" s="11" t="s">
        <v>1879</v>
      </c>
      <c r="E1401" s="11" t="s">
        <v>1062</v>
      </c>
      <c r="F1401" s="11" t="s">
        <v>2282</v>
      </c>
      <c r="J1401" s="11">
        <v>32.2484550476074</v>
      </c>
      <c r="K1401" s="11">
        <v>-47.8830223083496</v>
      </c>
      <c r="L1401" s="11" t="s">
        <v>1879</v>
      </c>
      <c r="M1401" s="11" t="s">
        <v>1879</v>
      </c>
      <c r="N1401" s="11" t="s">
        <v>1062</v>
      </c>
      <c r="O1401" s="11" t="s">
        <v>2282</v>
      </c>
    </row>
    <row r="1402">
      <c r="A1402" s="11">
        <v>-54.3245315551757</v>
      </c>
      <c r="B1402" s="11">
        <v>-9.97791004180908</v>
      </c>
      <c r="C1402" s="11" t="s">
        <v>1879</v>
      </c>
      <c r="D1402" s="11" t="s">
        <v>1879</v>
      </c>
      <c r="E1402" s="11" t="s">
        <v>1062</v>
      </c>
      <c r="F1402" s="11" t="s">
        <v>2286</v>
      </c>
      <c r="J1402" s="11">
        <v>23.5311985015869</v>
      </c>
      <c r="K1402" s="11">
        <v>-45.3458023071289</v>
      </c>
      <c r="L1402" s="11" t="s">
        <v>1879</v>
      </c>
      <c r="M1402" s="11" t="s">
        <v>1879</v>
      </c>
      <c r="N1402" s="11" t="s">
        <v>1062</v>
      </c>
      <c r="O1402" s="11" t="s">
        <v>2286</v>
      </c>
    </row>
    <row r="1403">
      <c r="A1403" s="11">
        <v>-51.8584327697753</v>
      </c>
      <c r="B1403" s="11">
        <v>-16.7422771453857</v>
      </c>
      <c r="C1403" s="11" t="s">
        <v>1879</v>
      </c>
      <c r="D1403" s="11" t="s">
        <v>1879</v>
      </c>
      <c r="E1403" s="11" t="s">
        <v>1062</v>
      </c>
      <c r="F1403" s="11" t="s">
        <v>2289</v>
      </c>
      <c r="J1403" s="11">
        <v>26.6395378112792</v>
      </c>
      <c r="K1403" s="11">
        <v>-39.953872680664</v>
      </c>
      <c r="L1403" s="11" t="s">
        <v>1879</v>
      </c>
      <c r="M1403" s="11" t="s">
        <v>1879</v>
      </c>
      <c r="N1403" s="11" t="s">
        <v>1062</v>
      </c>
      <c r="O1403" s="11" t="s">
        <v>2289</v>
      </c>
    </row>
    <row r="1404">
      <c r="A1404" s="11">
        <v>-24.7457809448242</v>
      </c>
      <c r="B1404" s="11">
        <v>37.5336952209472</v>
      </c>
      <c r="C1404" s="11" t="s">
        <v>1879</v>
      </c>
      <c r="D1404" s="11" t="s">
        <v>1879</v>
      </c>
      <c r="E1404" s="11" t="s">
        <v>1062</v>
      </c>
      <c r="F1404" s="11" t="s">
        <v>2291</v>
      </c>
      <c r="J1404" s="11">
        <v>27.2386875152587</v>
      </c>
      <c r="K1404" s="11">
        <v>-58.0197143554687</v>
      </c>
      <c r="L1404" s="11" t="s">
        <v>1879</v>
      </c>
      <c r="M1404" s="11" t="s">
        <v>1879</v>
      </c>
      <c r="N1404" s="11" t="s">
        <v>1062</v>
      </c>
      <c r="O1404" s="11" t="s">
        <v>2291</v>
      </c>
    </row>
    <row r="1405">
      <c r="A1405" s="11">
        <v>-38.5233497619628</v>
      </c>
      <c r="B1405" s="11">
        <v>-17.2061653137207</v>
      </c>
      <c r="C1405" s="11" t="s">
        <v>1879</v>
      </c>
      <c r="D1405" s="11" t="s">
        <v>1879</v>
      </c>
      <c r="E1405" s="11" t="s">
        <v>1062</v>
      </c>
      <c r="F1405" s="11" t="s">
        <v>2294</v>
      </c>
      <c r="J1405" s="11">
        <v>32.3853530883789</v>
      </c>
      <c r="K1405" s="11">
        <v>-47.5962791442871</v>
      </c>
      <c r="L1405" s="11" t="s">
        <v>1879</v>
      </c>
      <c r="M1405" s="11" t="s">
        <v>1879</v>
      </c>
      <c r="N1405" s="11" t="s">
        <v>1062</v>
      </c>
      <c r="O1405" s="11" t="s">
        <v>2294</v>
      </c>
    </row>
    <row r="1406">
      <c r="A1406" s="11">
        <v>-54.2782592773437</v>
      </c>
      <c r="B1406" s="11">
        <v>-11.4772691726684</v>
      </c>
      <c r="C1406" s="11" t="s">
        <v>1879</v>
      </c>
      <c r="D1406" s="11" t="s">
        <v>1879</v>
      </c>
      <c r="E1406" s="11" t="s">
        <v>1062</v>
      </c>
      <c r="F1406" s="11" t="s">
        <v>2296</v>
      </c>
      <c r="J1406" s="11">
        <v>23.9769573211669</v>
      </c>
      <c r="K1406" s="11">
        <v>-46.1596450805664</v>
      </c>
      <c r="L1406" s="11" t="s">
        <v>1879</v>
      </c>
      <c r="M1406" s="11" t="s">
        <v>1879</v>
      </c>
      <c r="N1406" s="11" t="s">
        <v>1062</v>
      </c>
      <c r="O1406" s="11" t="s">
        <v>2296</v>
      </c>
    </row>
    <row r="1407">
      <c r="A1407" s="11">
        <v>-54.7275123596191</v>
      </c>
      <c r="B1407" s="11">
        <v>-10.6970062255859</v>
      </c>
      <c r="C1407" s="11" t="s">
        <v>1879</v>
      </c>
      <c r="D1407" s="11" t="s">
        <v>1879</v>
      </c>
      <c r="E1407" s="11" t="s">
        <v>1062</v>
      </c>
      <c r="F1407" s="11" t="s">
        <v>2298</v>
      </c>
      <c r="J1407" s="11">
        <v>24.3831005096435</v>
      </c>
      <c r="K1407" s="11">
        <v>-45.528564453125</v>
      </c>
      <c r="L1407" s="11" t="s">
        <v>1879</v>
      </c>
      <c r="M1407" s="11" t="s">
        <v>1879</v>
      </c>
      <c r="N1407" s="11" t="s">
        <v>1062</v>
      </c>
      <c r="O1407" s="11" t="s">
        <v>2298</v>
      </c>
    </row>
    <row r="1408">
      <c r="A1408" s="11">
        <v>-53.8975830078125</v>
      </c>
      <c r="B1408" s="11">
        <v>-10.7522773742675</v>
      </c>
      <c r="C1408" s="11" t="s">
        <v>1879</v>
      </c>
      <c r="D1408" s="11" t="s">
        <v>1879</v>
      </c>
      <c r="E1408" s="11" t="s">
        <v>1062</v>
      </c>
      <c r="F1408" s="11" t="s">
        <v>2300</v>
      </c>
      <c r="J1408" s="11">
        <v>23.5507011413574</v>
      </c>
      <c r="K1408" s="11">
        <v>-45.8236503601074</v>
      </c>
      <c r="L1408" s="11" t="s">
        <v>1879</v>
      </c>
      <c r="M1408" s="11" t="s">
        <v>1879</v>
      </c>
      <c r="N1408" s="11" t="s">
        <v>1062</v>
      </c>
      <c r="O1408" s="11" t="s">
        <v>2300</v>
      </c>
    </row>
    <row r="1409">
      <c r="A1409" s="11">
        <v>-70.3436203002929</v>
      </c>
      <c r="B1409" s="11">
        <v>-4.26563215255737</v>
      </c>
      <c r="C1409" s="11" t="s">
        <v>1879</v>
      </c>
      <c r="D1409" s="11" t="s">
        <v>1879</v>
      </c>
      <c r="E1409" s="11" t="s">
        <v>1062</v>
      </c>
      <c r="F1409" s="11" t="s">
        <v>2303</v>
      </c>
      <c r="J1409" s="11">
        <v>27.5697975158691</v>
      </c>
      <c r="K1409" s="11">
        <v>-43.1940231323242</v>
      </c>
      <c r="L1409" s="11" t="s">
        <v>1879</v>
      </c>
      <c r="M1409" s="11" t="s">
        <v>1879</v>
      </c>
      <c r="N1409" s="11" t="s">
        <v>1062</v>
      </c>
      <c r="O1409" s="11" t="s">
        <v>2303</v>
      </c>
    </row>
    <row r="1410">
      <c r="A1410" s="11">
        <v>-24.7457809448242</v>
      </c>
      <c r="B1410" s="11">
        <v>37.5336952209472</v>
      </c>
      <c r="C1410" s="11" t="s">
        <v>1879</v>
      </c>
      <c r="D1410" s="11" t="s">
        <v>1879</v>
      </c>
      <c r="E1410" s="11" t="s">
        <v>1062</v>
      </c>
      <c r="F1410" s="11" t="s">
        <v>2305</v>
      </c>
      <c r="J1410" s="11">
        <v>27.2386875152587</v>
      </c>
      <c r="K1410" s="11">
        <v>-58.0197143554687</v>
      </c>
      <c r="L1410" s="11" t="s">
        <v>1879</v>
      </c>
      <c r="M1410" s="11" t="s">
        <v>1879</v>
      </c>
      <c r="N1410" s="11" t="s">
        <v>1062</v>
      </c>
      <c r="O1410" s="11" t="s">
        <v>2305</v>
      </c>
    </row>
    <row r="1411">
      <c r="A1411" s="11">
        <v>-55.1322441101074</v>
      </c>
      <c r="B1411" s="11">
        <v>-11.3885869979858</v>
      </c>
      <c r="C1411" s="11" t="s">
        <v>1879</v>
      </c>
      <c r="D1411" s="11" t="s">
        <v>1879</v>
      </c>
      <c r="E1411" s="11" t="s">
        <v>1062</v>
      </c>
      <c r="F1411" s="11" t="s">
        <v>2309</v>
      </c>
      <c r="J1411" s="11">
        <v>24.3831005096435</v>
      </c>
      <c r="K1411" s="11">
        <v>-45.528564453125</v>
      </c>
      <c r="L1411" s="11" t="s">
        <v>1879</v>
      </c>
      <c r="M1411" s="11" t="s">
        <v>1879</v>
      </c>
      <c r="N1411" s="11" t="s">
        <v>1062</v>
      </c>
      <c r="O1411" s="11" t="s">
        <v>2309</v>
      </c>
    </row>
    <row r="1412">
      <c r="A1412" s="11">
        <v>-37.7960662841796</v>
      </c>
      <c r="B1412" s="11">
        <v>-17.744457244873</v>
      </c>
      <c r="C1412" s="11" t="s">
        <v>1879</v>
      </c>
      <c r="D1412" s="11" t="s">
        <v>1879</v>
      </c>
      <c r="E1412" s="11" t="s">
        <v>1062</v>
      </c>
      <c r="F1412" s="11" t="s">
        <v>2311</v>
      </c>
      <c r="J1412" s="11">
        <v>31.7400856018066</v>
      </c>
      <c r="K1412" s="11">
        <v>-47.4233322143554</v>
      </c>
      <c r="L1412" s="11" t="s">
        <v>1879</v>
      </c>
      <c r="M1412" s="11" t="s">
        <v>1879</v>
      </c>
      <c r="N1412" s="11" t="s">
        <v>1062</v>
      </c>
      <c r="O1412" s="11" t="s">
        <v>2311</v>
      </c>
    </row>
    <row r="1413">
      <c r="A1413" s="11">
        <v>-24.7457809448242</v>
      </c>
      <c r="B1413" s="11">
        <v>37.5336952209472</v>
      </c>
      <c r="C1413" s="11" t="s">
        <v>1879</v>
      </c>
      <c r="D1413" s="11" t="s">
        <v>1879</v>
      </c>
      <c r="E1413" s="11" t="s">
        <v>1062</v>
      </c>
      <c r="F1413" s="11" t="s">
        <v>2312</v>
      </c>
      <c r="J1413" s="11">
        <v>27.2386875152587</v>
      </c>
      <c r="K1413" s="11">
        <v>-58.0197143554687</v>
      </c>
      <c r="L1413" s="11" t="s">
        <v>1879</v>
      </c>
      <c r="M1413" s="11" t="s">
        <v>1879</v>
      </c>
      <c r="N1413" s="11" t="s">
        <v>1062</v>
      </c>
      <c r="O1413" s="11" t="s">
        <v>2312</v>
      </c>
    </row>
    <row r="1414">
      <c r="A1414" s="11">
        <v>-24.7457809448242</v>
      </c>
      <c r="B1414" s="11">
        <v>37.5336952209472</v>
      </c>
      <c r="C1414" s="11" t="s">
        <v>1879</v>
      </c>
      <c r="D1414" s="11" t="s">
        <v>1879</v>
      </c>
      <c r="E1414" s="11" t="s">
        <v>1062</v>
      </c>
      <c r="F1414" s="11" t="s">
        <v>2315</v>
      </c>
      <c r="J1414" s="11">
        <v>26.9364929199218</v>
      </c>
      <c r="K1414" s="11">
        <v>-57.9861717224121</v>
      </c>
      <c r="L1414" s="11" t="s">
        <v>1879</v>
      </c>
      <c r="M1414" s="11" t="s">
        <v>1879</v>
      </c>
      <c r="N1414" s="11" t="s">
        <v>1062</v>
      </c>
      <c r="O1414" s="11" t="s">
        <v>2315</v>
      </c>
    </row>
    <row r="1415">
      <c r="A1415" s="11">
        <v>-11.6195859909057</v>
      </c>
      <c r="B1415" s="11">
        <v>-6.40993118286132</v>
      </c>
      <c r="C1415" s="11" t="s">
        <v>2602</v>
      </c>
      <c r="D1415" s="11" t="s">
        <v>2602</v>
      </c>
      <c r="E1415" s="11" t="s">
        <v>1062</v>
      </c>
      <c r="F1415" s="11" t="s">
        <v>2736</v>
      </c>
      <c r="J1415" s="11">
        <v>-32.7061500549316</v>
      </c>
      <c r="K1415" s="11">
        <v>-30.2276306152343</v>
      </c>
      <c r="L1415" s="11" t="s">
        <v>2602</v>
      </c>
      <c r="M1415" s="11" t="s">
        <v>2602</v>
      </c>
      <c r="N1415" s="11" t="s">
        <v>1062</v>
      </c>
      <c r="O1415" s="11" t="s">
        <v>2736</v>
      </c>
    </row>
    <row r="1416">
      <c r="A1416" s="11">
        <v>25.0671577453613</v>
      </c>
      <c r="B1416" s="11">
        <v>14.1689147949218</v>
      </c>
      <c r="C1416" s="11" t="s">
        <v>2602</v>
      </c>
      <c r="D1416" s="11" t="s">
        <v>2602</v>
      </c>
      <c r="E1416" s="11" t="s">
        <v>1062</v>
      </c>
      <c r="F1416" s="11" t="s">
        <v>2737</v>
      </c>
      <c r="J1416" s="11">
        <v>-37.7219734191894</v>
      </c>
      <c r="K1416" s="11">
        <v>-28.4095306396484</v>
      </c>
      <c r="L1416" s="11" t="s">
        <v>2602</v>
      </c>
      <c r="M1416" s="11" t="s">
        <v>2602</v>
      </c>
      <c r="N1416" s="11" t="s">
        <v>1062</v>
      </c>
      <c r="O1416" s="11" t="s">
        <v>2737</v>
      </c>
    </row>
    <row r="1417">
      <c r="A1417" s="11">
        <v>8.40948009490966</v>
      </c>
      <c r="B1417" s="11">
        <v>-5.50428915023803</v>
      </c>
      <c r="C1417" s="11" t="s">
        <v>2602</v>
      </c>
      <c r="D1417" s="11" t="s">
        <v>2602</v>
      </c>
      <c r="E1417" s="11" t="s">
        <v>1062</v>
      </c>
      <c r="F1417" s="11" t="s">
        <v>2739</v>
      </c>
      <c r="J1417" s="11">
        <v>-32.9500198364257</v>
      </c>
      <c r="K1417" s="11">
        <v>-27.2594509124755</v>
      </c>
      <c r="L1417" s="11" t="s">
        <v>2602</v>
      </c>
      <c r="M1417" s="11" t="s">
        <v>2602</v>
      </c>
      <c r="N1417" s="11" t="s">
        <v>1062</v>
      </c>
      <c r="O1417" s="11" t="s">
        <v>2739</v>
      </c>
    </row>
    <row r="1418">
      <c r="A1418" s="11">
        <v>13.3914003372192</v>
      </c>
      <c r="B1418" s="11">
        <v>-12.0920515060424</v>
      </c>
      <c r="C1418" s="11" t="s">
        <v>2602</v>
      </c>
      <c r="D1418" s="11" t="s">
        <v>2602</v>
      </c>
      <c r="E1418" s="11" t="s">
        <v>1062</v>
      </c>
      <c r="F1418" s="11" t="s">
        <v>2741</v>
      </c>
      <c r="J1418" s="11">
        <v>-34.9431915283203</v>
      </c>
      <c r="K1418" s="11">
        <v>-29.0909347534179</v>
      </c>
      <c r="L1418" s="11" t="s">
        <v>2602</v>
      </c>
      <c r="M1418" s="11" t="s">
        <v>2602</v>
      </c>
      <c r="N1418" s="11" t="s">
        <v>1062</v>
      </c>
      <c r="O1418" s="11" t="s">
        <v>2741</v>
      </c>
    </row>
    <row r="1419">
      <c r="A1419" s="11">
        <v>33.2401657104492</v>
      </c>
      <c r="B1419" s="11">
        <v>-3.35764169692993</v>
      </c>
      <c r="C1419" s="11" t="s">
        <v>1061</v>
      </c>
      <c r="D1419" s="11" t="s">
        <v>1061</v>
      </c>
      <c r="E1419" s="11" t="s">
        <v>1062</v>
      </c>
      <c r="F1419" s="11" t="s">
        <v>2743</v>
      </c>
      <c r="J1419" s="11">
        <v>-24.632942199707</v>
      </c>
      <c r="K1419" s="11">
        <v>29.9628849029541</v>
      </c>
      <c r="L1419" s="11" t="s">
        <v>1061</v>
      </c>
      <c r="M1419" s="11" t="s">
        <v>1061</v>
      </c>
      <c r="N1419" s="11" t="s">
        <v>1062</v>
      </c>
      <c r="O1419" s="11" t="s">
        <v>2743</v>
      </c>
    </row>
    <row r="1420">
      <c r="A1420" s="11">
        <v>52.527660369873</v>
      </c>
      <c r="B1420" s="11">
        <v>10.754596710205</v>
      </c>
      <c r="C1420" s="11" t="s">
        <v>1061</v>
      </c>
      <c r="D1420" s="11" t="s">
        <v>1061</v>
      </c>
      <c r="E1420" s="11" t="s">
        <v>1062</v>
      </c>
      <c r="F1420" s="11" t="s">
        <v>2744</v>
      </c>
      <c r="J1420" s="11">
        <v>-27.7365703582763</v>
      </c>
      <c r="K1420" s="11">
        <v>24.0181045532226</v>
      </c>
      <c r="L1420" s="11" t="s">
        <v>1061</v>
      </c>
      <c r="M1420" s="11" t="s">
        <v>1061</v>
      </c>
      <c r="N1420" s="11" t="s">
        <v>1062</v>
      </c>
      <c r="O1420" s="11" t="s">
        <v>2744</v>
      </c>
    </row>
    <row r="1421">
      <c r="A1421" s="11">
        <v>-20.308687210083</v>
      </c>
      <c r="B1421" s="11">
        <v>-4.50786542892456</v>
      </c>
      <c r="C1421" s="11" t="s">
        <v>1061</v>
      </c>
      <c r="D1421" s="11" t="s">
        <v>1061</v>
      </c>
      <c r="E1421" s="11" t="s">
        <v>1062</v>
      </c>
      <c r="F1421" s="11" t="s">
        <v>2745</v>
      </c>
      <c r="J1421" s="11">
        <v>-4.024742603302</v>
      </c>
      <c r="K1421" s="11">
        <v>26.0364933013916</v>
      </c>
      <c r="L1421" s="11" t="s">
        <v>1061</v>
      </c>
      <c r="M1421" s="11" t="s">
        <v>1061</v>
      </c>
      <c r="N1421" s="11" t="s">
        <v>1062</v>
      </c>
      <c r="O1421" s="11" t="s">
        <v>2745</v>
      </c>
    </row>
    <row r="1422">
      <c r="A1422" s="11">
        <v>-4.84981107711792</v>
      </c>
      <c r="B1422" s="11">
        <v>59.1656799316406</v>
      </c>
      <c r="C1422" s="11" t="s">
        <v>1061</v>
      </c>
      <c r="D1422" s="11" t="s">
        <v>1061</v>
      </c>
      <c r="E1422" s="11" t="s">
        <v>1062</v>
      </c>
      <c r="F1422" s="11" t="s">
        <v>2746</v>
      </c>
      <c r="J1422" s="11">
        <v>34.3862571716308</v>
      </c>
      <c r="K1422" s="11">
        <v>-5.93109226226806</v>
      </c>
      <c r="L1422" s="11" t="s">
        <v>1061</v>
      </c>
      <c r="M1422" s="11" t="s">
        <v>1061</v>
      </c>
      <c r="N1422" s="11" t="s">
        <v>1062</v>
      </c>
      <c r="O1422" s="11" t="s">
        <v>2746</v>
      </c>
    </row>
    <row r="1423">
      <c r="A1423" s="11">
        <v>34.7124938964843</v>
      </c>
      <c r="B1423" s="11">
        <v>8.54672241210937</v>
      </c>
      <c r="C1423" s="11" t="s">
        <v>1061</v>
      </c>
      <c r="D1423" s="11" t="s">
        <v>1061</v>
      </c>
      <c r="E1423" s="11" t="s">
        <v>1062</v>
      </c>
      <c r="F1423" s="11" t="s">
        <v>2747</v>
      </c>
      <c r="J1423" s="11">
        <v>-25.670783996582</v>
      </c>
      <c r="K1423" s="11">
        <v>20.4912185668945</v>
      </c>
      <c r="L1423" s="11" t="s">
        <v>1061</v>
      </c>
      <c r="M1423" s="11" t="s">
        <v>1061</v>
      </c>
      <c r="N1423" s="11" t="s">
        <v>1062</v>
      </c>
      <c r="O1423" s="11" t="s">
        <v>2747</v>
      </c>
    </row>
    <row r="1424">
      <c r="A1424" s="11">
        <v>24.4785022735595</v>
      </c>
      <c r="B1424" s="11">
        <v>29.0226898193359</v>
      </c>
      <c r="C1424" s="11" t="s">
        <v>1061</v>
      </c>
      <c r="D1424" s="11" t="s">
        <v>1061</v>
      </c>
      <c r="E1424" s="11" t="s">
        <v>1062</v>
      </c>
      <c r="F1424" s="11" t="s">
        <v>2748</v>
      </c>
      <c r="J1424" s="11">
        <v>-4.8095965385437</v>
      </c>
      <c r="K1424" s="11">
        <v>36.4821891784668</v>
      </c>
      <c r="L1424" s="11" t="s">
        <v>1061</v>
      </c>
      <c r="M1424" s="11" t="s">
        <v>1061</v>
      </c>
      <c r="N1424" s="11" t="s">
        <v>1062</v>
      </c>
      <c r="O1424" s="11" t="s">
        <v>2748</v>
      </c>
    </row>
    <row r="1425">
      <c r="A1425" s="11">
        <v>32.5821380615234</v>
      </c>
      <c r="B1425" s="11">
        <v>-3.30636548995971</v>
      </c>
      <c r="C1425" s="11" t="s">
        <v>1061</v>
      </c>
      <c r="D1425" s="11" t="s">
        <v>1061</v>
      </c>
      <c r="E1425" s="11" t="s">
        <v>1062</v>
      </c>
      <c r="F1425" s="11" t="s">
        <v>2749</v>
      </c>
      <c r="J1425" s="11">
        <v>-24.5007610321044</v>
      </c>
      <c r="K1425" s="11">
        <v>30.3372859954834</v>
      </c>
      <c r="L1425" s="11" t="s">
        <v>1061</v>
      </c>
      <c r="M1425" s="11" t="s">
        <v>1061</v>
      </c>
      <c r="N1425" s="11" t="s">
        <v>1062</v>
      </c>
      <c r="O1425" s="11" t="s">
        <v>2749</v>
      </c>
    </row>
    <row r="1426">
      <c r="A1426" s="11">
        <v>-20.0664653778076</v>
      </c>
      <c r="B1426" s="11">
        <v>-5.17490053176879</v>
      </c>
      <c r="C1426" s="11" t="s">
        <v>1061</v>
      </c>
      <c r="D1426" s="11" t="s">
        <v>1061</v>
      </c>
      <c r="E1426" s="11" t="s">
        <v>1062</v>
      </c>
      <c r="F1426" s="11" t="s">
        <v>2750</v>
      </c>
      <c r="J1426" s="11">
        <v>-4.35237741470336</v>
      </c>
      <c r="K1426" s="11">
        <v>25.7225360870361</v>
      </c>
      <c r="L1426" s="11" t="s">
        <v>1061</v>
      </c>
      <c r="M1426" s="11" t="s">
        <v>1061</v>
      </c>
      <c r="N1426" s="11" t="s">
        <v>1062</v>
      </c>
      <c r="O1426" s="11" t="s">
        <v>2750</v>
      </c>
    </row>
    <row r="1427">
      <c r="A1427" s="11">
        <v>-2.21649694442749</v>
      </c>
      <c r="B1427" s="11">
        <v>25.1247463226318</v>
      </c>
      <c r="C1427" s="11" t="s">
        <v>1061</v>
      </c>
      <c r="D1427" s="11" t="s">
        <v>1061</v>
      </c>
      <c r="E1427" s="11" t="s">
        <v>1062</v>
      </c>
      <c r="F1427" s="11" t="s">
        <v>2751</v>
      </c>
      <c r="J1427" s="11">
        <v>-5.61979627609252</v>
      </c>
      <c r="K1427" s="11">
        <v>-1.58870983123779</v>
      </c>
      <c r="L1427" s="11" t="s">
        <v>1061</v>
      </c>
      <c r="M1427" s="11" t="s">
        <v>1061</v>
      </c>
      <c r="N1427" s="11" t="s">
        <v>1062</v>
      </c>
      <c r="O1427" s="11" t="s">
        <v>2751</v>
      </c>
    </row>
    <row r="1428">
      <c r="A1428" s="11">
        <v>34.7138404846191</v>
      </c>
      <c r="B1428" s="11">
        <v>7.27018976211547</v>
      </c>
      <c r="C1428" s="11" t="s">
        <v>1061</v>
      </c>
      <c r="D1428" s="11" t="s">
        <v>1061</v>
      </c>
      <c r="E1428" s="11" t="s">
        <v>1062</v>
      </c>
      <c r="F1428" s="11" t="s">
        <v>2752</v>
      </c>
      <c r="J1428" s="11">
        <v>-26.1856880187988</v>
      </c>
      <c r="K1428" s="11">
        <v>19.8012447357177</v>
      </c>
      <c r="L1428" s="11" t="s">
        <v>1061</v>
      </c>
      <c r="M1428" s="11" t="s">
        <v>1061</v>
      </c>
      <c r="N1428" s="11" t="s">
        <v>1062</v>
      </c>
      <c r="O1428" s="11" t="s">
        <v>2752</v>
      </c>
    </row>
    <row r="1429">
      <c r="A1429" s="11">
        <v>-20.0664653778076</v>
      </c>
      <c r="B1429" s="11">
        <v>-5.17490053176879</v>
      </c>
      <c r="C1429" s="11" t="s">
        <v>1061</v>
      </c>
      <c r="D1429" s="11" t="s">
        <v>1061</v>
      </c>
      <c r="E1429" s="11" t="s">
        <v>1062</v>
      </c>
      <c r="F1429" s="11" t="s">
        <v>2753</v>
      </c>
      <c r="J1429" s="11">
        <v>-4.35659790039062</v>
      </c>
      <c r="K1429" s="11">
        <v>25.7252674102783</v>
      </c>
      <c r="L1429" s="11" t="s">
        <v>1061</v>
      </c>
      <c r="M1429" s="11" t="s">
        <v>1061</v>
      </c>
      <c r="N1429" s="11" t="s">
        <v>1062</v>
      </c>
      <c r="O1429" s="11" t="s">
        <v>2753</v>
      </c>
    </row>
    <row r="1430">
      <c r="A1430" s="11">
        <v>-4.84981107711792</v>
      </c>
      <c r="B1430" s="11">
        <v>59.1656799316406</v>
      </c>
      <c r="C1430" s="11" t="s">
        <v>1061</v>
      </c>
      <c r="D1430" s="11" t="s">
        <v>1061</v>
      </c>
      <c r="E1430" s="11" t="s">
        <v>1062</v>
      </c>
      <c r="F1430" s="11" t="s">
        <v>2754</v>
      </c>
      <c r="J1430" s="11">
        <v>33.4849510192871</v>
      </c>
      <c r="K1430" s="11">
        <v>-6.51918363571167</v>
      </c>
      <c r="L1430" s="11" t="s">
        <v>1061</v>
      </c>
      <c r="M1430" s="11" t="s">
        <v>1061</v>
      </c>
      <c r="N1430" s="11" t="s">
        <v>1062</v>
      </c>
      <c r="O1430" s="11" t="s">
        <v>2754</v>
      </c>
    </row>
    <row r="1431">
      <c r="A1431" s="11">
        <v>30.3642330169677</v>
      </c>
      <c r="B1431" s="11">
        <v>9.56414318084716</v>
      </c>
      <c r="C1431" s="11" t="s">
        <v>1061</v>
      </c>
      <c r="D1431" s="11" t="s">
        <v>1061</v>
      </c>
      <c r="E1431" s="11" t="s">
        <v>1062</v>
      </c>
      <c r="F1431" s="11" t="s">
        <v>2755</v>
      </c>
      <c r="J1431" s="11">
        <v>-29.8294563293457</v>
      </c>
      <c r="K1431" s="11">
        <v>19.9867858886718</v>
      </c>
      <c r="L1431" s="11" t="s">
        <v>1061</v>
      </c>
      <c r="M1431" s="11" t="s">
        <v>1061</v>
      </c>
      <c r="N1431" s="11" t="s">
        <v>1062</v>
      </c>
      <c r="O1431" s="11" t="s">
        <v>2755</v>
      </c>
    </row>
    <row r="1432">
      <c r="A1432" s="11">
        <v>16.5186748504638</v>
      </c>
      <c r="B1432" s="11">
        <v>17.076021194458</v>
      </c>
      <c r="C1432" s="11" t="s">
        <v>1061</v>
      </c>
      <c r="D1432" s="11" t="s">
        <v>1061</v>
      </c>
      <c r="E1432" s="11" t="s">
        <v>1062</v>
      </c>
      <c r="F1432" s="11" t="s">
        <v>2756</v>
      </c>
      <c r="J1432" s="11">
        <v>-8.67476844787597</v>
      </c>
      <c r="K1432" s="11">
        <v>28.1538162231445</v>
      </c>
      <c r="L1432" s="11" t="s">
        <v>1061</v>
      </c>
      <c r="M1432" s="11" t="s">
        <v>1061</v>
      </c>
      <c r="N1432" s="11" t="s">
        <v>1062</v>
      </c>
      <c r="O1432" s="11" t="s">
        <v>2756</v>
      </c>
    </row>
    <row r="1433">
      <c r="A1433" s="11">
        <v>-4.84981107711792</v>
      </c>
      <c r="B1433" s="11">
        <v>59.1656799316406</v>
      </c>
      <c r="C1433" s="11" t="s">
        <v>1061</v>
      </c>
      <c r="D1433" s="11" t="s">
        <v>1061</v>
      </c>
      <c r="E1433" s="11" t="s">
        <v>1062</v>
      </c>
      <c r="F1433" s="11" t="s">
        <v>2757</v>
      </c>
      <c r="J1433" s="11">
        <v>33.4849510192871</v>
      </c>
      <c r="K1433" s="11">
        <v>-6.51918363571167</v>
      </c>
      <c r="L1433" s="11" t="s">
        <v>1061</v>
      </c>
      <c r="M1433" s="11" t="s">
        <v>1061</v>
      </c>
      <c r="N1433" s="11" t="s">
        <v>1062</v>
      </c>
      <c r="O1433" s="11" t="s">
        <v>2757</v>
      </c>
    </row>
    <row r="1434">
      <c r="A1434" s="11">
        <v>-2.4384217262268</v>
      </c>
      <c r="B1434" s="11">
        <v>34.9113235473632</v>
      </c>
      <c r="C1434" s="11" t="s">
        <v>1061</v>
      </c>
      <c r="D1434" s="11" t="s">
        <v>1061</v>
      </c>
      <c r="E1434" s="11" t="s">
        <v>1062</v>
      </c>
      <c r="F1434" s="11" t="s">
        <v>2758</v>
      </c>
      <c r="J1434" s="11">
        <v>-18.257978439331</v>
      </c>
      <c r="K1434" s="11">
        <v>18.7095279693603</v>
      </c>
      <c r="L1434" s="11" t="s">
        <v>1061</v>
      </c>
      <c r="M1434" s="11" t="s">
        <v>1061</v>
      </c>
      <c r="N1434" s="11" t="s">
        <v>1062</v>
      </c>
      <c r="O1434" s="11" t="s">
        <v>2758</v>
      </c>
    </row>
    <row r="1435">
      <c r="A1435" s="11">
        <v>25.1226234436035</v>
      </c>
      <c r="B1435" s="11">
        <v>28.6959934234619</v>
      </c>
      <c r="C1435" s="11" t="s">
        <v>1061</v>
      </c>
      <c r="D1435" s="11" t="s">
        <v>1061</v>
      </c>
      <c r="E1435" s="11" t="s">
        <v>1062</v>
      </c>
      <c r="F1435" s="11" t="s">
        <v>2759</v>
      </c>
      <c r="J1435" s="11">
        <v>-4.44430351257324</v>
      </c>
      <c r="K1435" s="11">
        <v>36.9499320983886</v>
      </c>
      <c r="L1435" s="11" t="s">
        <v>1061</v>
      </c>
      <c r="M1435" s="11" t="s">
        <v>1061</v>
      </c>
      <c r="N1435" s="11" t="s">
        <v>1062</v>
      </c>
      <c r="O1435" s="11" t="s">
        <v>2759</v>
      </c>
    </row>
    <row r="1436">
      <c r="A1436" s="11">
        <v>33.5121955871582</v>
      </c>
      <c r="B1436" s="11">
        <v>-2.74744844436645</v>
      </c>
      <c r="C1436" s="11" t="s">
        <v>1061</v>
      </c>
      <c r="D1436" s="11" t="s">
        <v>1061</v>
      </c>
      <c r="E1436" s="11" t="s">
        <v>1062</v>
      </c>
      <c r="F1436" s="11" t="s">
        <v>2760</v>
      </c>
      <c r="J1436" s="11">
        <v>-23.9917697906494</v>
      </c>
      <c r="K1436" s="11">
        <v>29.9631595611572</v>
      </c>
      <c r="L1436" s="11" t="s">
        <v>1061</v>
      </c>
      <c r="M1436" s="11" t="s">
        <v>1061</v>
      </c>
      <c r="N1436" s="11" t="s">
        <v>1062</v>
      </c>
      <c r="O1436" s="11" t="s">
        <v>2760</v>
      </c>
    </row>
    <row r="1437">
      <c r="A1437" s="11">
        <v>32.4419708251953</v>
      </c>
      <c r="B1437" s="11">
        <v>-2.66673398017883</v>
      </c>
      <c r="C1437" s="11" t="s">
        <v>1061</v>
      </c>
      <c r="D1437" s="11" t="s">
        <v>1061</v>
      </c>
      <c r="E1437" s="11" t="s">
        <v>1062</v>
      </c>
      <c r="F1437" s="11" t="s">
        <v>2761</v>
      </c>
      <c r="J1437" s="11">
        <v>-24.1136436462402</v>
      </c>
      <c r="K1437" s="11">
        <v>30.342866897583</v>
      </c>
      <c r="L1437" s="11" t="s">
        <v>1061</v>
      </c>
      <c r="M1437" s="11" t="s">
        <v>1061</v>
      </c>
      <c r="N1437" s="11" t="s">
        <v>1062</v>
      </c>
      <c r="O1437" s="11" t="s">
        <v>2761</v>
      </c>
    </row>
    <row r="1438">
      <c r="A1438" s="11">
        <v>26.2174625396728</v>
      </c>
      <c r="B1438" s="11">
        <v>35.7406387329101</v>
      </c>
      <c r="C1438" s="11" t="s">
        <v>1061</v>
      </c>
      <c r="D1438" s="11" t="s">
        <v>1061</v>
      </c>
      <c r="E1438" s="11" t="s">
        <v>1062</v>
      </c>
      <c r="F1438" s="11" t="s">
        <v>2763</v>
      </c>
      <c r="J1438" s="11">
        <v>-20.6323490142822</v>
      </c>
      <c r="K1438" s="11">
        <v>30.9255981445312</v>
      </c>
      <c r="L1438" s="11" t="s">
        <v>1061</v>
      </c>
      <c r="M1438" s="11" t="s">
        <v>1061</v>
      </c>
      <c r="N1438" s="11" t="s">
        <v>1062</v>
      </c>
      <c r="O1438" s="11" t="s">
        <v>2763</v>
      </c>
    </row>
    <row r="1439">
      <c r="A1439" s="11">
        <v>9.11450004577636</v>
      </c>
      <c r="B1439" s="11">
        <v>9.27756309509277</v>
      </c>
      <c r="C1439" s="11" t="s">
        <v>1061</v>
      </c>
      <c r="D1439" s="11" t="s">
        <v>1061</v>
      </c>
      <c r="E1439" s="11" t="s">
        <v>1062</v>
      </c>
      <c r="F1439" s="11" t="s">
        <v>2764</v>
      </c>
      <c r="J1439" s="11">
        <v>-29.8690395355224</v>
      </c>
      <c r="K1439" s="11">
        <v>5.61960124969482</v>
      </c>
      <c r="L1439" s="11" t="s">
        <v>1061</v>
      </c>
      <c r="M1439" s="11" t="s">
        <v>1061</v>
      </c>
      <c r="N1439" s="11" t="s">
        <v>1062</v>
      </c>
      <c r="O1439" s="11" t="s">
        <v>2764</v>
      </c>
    </row>
    <row r="1440">
      <c r="A1440" s="11">
        <v>11.8045721054077</v>
      </c>
      <c r="B1440" s="11">
        <v>-0.435088396072387</v>
      </c>
      <c r="C1440" s="11" t="s">
        <v>1061</v>
      </c>
      <c r="D1440" s="11" t="s">
        <v>1061</v>
      </c>
      <c r="E1440" s="11" t="s">
        <v>1062</v>
      </c>
      <c r="F1440" s="11" t="s">
        <v>2765</v>
      </c>
      <c r="J1440" s="11">
        <v>-19.5014724731445</v>
      </c>
      <c r="K1440" s="11">
        <v>6.1694164276123</v>
      </c>
      <c r="L1440" s="11" t="s">
        <v>1061</v>
      </c>
      <c r="M1440" s="11" t="s">
        <v>1061</v>
      </c>
      <c r="N1440" s="11" t="s">
        <v>1062</v>
      </c>
      <c r="O1440" s="11" t="s">
        <v>2765</v>
      </c>
    </row>
    <row r="1441">
      <c r="A1441" s="11">
        <v>54.7725486755371</v>
      </c>
      <c r="B1441" s="11">
        <v>8.63050460815429</v>
      </c>
      <c r="C1441" s="11" t="s">
        <v>1061</v>
      </c>
      <c r="D1441" s="11" t="s">
        <v>1061</v>
      </c>
      <c r="E1441" s="11" t="s">
        <v>1062</v>
      </c>
      <c r="F1441" s="11" t="s">
        <v>2766</v>
      </c>
      <c r="J1441" s="11">
        <v>-33.346450805664</v>
      </c>
      <c r="K1441" s="11">
        <v>26.0019512176513</v>
      </c>
      <c r="L1441" s="11" t="s">
        <v>1061</v>
      </c>
      <c r="M1441" s="11" t="s">
        <v>1061</v>
      </c>
      <c r="N1441" s="11" t="s">
        <v>1062</v>
      </c>
      <c r="O1441" s="11" t="s">
        <v>2766</v>
      </c>
    </row>
    <row r="1442">
      <c r="A1442" s="11">
        <v>82.1934814453125</v>
      </c>
      <c r="B1442" s="11">
        <v>-18.906150817871</v>
      </c>
      <c r="C1442" s="11" t="s">
        <v>1061</v>
      </c>
      <c r="D1442" s="11" t="s">
        <v>1061</v>
      </c>
      <c r="E1442" s="11" t="s">
        <v>1062</v>
      </c>
      <c r="F1442" s="11" t="s">
        <v>2767</v>
      </c>
      <c r="J1442" s="11">
        <v>-38.6919021606445</v>
      </c>
      <c r="K1442" s="11">
        <v>30.9589939117431</v>
      </c>
      <c r="L1442" s="11" t="s">
        <v>1061</v>
      </c>
      <c r="M1442" s="11" t="s">
        <v>1061</v>
      </c>
      <c r="N1442" s="11" t="s">
        <v>1062</v>
      </c>
      <c r="O1442" s="11" t="s">
        <v>2767</v>
      </c>
    </row>
    <row r="1443">
      <c r="A1443" s="11">
        <v>28.7121353149414</v>
      </c>
      <c r="B1443" s="11">
        <v>19.3040027618408</v>
      </c>
      <c r="C1443" s="11" t="s">
        <v>1061</v>
      </c>
      <c r="D1443" s="11" t="s">
        <v>1061</v>
      </c>
      <c r="E1443" s="11" t="s">
        <v>1062</v>
      </c>
      <c r="F1443" s="11" t="s">
        <v>2768</v>
      </c>
      <c r="J1443" s="11">
        <v>-20.7603759765625</v>
      </c>
      <c r="K1443" s="11">
        <v>-9.14694690704345</v>
      </c>
      <c r="L1443" s="11" t="s">
        <v>1061</v>
      </c>
      <c r="M1443" s="11" t="s">
        <v>1061</v>
      </c>
      <c r="N1443" s="11" t="s">
        <v>1062</v>
      </c>
      <c r="O1443" s="11" t="s">
        <v>2768</v>
      </c>
    </row>
    <row r="1444">
      <c r="A1444" s="11">
        <v>28.7121353149414</v>
      </c>
      <c r="B1444" s="11">
        <v>19.3040027618408</v>
      </c>
      <c r="C1444" s="11" t="s">
        <v>1061</v>
      </c>
      <c r="D1444" s="11" t="s">
        <v>1061</v>
      </c>
      <c r="E1444" s="11" t="s">
        <v>1062</v>
      </c>
      <c r="F1444" s="11" t="s">
        <v>2769</v>
      </c>
      <c r="J1444" s="11">
        <v>-20.7603759765625</v>
      </c>
      <c r="K1444" s="11">
        <v>-9.14694690704345</v>
      </c>
      <c r="L1444" s="11" t="s">
        <v>1061</v>
      </c>
      <c r="M1444" s="11" t="s">
        <v>1061</v>
      </c>
      <c r="N1444" s="11" t="s">
        <v>1062</v>
      </c>
      <c r="O1444" s="11" t="s">
        <v>2769</v>
      </c>
    </row>
    <row r="1445">
      <c r="A1445" s="11">
        <v>17.3031349182128</v>
      </c>
      <c r="B1445" s="11">
        <v>17.3768634796142</v>
      </c>
      <c r="C1445" s="11" t="s">
        <v>1061</v>
      </c>
      <c r="D1445" s="11" t="s">
        <v>1061</v>
      </c>
      <c r="E1445" s="11" t="s">
        <v>1062</v>
      </c>
      <c r="F1445" s="11" t="s">
        <v>2771</v>
      </c>
      <c r="J1445" s="11">
        <v>-8.91772270202636</v>
      </c>
      <c r="K1445" s="11">
        <v>28.1666240692138</v>
      </c>
      <c r="L1445" s="11" t="s">
        <v>1061</v>
      </c>
      <c r="M1445" s="11" t="s">
        <v>1061</v>
      </c>
      <c r="N1445" s="11" t="s">
        <v>1062</v>
      </c>
      <c r="O1445" s="11" t="s">
        <v>2771</v>
      </c>
    </row>
    <row r="1446">
      <c r="A1446" s="11">
        <v>-4.84981107711792</v>
      </c>
      <c r="B1446" s="11">
        <v>59.1656799316406</v>
      </c>
      <c r="C1446" s="11" t="s">
        <v>1061</v>
      </c>
      <c r="D1446" s="11" t="s">
        <v>1061</v>
      </c>
      <c r="E1446" s="11" t="s">
        <v>1062</v>
      </c>
      <c r="F1446" s="11" t="s">
        <v>2772</v>
      </c>
      <c r="J1446" s="11">
        <v>33.8466911315918</v>
      </c>
      <c r="K1446" s="11">
        <v>-5.83363389968872</v>
      </c>
      <c r="L1446" s="11" t="s">
        <v>1061</v>
      </c>
      <c r="M1446" s="11" t="s">
        <v>1061</v>
      </c>
      <c r="N1446" s="11" t="s">
        <v>1062</v>
      </c>
      <c r="O1446" s="11" t="s">
        <v>2772</v>
      </c>
    </row>
    <row r="1447">
      <c r="A1447" s="11">
        <v>24.5196533203125</v>
      </c>
      <c r="B1447" s="11">
        <v>28.3400211334228</v>
      </c>
      <c r="C1447" s="11" t="s">
        <v>1061</v>
      </c>
      <c r="D1447" s="11" t="s">
        <v>1061</v>
      </c>
      <c r="E1447" s="11" t="s">
        <v>1062</v>
      </c>
      <c r="F1447" s="11" t="s">
        <v>2773</v>
      </c>
      <c r="J1447" s="11">
        <v>-4.48630857467651</v>
      </c>
      <c r="K1447" s="11">
        <v>36.5707130432128</v>
      </c>
      <c r="L1447" s="11" t="s">
        <v>1061</v>
      </c>
      <c r="M1447" s="11" t="s">
        <v>1061</v>
      </c>
      <c r="N1447" s="11" t="s">
        <v>1062</v>
      </c>
      <c r="O1447" s="11" t="s">
        <v>2773</v>
      </c>
    </row>
    <row r="1448">
      <c r="A1448" s="11">
        <v>34.3655281066894</v>
      </c>
      <c r="B1448" s="11">
        <v>7.87415981292724</v>
      </c>
      <c r="C1448" s="11" t="s">
        <v>1061</v>
      </c>
      <c r="D1448" s="11" t="s">
        <v>1061</v>
      </c>
      <c r="E1448" s="11" t="s">
        <v>1062</v>
      </c>
      <c r="F1448" s="11" t="s">
        <v>2774</v>
      </c>
      <c r="J1448" s="11">
        <v>-25.5351810455322</v>
      </c>
      <c r="K1448" s="11">
        <v>20.1029224395751</v>
      </c>
      <c r="L1448" s="11" t="s">
        <v>1061</v>
      </c>
      <c r="M1448" s="11" t="s">
        <v>1061</v>
      </c>
      <c r="N1448" s="11" t="s">
        <v>1062</v>
      </c>
      <c r="O1448" s="11" t="s">
        <v>2774</v>
      </c>
    </row>
    <row r="1449">
      <c r="A1449" s="11">
        <v>7.74481773376464</v>
      </c>
      <c r="B1449" s="11">
        <v>31.7612876892089</v>
      </c>
      <c r="C1449" s="11" t="s">
        <v>1061</v>
      </c>
      <c r="D1449" s="11" t="s">
        <v>1061</v>
      </c>
      <c r="E1449" s="11" t="s">
        <v>1062</v>
      </c>
      <c r="F1449" s="11" t="s">
        <v>2775</v>
      </c>
      <c r="J1449" s="11">
        <v>-4.87333679199218</v>
      </c>
      <c r="K1449" s="11">
        <v>15.2477445602417</v>
      </c>
      <c r="L1449" s="11" t="s">
        <v>1061</v>
      </c>
      <c r="M1449" s="11" t="s">
        <v>1061</v>
      </c>
      <c r="N1449" s="11" t="s">
        <v>1062</v>
      </c>
      <c r="O1449" s="11" t="s">
        <v>2775</v>
      </c>
    </row>
    <row r="1450">
      <c r="A1450" s="11">
        <v>28.7121353149414</v>
      </c>
      <c r="B1450" s="11">
        <v>19.3040027618408</v>
      </c>
      <c r="C1450" s="11" t="s">
        <v>1061</v>
      </c>
      <c r="D1450" s="11" t="s">
        <v>1061</v>
      </c>
      <c r="E1450" s="11" t="s">
        <v>1062</v>
      </c>
      <c r="F1450" s="11" t="s">
        <v>2776</v>
      </c>
      <c r="J1450" s="11">
        <v>-20.7603759765625</v>
      </c>
      <c r="K1450" s="11">
        <v>-9.14694690704345</v>
      </c>
      <c r="L1450" s="11" t="s">
        <v>1061</v>
      </c>
      <c r="M1450" s="11" t="s">
        <v>1061</v>
      </c>
      <c r="N1450" s="11" t="s">
        <v>1062</v>
      </c>
      <c r="O1450" s="11" t="s">
        <v>2776</v>
      </c>
    </row>
    <row r="1451">
      <c r="A1451" s="11">
        <v>13.2273874282836</v>
      </c>
      <c r="B1451" s="11">
        <v>30.1064147949218</v>
      </c>
      <c r="C1451" s="11" t="s">
        <v>1061</v>
      </c>
      <c r="D1451" s="11" t="s">
        <v>1061</v>
      </c>
      <c r="E1451" s="11" t="s">
        <v>1062</v>
      </c>
      <c r="F1451" s="11" t="s">
        <v>2777</v>
      </c>
      <c r="J1451" s="11">
        <v>-17.7938766479492</v>
      </c>
      <c r="K1451" s="11">
        <v>21.3647785186767</v>
      </c>
      <c r="L1451" s="11" t="s">
        <v>1061</v>
      </c>
      <c r="M1451" s="11" t="s">
        <v>1061</v>
      </c>
      <c r="N1451" s="11" t="s">
        <v>1062</v>
      </c>
      <c r="O1451" s="11" t="s">
        <v>2777</v>
      </c>
    </row>
    <row r="1452">
      <c r="A1452" s="11">
        <v>35.4703483581543</v>
      </c>
      <c r="B1452" s="11">
        <v>7.23660612106323</v>
      </c>
      <c r="C1452" s="11" t="s">
        <v>1061</v>
      </c>
      <c r="D1452" s="11" t="s">
        <v>1061</v>
      </c>
      <c r="E1452" s="11" t="s">
        <v>1062</v>
      </c>
      <c r="F1452" s="11" t="s">
        <v>2778</v>
      </c>
      <c r="J1452" s="11">
        <v>-25.8313961029052</v>
      </c>
      <c r="K1452" s="11">
        <v>19.7539691925048</v>
      </c>
      <c r="L1452" s="11" t="s">
        <v>1061</v>
      </c>
      <c r="M1452" s="11" t="s">
        <v>1061</v>
      </c>
      <c r="N1452" s="11" t="s">
        <v>1062</v>
      </c>
      <c r="O1452" s="11" t="s">
        <v>2778</v>
      </c>
    </row>
    <row r="1453">
      <c r="A1453" s="11">
        <v>35.512638092041</v>
      </c>
      <c r="B1453" s="11">
        <v>8.1294355392456</v>
      </c>
      <c r="C1453" s="11" t="s">
        <v>1061</v>
      </c>
      <c r="D1453" s="11" t="s">
        <v>1061</v>
      </c>
      <c r="E1453" s="11" t="s">
        <v>1062</v>
      </c>
      <c r="F1453" s="11" t="s">
        <v>2779</v>
      </c>
      <c r="J1453" s="11">
        <v>-26.3575820922851</v>
      </c>
      <c r="K1453" s="11">
        <v>20.2595596313476</v>
      </c>
      <c r="L1453" s="11" t="s">
        <v>1061</v>
      </c>
      <c r="M1453" s="11" t="s">
        <v>1061</v>
      </c>
      <c r="N1453" s="11" t="s">
        <v>1062</v>
      </c>
      <c r="O1453" s="11" t="s">
        <v>2779</v>
      </c>
    </row>
    <row r="1454">
      <c r="A1454" s="11">
        <v>24.5196533203125</v>
      </c>
      <c r="B1454" s="11">
        <v>28.3400211334228</v>
      </c>
      <c r="C1454" s="11" t="s">
        <v>1061</v>
      </c>
      <c r="D1454" s="11" t="s">
        <v>1061</v>
      </c>
      <c r="E1454" s="11" t="s">
        <v>1062</v>
      </c>
      <c r="F1454" s="11" t="s">
        <v>2780</v>
      </c>
      <c r="J1454" s="11">
        <v>-4.48630857467651</v>
      </c>
      <c r="K1454" s="11">
        <v>36.5707130432128</v>
      </c>
      <c r="L1454" s="11" t="s">
        <v>1061</v>
      </c>
      <c r="M1454" s="11" t="s">
        <v>1061</v>
      </c>
      <c r="N1454" s="11" t="s">
        <v>1062</v>
      </c>
      <c r="O1454" s="11" t="s">
        <v>2780</v>
      </c>
    </row>
    <row r="1455">
      <c r="A1455" s="11">
        <v>9.11256599426269</v>
      </c>
      <c r="B1455" s="11">
        <v>9.27707195281982</v>
      </c>
      <c r="C1455" s="11" t="s">
        <v>1061</v>
      </c>
      <c r="D1455" s="11" t="s">
        <v>1061</v>
      </c>
      <c r="E1455" s="11" t="s">
        <v>1062</v>
      </c>
      <c r="F1455" s="11" t="s">
        <v>2781</v>
      </c>
      <c r="J1455" s="11">
        <v>-29.8693389892578</v>
      </c>
      <c r="K1455" s="11">
        <v>5.6195650100708</v>
      </c>
      <c r="L1455" s="11" t="s">
        <v>1061</v>
      </c>
      <c r="M1455" s="11" t="s">
        <v>1061</v>
      </c>
      <c r="N1455" s="11" t="s">
        <v>1062</v>
      </c>
      <c r="O1455" s="11" t="s">
        <v>2781</v>
      </c>
    </row>
    <row r="1456">
      <c r="A1456" s="11">
        <v>35.512638092041</v>
      </c>
      <c r="B1456" s="11">
        <v>8.1294355392456</v>
      </c>
      <c r="C1456" s="11" t="s">
        <v>1061</v>
      </c>
      <c r="D1456" s="11" t="s">
        <v>1061</v>
      </c>
      <c r="E1456" s="11" t="s">
        <v>1062</v>
      </c>
      <c r="F1456" s="11" t="s">
        <v>2782</v>
      </c>
      <c r="J1456" s="11">
        <v>-26.0965690612792</v>
      </c>
      <c r="K1456" s="11">
        <v>20.556354522705</v>
      </c>
      <c r="L1456" s="11" t="s">
        <v>1061</v>
      </c>
      <c r="M1456" s="11" t="s">
        <v>1061</v>
      </c>
      <c r="N1456" s="11" t="s">
        <v>1062</v>
      </c>
      <c r="O1456" s="11" t="s">
        <v>2782</v>
      </c>
    </row>
    <row r="1457">
      <c r="A1457" s="11">
        <v>32.1116905212402</v>
      </c>
      <c r="B1457" s="11">
        <v>26.5644016265869</v>
      </c>
      <c r="C1457" s="11" t="s">
        <v>1061</v>
      </c>
      <c r="D1457" s="11" t="s">
        <v>1061</v>
      </c>
      <c r="E1457" s="11" t="s">
        <v>1062</v>
      </c>
      <c r="F1457" s="11" t="s">
        <v>2783</v>
      </c>
      <c r="J1457" s="11">
        <v>-26.6474380493164</v>
      </c>
      <c r="K1457" s="11">
        <v>13.9987335205078</v>
      </c>
      <c r="L1457" s="11" t="s">
        <v>1061</v>
      </c>
      <c r="M1457" s="11" t="s">
        <v>1061</v>
      </c>
      <c r="N1457" s="11" t="s">
        <v>1062</v>
      </c>
      <c r="O1457" s="11" t="s">
        <v>2783</v>
      </c>
    </row>
    <row r="1458">
      <c r="A1458" s="11">
        <v>16.5213108062744</v>
      </c>
      <c r="B1458" s="11">
        <v>17.080280303955</v>
      </c>
      <c r="C1458" s="11" t="s">
        <v>1061</v>
      </c>
      <c r="D1458" s="11" t="s">
        <v>1061</v>
      </c>
      <c r="E1458" s="11" t="s">
        <v>1062</v>
      </c>
      <c r="F1458" s="11" t="s">
        <v>2784</v>
      </c>
      <c r="J1458" s="11">
        <v>-8.73490238189697</v>
      </c>
      <c r="K1458" s="11">
        <v>28.1436004638671</v>
      </c>
      <c r="L1458" s="11" t="s">
        <v>1061</v>
      </c>
      <c r="M1458" s="11" t="s">
        <v>1061</v>
      </c>
      <c r="N1458" s="11" t="s">
        <v>1062</v>
      </c>
      <c r="O1458" s="11" t="s">
        <v>2784</v>
      </c>
    </row>
    <row r="1459">
      <c r="A1459" s="11">
        <v>-6.05515003204345</v>
      </c>
      <c r="B1459" s="11">
        <v>59.3955650329589</v>
      </c>
      <c r="C1459" s="11" t="s">
        <v>1061</v>
      </c>
      <c r="D1459" s="11" t="s">
        <v>1061</v>
      </c>
      <c r="E1459" s="11" t="s">
        <v>1062</v>
      </c>
      <c r="F1459" s="11" t="s">
        <v>2785</v>
      </c>
      <c r="J1459" s="11">
        <v>34.1608963012695</v>
      </c>
      <c r="K1459" s="11">
        <v>-6.52247476577758</v>
      </c>
      <c r="L1459" s="11" t="s">
        <v>1061</v>
      </c>
      <c r="M1459" s="11" t="s">
        <v>1061</v>
      </c>
      <c r="N1459" s="11" t="s">
        <v>1062</v>
      </c>
      <c r="O1459" s="11" t="s">
        <v>2785</v>
      </c>
    </row>
    <row r="1460">
      <c r="A1460" s="11">
        <v>28.7121353149414</v>
      </c>
      <c r="B1460" s="11">
        <v>19.3040027618408</v>
      </c>
      <c r="C1460" s="11" t="s">
        <v>1061</v>
      </c>
      <c r="D1460" s="11" t="s">
        <v>1061</v>
      </c>
      <c r="E1460" s="11" t="s">
        <v>1062</v>
      </c>
      <c r="F1460" s="11" t="s">
        <v>2786</v>
      </c>
      <c r="J1460" s="11">
        <v>-20.7603759765625</v>
      </c>
      <c r="K1460" s="11">
        <v>-9.14694690704345</v>
      </c>
      <c r="L1460" s="11" t="s">
        <v>1061</v>
      </c>
      <c r="M1460" s="11" t="s">
        <v>1061</v>
      </c>
      <c r="N1460" s="11" t="s">
        <v>1062</v>
      </c>
      <c r="O1460" s="11" t="s">
        <v>2786</v>
      </c>
    </row>
    <row r="1461">
      <c r="A1461" s="11">
        <v>-20.308687210083</v>
      </c>
      <c r="B1461" s="11">
        <v>-4.50786542892456</v>
      </c>
      <c r="C1461" s="11" t="s">
        <v>1061</v>
      </c>
      <c r="D1461" s="11" t="s">
        <v>1061</v>
      </c>
      <c r="E1461" s="11" t="s">
        <v>1062</v>
      </c>
      <c r="F1461" s="11" t="s">
        <v>2787</v>
      </c>
      <c r="J1461" s="11">
        <v>-4.02453565597534</v>
      </c>
      <c r="K1461" s="11">
        <v>26.032564163208</v>
      </c>
      <c r="L1461" s="11" t="s">
        <v>1061</v>
      </c>
      <c r="M1461" s="11" t="s">
        <v>1061</v>
      </c>
      <c r="N1461" s="11" t="s">
        <v>1062</v>
      </c>
      <c r="O1461" s="11" t="s">
        <v>2787</v>
      </c>
    </row>
    <row r="1462">
      <c r="A1462" s="11">
        <v>-18.7648601531982</v>
      </c>
      <c r="B1462" s="11">
        <v>-4.74478006362915</v>
      </c>
      <c r="C1462" s="11" t="s">
        <v>1061</v>
      </c>
      <c r="D1462" s="11" t="s">
        <v>1061</v>
      </c>
      <c r="E1462" s="11" t="s">
        <v>1062</v>
      </c>
      <c r="F1462" s="11" t="s">
        <v>2788</v>
      </c>
      <c r="J1462" s="11">
        <v>23.8422508239746</v>
      </c>
      <c r="K1462" s="11">
        <v>-1.76716768741607</v>
      </c>
      <c r="L1462" s="11" t="s">
        <v>1061</v>
      </c>
      <c r="M1462" s="11" t="s">
        <v>1061</v>
      </c>
      <c r="N1462" s="11" t="s">
        <v>1062</v>
      </c>
      <c r="O1462" s="11" t="s">
        <v>2788</v>
      </c>
    </row>
    <row r="1463">
      <c r="A1463" s="11">
        <v>-4.97021389007568</v>
      </c>
      <c r="B1463" s="11">
        <v>13.1152629852294</v>
      </c>
      <c r="C1463" s="11" t="s">
        <v>1061</v>
      </c>
      <c r="D1463" s="11" t="s">
        <v>1061</v>
      </c>
      <c r="E1463" s="11" t="s">
        <v>1062</v>
      </c>
      <c r="F1463" s="11" t="s">
        <v>2790</v>
      </c>
      <c r="J1463" s="11">
        <v>-9.11035537719726</v>
      </c>
      <c r="K1463" s="11">
        <v>11.3177270889282</v>
      </c>
      <c r="L1463" s="11" t="s">
        <v>1061</v>
      </c>
      <c r="M1463" s="11" t="s">
        <v>1061</v>
      </c>
      <c r="N1463" s="11" t="s">
        <v>1062</v>
      </c>
      <c r="O1463" s="11" t="s">
        <v>2790</v>
      </c>
    </row>
    <row r="1464">
      <c r="A1464" s="11">
        <v>11.5105171203613</v>
      </c>
      <c r="B1464" s="11">
        <v>-1.41892802715301</v>
      </c>
      <c r="C1464" s="11" t="s">
        <v>1061</v>
      </c>
      <c r="D1464" s="11" t="s">
        <v>1061</v>
      </c>
      <c r="E1464" s="11" t="s">
        <v>1062</v>
      </c>
      <c r="F1464" s="11" t="s">
        <v>2791</v>
      </c>
      <c r="J1464" s="11">
        <v>-19.4495906829834</v>
      </c>
      <c r="K1464" s="11">
        <v>5.68707370758056</v>
      </c>
      <c r="L1464" s="11" t="s">
        <v>1061</v>
      </c>
      <c r="M1464" s="11" t="s">
        <v>1061</v>
      </c>
      <c r="N1464" s="11" t="s">
        <v>1062</v>
      </c>
      <c r="O1464" s="11" t="s">
        <v>2791</v>
      </c>
    </row>
    <row r="1465">
      <c r="A1465" s="11">
        <v>85.507583618164</v>
      </c>
      <c r="B1465" s="11">
        <v>-16.94234085083</v>
      </c>
      <c r="C1465" s="11" t="s">
        <v>1061</v>
      </c>
      <c r="D1465" s="11" t="s">
        <v>1061</v>
      </c>
      <c r="E1465" s="11" t="s">
        <v>1062</v>
      </c>
      <c r="F1465" s="11" t="s">
        <v>2792</v>
      </c>
      <c r="J1465" s="11">
        <v>-34.4016227722168</v>
      </c>
      <c r="K1465" s="11">
        <v>31.8557224273681</v>
      </c>
      <c r="L1465" s="11" t="s">
        <v>1061</v>
      </c>
      <c r="M1465" s="11" t="s">
        <v>1061</v>
      </c>
      <c r="N1465" s="11" t="s">
        <v>1062</v>
      </c>
      <c r="O1465" s="11" t="s">
        <v>2792</v>
      </c>
    </row>
    <row r="1466">
      <c r="A1466" s="11">
        <v>-0.264898002147674</v>
      </c>
      <c r="B1466" s="11">
        <v>7.80185461044311</v>
      </c>
      <c r="C1466" s="11" t="s">
        <v>1061</v>
      </c>
      <c r="D1466" s="11" t="s">
        <v>1061</v>
      </c>
      <c r="E1466" s="11" t="s">
        <v>1062</v>
      </c>
      <c r="F1466" s="11" t="s">
        <v>2793</v>
      </c>
      <c r="J1466" s="11">
        <v>-11.9680128097534</v>
      </c>
      <c r="K1466" s="11">
        <v>21.1690464019775</v>
      </c>
      <c r="L1466" s="11" t="s">
        <v>1061</v>
      </c>
      <c r="M1466" s="11" t="s">
        <v>1061</v>
      </c>
      <c r="N1466" s="11" t="s">
        <v>1062</v>
      </c>
      <c r="O1466" s="11" t="s">
        <v>2793</v>
      </c>
    </row>
    <row r="1467">
      <c r="A1467" s="11">
        <v>-32.5281791687011</v>
      </c>
      <c r="B1467" s="11">
        <v>18.6983489990234</v>
      </c>
      <c r="C1467" s="11" t="s">
        <v>1515</v>
      </c>
      <c r="D1467" s="11" t="s">
        <v>1515</v>
      </c>
      <c r="E1467" s="11" t="s">
        <v>1062</v>
      </c>
      <c r="F1467" s="11" t="s">
        <v>2794</v>
      </c>
      <c r="J1467" s="11">
        <v>33.2671012878418</v>
      </c>
      <c r="K1467" s="11">
        <v>16.1329612731933</v>
      </c>
      <c r="L1467" s="11" t="s">
        <v>1515</v>
      </c>
      <c r="M1467" s="11" t="s">
        <v>1515</v>
      </c>
      <c r="N1467" s="11" t="s">
        <v>1062</v>
      </c>
      <c r="O1467" s="11" t="s">
        <v>2794</v>
      </c>
    </row>
    <row r="1468">
      <c r="A1468" s="11">
        <v>63.7859764099121</v>
      </c>
      <c r="B1468" s="11">
        <v>-2.570476770401</v>
      </c>
      <c r="C1468" s="11" t="s">
        <v>1515</v>
      </c>
      <c r="D1468" s="11" t="s">
        <v>1515</v>
      </c>
      <c r="E1468" s="11" t="s">
        <v>1062</v>
      </c>
      <c r="F1468" s="11" t="s">
        <v>2795</v>
      </c>
      <c r="J1468" s="11">
        <v>-3.94521403312683</v>
      </c>
      <c r="K1468" s="11">
        <v>61.7819061279296</v>
      </c>
      <c r="L1468" s="11" t="s">
        <v>1515</v>
      </c>
      <c r="M1468" s="11" t="s">
        <v>1515</v>
      </c>
      <c r="N1468" s="11" t="s">
        <v>1062</v>
      </c>
      <c r="O1468" s="11" t="s">
        <v>2795</v>
      </c>
    </row>
    <row r="1469">
      <c r="A1469" s="11">
        <v>68.1808090209961</v>
      </c>
      <c r="B1469" s="11">
        <v>-5.81253576278686</v>
      </c>
      <c r="C1469" s="11" t="s">
        <v>1515</v>
      </c>
      <c r="D1469" s="11" t="s">
        <v>1515</v>
      </c>
      <c r="E1469" s="11" t="s">
        <v>1062</v>
      </c>
      <c r="F1469" s="11" t="s">
        <v>2796</v>
      </c>
      <c r="J1469" s="11">
        <v>0.639133691787719</v>
      </c>
      <c r="K1469" s="11">
        <v>61.7168579101562</v>
      </c>
      <c r="L1469" s="11" t="s">
        <v>1515</v>
      </c>
      <c r="M1469" s="11" t="s">
        <v>1515</v>
      </c>
      <c r="N1469" s="11" t="s">
        <v>1062</v>
      </c>
      <c r="O1469" s="11" t="s">
        <v>2796</v>
      </c>
    </row>
    <row r="1470">
      <c r="A1470" s="11">
        <v>-50.7810401916503</v>
      </c>
      <c r="B1470" s="11">
        <v>24.7445163726806</v>
      </c>
      <c r="C1470" s="11" t="s">
        <v>1515</v>
      </c>
      <c r="D1470" s="11" t="s">
        <v>1515</v>
      </c>
      <c r="E1470" s="11" t="s">
        <v>1062</v>
      </c>
      <c r="F1470" s="11" t="s">
        <v>2797</v>
      </c>
      <c r="J1470" s="11">
        <v>41.901252746582</v>
      </c>
      <c r="K1470" s="11">
        <v>-7.67836952209472</v>
      </c>
      <c r="L1470" s="11" t="s">
        <v>1515</v>
      </c>
      <c r="M1470" s="11" t="s">
        <v>1515</v>
      </c>
      <c r="N1470" s="11" t="s">
        <v>1062</v>
      </c>
      <c r="O1470" s="11" t="s">
        <v>2797</v>
      </c>
    </row>
    <row r="1471">
      <c r="A1471" s="11">
        <v>8.81511974334716</v>
      </c>
      <c r="B1471" s="11">
        <v>-66.4321365356445</v>
      </c>
      <c r="C1471" s="11" t="s">
        <v>1515</v>
      </c>
      <c r="D1471" s="11" t="s">
        <v>1515</v>
      </c>
      <c r="E1471" s="11" t="s">
        <v>1062</v>
      </c>
      <c r="F1471" s="11" t="s">
        <v>2798</v>
      </c>
      <c r="J1471" s="11">
        <v>26.97993850708</v>
      </c>
      <c r="K1471" s="11">
        <v>31.6619472503662</v>
      </c>
      <c r="L1471" s="11" t="s">
        <v>1515</v>
      </c>
      <c r="M1471" s="11" t="s">
        <v>1515</v>
      </c>
      <c r="N1471" s="11" t="s">
        <v>1062</v>
      </c>
      <c r="O1471" s="11" t="s">
        <v>2798</v>
      </c>
    </row>
    <row r="1472">
      <c r="A1472" s="11">
        <v>-19.056016921997</v>
      </c>
      <c r="B1472" s="11">
        <v>8.75708389282226</v>
      </c>
      <c r="C1472" s="11" t="s">
        <v>1515</v>
      </c>
      <c r="D1472" s="11" t="s">
        <v>1515</v>
      </c>
      <c r="E1472" s="11" t="s">
        <v>1062</v>
      </c>
      <c r="F1472" s="11" t="s">
        <v>2799</v>
      </c>
      <c r="J1472" s="11">
        <v>34.6096992492675</v>
      </c>
      <c r="K1472" s="11">
        <v>26.2434711456298</v>
      </c>
      <c r="L1472" s="11" t="s">
        <v>1515</v>
      </c>
      <c r="M1472" s="11" t="s">
        <v>1515</v>
      </c>
      <c r="N1472" s="11" t="s">
        <v>1062</v>
      </c>
      <c r="O1472" s="11" t="s">
        <v>2799</v>
      </c>
    </row>
    <row r="1473">
      <c r="A1473" s="11">
        <v>46.972297668457</v>
      </c>
      <c r="B1473" s="11">
        <v>-1.42761480808258</v>
      </c>
      <c r="C1473" s="11" t="s">
        <v>1515</v>
      </c>
      <c r="D1473" s="11" t="s">
        <v>1515</v>
      </c>
      <c r="E1473" s="11" t="s">
        <v>1062</v>
      </c>
      <c r="F1473" s="11" t="s">
        <v>2801</v>
      </c>
      <c r="J1473" s="11">
        <v>5.62477207183837</v>
      </c>
      <c r="K1473" s="11">
        <v>61.0618705749511</v>
      </c>
      <c r="L1473" s="11" t="s">
        <v>1515</v>
      </c>
      <c r="M1473" s="11" t="s">
        <v>1515</v>
      </c>
      <c r="N1473" s="11" t="s">
        <v>1062</v>
      </c>
      <c r="O1473" s="11" t="s">
        <v>2801</v>
      </c>
    </row>
    <row r="1474">
      <c r="A1474" s="11">
        <v>9.01912021636962</v>
      </c>
      <c r="B1474" s="11">
        <v>-65.7737655639648</v>
      </c>
      <c r="C1474" s="11" t="s">
        <v>1515</v>
      </c>
      <c r="D1474" s="11" t="s">
        <v>1515</v>
      </c>
      <c r="E1474" s="11" t="s">
        <v>1062</v>
      </c>
      <c r="F1474" s="11" t="s">
        <v>2802</v>
      </c>
      <c r="J1474" s="11">
        <v>27.124282836914</v>
      </c>
      <c r="K1474" s="11">
        <v>31.5879974365234</v>
      </c>
      <c r="L1474" s="11" t="s">
        <v>1515</v>
      </c>
      <c r="M1474" s="11" t="s">
        <v>1515</v>
      </c>
      <c r="N1474" s="11" t="s">
        <v>1062</v>
      </c>
      <c r="O1474" s="11" t="s">
        <v>2802</v>
      </c>
    </row>
    <row r="1475">
      <c r="A1475" s="11">
        <v>-49.5747528076171</v>
      </c>
      <c r="B1475" s="11">
        <v>25.2469062805175</v>
      </c>
      <c r="C1475" s="11" t="s">
        <v>1515</v>
      </c>
      <c r="D1475" s="11" t="s">
        <v>1515</v>
      </c>
      <c r="E1475" s="11" t="s">
        <v>1062</v>
      </c>
      <c r="F1475" s="11" t="s">
        <v>2803</v>
      </c>
      <c r="J1475" s="11">
        <v>42.0094604492187</v>
      </c>
      <c r="K1475" s="11">
        <v>-6.77211141586303</v>
      </c>
      <c r="L1475" s="11" t="s">
        <v>1515</v>
      </c>
      <c r="M1475" s="11" t="s">
        <v>1515</v>
      </c>
      <c r="N1475" s="11" t="s">
        <v>1062</v>
      </c>
      <c r="O1475" s="11" t="s">
        <v>2803</v>
      </c>
    </row>
    <row r="1476">
      <c r="A1476" s="11">
        <v>-3.11656713485717</v>
      </c>
      <c r="B1476" s="11">
        <v>6.10200357437133</v>
      </c>
      <c r="C1476" s="11" t="s">
        <v>1515</v>
      </c>
      <c r="D1476" s="11" t="s">
        <v>1515</v>
      </c>
      <c r="E1476" s="11" t="s">
        <v>1062</v>
      </c>
      <c r="F1476" s="11" t="s">
        <v>2804</v>
      </c>
      <c r="J1476" s="11">
        <v>40.8381614685058</v>
      </c>
      <c r="K1476" s="11">
        <v>34.6365547180175</v>
      </c>
      <c r="L1476" s="11" t="s">
        <v>1515</v>
      </c>
      <c r="M1476" s="11" t="s">
        <v>1515</v>
      </c>
      <c r="N1476" s="11" t="s">
        <v>1062</v>
      </c>
      <c r="O1476" s="11" t="s">
        <v>2804</v>
      </c>
    </row>
    <row r="1477">
      <c r="A1477" s="11">
        <v>-34.8523406982421</v>
      </c>
      <c r="B1477" s="11">
        <v>27.3346500396728</v>
      </c>
      <c r="C1477" s="11" t="s">
        <v>1515</v>
      </c>
      <c r="D1477" s="11" t="s">
        <v>1515</v>
      </c>
      <c r="E1477" s="11" t="s">
        <v>1062</v>
      </c>
      <c r="F1477" s="11" t="s">
        <v>2805</v>
      </c>
      <c r="J1477" s="11">
        <v>14.6372566223144</v>
      </c>
      <c r="K1477" s="11">
        <v>45.7587585449218</v>
      </c>
      <c r="L1477" s="11" t="s">
        <v>1515</v>
      </c>
      <c r="M1477" s="11" t="s">
        <v>1515</v>
      </c>
      <c r="N1477" s="11" t="s">
        <v>1062</v>
      </c>
      <c r="O1477" s="11" t="s">
        <v>2805</v>
      </c>
    </row>
    <row r="1478">
      <c r="A1478" s="11">
        <v>-29.9879856109619</v>
      </c>
      <c r="B1478" s="11">
        <v>14.2051095962524</v>
      </c>
      <c r="C1478" s="11" t="s">
        <v>1515</v>
      </c>
      <c r="D1478" s="11" t="s">
        <v>1515</v>
      </c>
      <c r="E1478" s="11" t="s">
        <v>1062</v>
      </c>
      <c r="F1478" s="11" t="s">
        <v>2806</v>
      </c>
      <c r="J1478" s="11">
        <v>20.665147781372</v>
      </c>
      <c r="K1478" s="11">
        <v>32.5696487426757</v>
      </c>
      <c r="L1478" s="11" t="s">
        <v>1515</v>
      </c>
      <c r="M1478" s="11" t="s">
        <v>1515</v>
      </c>
      <c r="N1478" s="11" t="s">
        <v>1062</v>
      </c>
      <c r="O1478" s="11" t="s">
        <v>2806</v>
      </c>
    </row>
    <row r="1479">
      <c r="A1479" s="11">
        <v>-29.4035511016845</v>
      </c>
      <c r="B1479" s="11">
        <v>19.7871265411376</v>
      </c>
      <c r="C1479" s="11" t="s">
        <v>1515</v>
      </c>
      <c r="D1479" s="11" t="s">
        <v>1515</v>
      </c>
      <c r="E1479" s="11" t="s">
        <v>1062</v>
      </c>
      <c r="F1479" s="11" t="s">
        <v>2807</v>
      </c>
      <c r="J1479" s="11">
        <v>11.7145948410034</v>
      </c>
      <c r="K1479" s="11">
        <v>38.2460479736328</v>
      </c>
      <c r="L1479" s="11" t="s">
        <v>1515</v>
      </c>
      <c r="M1479" s="11" t="s">
        <v>1515</v>
      </c>
      <c r="N1479" s="11" t="s">
        <v>1062</v>
      </c>
      <c r="O1479" s="11" t="s">
        <v>2807</v>
      </c>
    </row>
    <row r="1480">
      <c r="A1480" s="11">
        <v>-49.5747528076171</v>
      </c>
      <c r="B1480" s="11">
        <v>25.2469062805175</v>
      </c>
      <c r="C1480" s="11" t="s">
        <v>1515</v>
      </c>
      <c r="D1480" s="11" t="s">
        <v>1515</v>
      </c>
      <c r="E1480" s="11" t="s">
        <v>1062</v>
      </c>
      <c r="F1480" s="11" t="s">
        <v>2808</v>
      </c>
      <c r="J1480" s="11">
        <v>41.9659042358398</v>
      </c>
      <c r="K1480" s="11">
        <v>-6.77860116958618</v>
      </c>
      <c r="L1480" s="11" t="s">
        <v>1515</v>
      </c>
      <c r="M1480" s="11" t="s">
        <v>1515</v>
      </c>
      <c r="N1480" s="11" t="s">
        <v>1062</v>
      </c>
      <c r="O1480" s="11" t="s">
        <v>2808</v>
      </c>
    </row>
    <row r="1481">
      <c r="A1481" s="11">
        <v>-54.7319793701171</v>
      </c>
      <c r="B1481" s="11">
        <v>8.64715766906738</v>
      </c>
      <c r="C1481" s="11" t="s">
        <v>1515</v>
      </c>
      <c r="D1481" s="11" t="s">
        <v>1515</v>
      </c>
      <c r="E1481" s="11" t="s">
        <v>1062</v>
      </c>
      <c r="F1481" s="11" t="s">
        <v>2811</v>
      </c>
      <c r="J1481" s="11">
        <v>54.610252380371</v>
      </c>
      <c r="K1481" s="11">
        <v>8.43367290496826</v>
      </c>
      <c r="L1481" s="11" t="s">
        <v>1515</v>
      </c>
      <c r="M1481" s="11" t="s">
        <v>1515</v>
      </c>
      <c r="N1481" s="11" t="s">
        <v>1062</v>
      </c>
      <c r="O1481" s="11" t="s">
        <v>2811</v>
      </c>
    </row>
    <row r="1482">
      <c r="A1482" s="11">
        <v>24.1963195800781</v>
      </c>
      <c r="B1482" s="11">
        <v>2.24383163452148</v>
      </c>
      <c r="C1482" s="11" t="s">
        <v>1515</v>
      </c>
      <c r="D1482" s="11" t="s">
        <v>1515</v>
      </c>
      <c r="E1482" s="11" t="s">
        <v>1062</v>
      </c>
      <c r="F1482" s="11" t="s">
        <v>2812</v>
      </c>
      <c r="J1482" s="11">
        <v>-6.28352117538452</v>
      </c>
      <c r="K1482" s="11">
        <v>54.1791534423828</v>
      </c>
      <c r="L1482" s="11" t="s">
        <v>1515</v>
      </c>
      <c r="M1482" s="11" t="s">
        <v>1515</v>
      </c>
      <c r="N1482" s="11" t="s">
        <v>1062</v>
      </c>
      <c r="O1482" s="11" t="s">
        <v>2812</v>
      </c>
    </row>
    <row r="1483">
      <c r="A1483" s="11">
        <v>-18.9058246612548</v>
      </c>
      <c r="B1483" s="11">
        <v>8.54477596282959</v>
      </c>
      <c r="C1483" s="11" t="s">
        <v>1515</v>
      </c>
      <c r="D1483" s="11" t="s">
        <v>1515</v>
      </c>
      <c r="E1483" s="11" t="s">
        <v>1062</v>
      </c>
      <c r="F1483" s="11" t="s">
        <v>2813</v>
      </c>
      <c r="J1483" s="11">
        <v>34.6096992492675</v>
      </c>
      <c r="K1483" s="11">
        <v>26.2434711456298</v>
      </c>
      <c r="L1483" s="11" t="s">
        <v>1515</v>
      </c>
      <c r="M1483" s="11" t="s">
        <v>1515</v>
      </c>
      <c r="N1483" s="11" t="s">
        <v>1062</v>
      </c>
      <c r="O1483" s="11" t="s">
        <v>2813</v>
      </c>
    </row>
    <row r="1484">
      <c r="A1484" s="11">
        <v>-59.890941619873</v>
      </c>
      <c r="B1484" s="11">
        <v>44.2023048400878</v>
      </c>
      <c r="C1484" s="11" t="s">
        <v>1515</v>
      </c>
      <c r="D1484" s="11" t="s">
        <v>1515</v>
      </c>
      <c r="E1484" s="11" t="s">
        <v>1062</v>
      </c>
      <c r="F1484" s="11" t="s">
        <v>2814</v>
      </c>
      <c r="J1484" s="11">
        <v>57.5157585144043</v>
      </c>
      <c r="K1484" s="11">
        <v>-7.17812919616699</v>
      </c>
      <c r="L1484" s="11" t="s">
        <v>1515</v>
      </c>
      <c r="M1484" s="11" t="s">
        <v>1515</v>
      </c>
      <c r="N1484" s="11" t="s">
        <v>1062</v>
      </c>
      <c r="O1484" s="11" t="s">
        <v>2814</v>
      </c>
    </row>
    <row r="1485">
      <c r="A1485" s="11">
        <v>-30.3242092132568</v>
      </c>
      <c r="B1485" s="11">
        <v>14.757038116455</v>
      </c>
      <c r="C1485" s="11" t="s">
        <v>1515</v>
      </c>
      <c r="D1485" s="11" t="s">
        <v>1515</v>
      </c>
      <c r="E1485" s="11" t="s">
        <v>1062</v>
      </c>
      <c r="F1485" s="11" t="s">
        <v>2815</v>
      </c>
      <c r="J1485" s="11">
        <v>20.2431659698486</v>
      </c>
      <c r="K1485" s="11">
        <v>32.0758056640625</v>
      </c>
      <c r="L1485" s="11" t="s">
        <v>1515</v>
      </c>
      <c r="M1485" s="11" t="s">
        <v>1515</v>
      </c>
      <c r="N1485" s="11" t="s">
        <v>1062</v>
      </c>
      <c r="O1485" s="11" t="s">
        <v>2815</v>
      </c>
    </row>
    <row r="1486">
      <c r="A1486" s="11">
        <v>8.81511974334716</v>
      </c>
      <c r="B1486" s="11">
        <v>-66.4321365356445</v>
      </c>
      <c r="C1486" s="11" t="s">
        <v>1515</v>
      </c>
      <c r="D1486" s="11" t="s">
        <v>1515</v>
      </c>
      <c r="E1486" s="11" t="s">
        <v>1062</v>
      </c>
      <c r="F1486" s="11" t="s">
        <v>2816</v>
      </c>
      <c r="J1486" s="11">
        <v>26.97993850708</v>
      </c>
      <c r="K1486" s="11">
        <v>31.6619472503662</v>
      </c>
      <c r="L1486" s="11" t="s">
        <v>1515</v>
      </c>
      <c r="M1486" s="11" t="s">
        <v>1515</v>
      </c>
      <c r="N1486" s="11" t="s">
        <v>1062</v>
      </c>
      <c r="O1486" s="11" t="s">
        <v>2816</v>
      </c>
    </row>
    <row r="1487">
      <c r="A1487" s="11">
        <v>-7.84257650375366</v>
      </c>
      <c r="B1487" s="11">
        <v>12.8268871307373</v>
      </c>
      <c r="C1487" s="11" t="s">
        <v>1515</v>
      </c>
      <c r="D1487" s="11" t="s">
        <v>1515</v>
      </c>
      <c r="E1487" s="11" t="s">
        <v>1062</v>
      </c>
      <c r="F1487" s="11" t="s">
        <v>2817</v>
      </c>
      <c r="J1487" s="11">
        <v>12.9204950332641</v>
      </c>
      <c r="K1487" s="11">
        <v>29.7025928497314</v>
      </c>
      <c r="L1487" s="11" t="s">
        <v>1515</v>
      </c>
      <c r="M1487" s="11" t="s">
        <v>1515</v>
      </c>
      <c r="N1487" s="11" t="s">
        <v>1062</v>
      </c>
      <c r="O1487" s="11" t="s">
        <v>2817</v>
      </c>
    </row>
    <row r="1488">
      <c r="A1488" s="11">
        <v>-16.6203918457031</v>
      </c>
      <c r="B1488" s="11">
        <v>15.5590724945068</v>
      </c>
      <c r="C1488" s="11" t="s">
        <v>1515</v>
      </c>
      <c r="D1488" s="11" t="s">
        <v>1515</v>
      </c>
      <c r="E1488" s="11" t="s">
        <v>1062</v>
      </c>
      <c r="F1488" s="11" t="s">
        <v>2818</v>
      </c>
      <c r="J1488" s="11">
        <v>5.7818374633789</v>
      </c>
      <c r="K1488" s="11">
        <v>3.10649037361145</v>
      </c>
      <c r="L1488" s="11" t="s">
        <v>1515</v>
      </c>
      <c r="M1488" s="11" t="s">
        <v>1515</v>
      </c>
      <c r="N1488" s="11" t="s">
        <v>1062</v>
      </c>
      <c r="O1488" s="11" t="s">
        <v>2818</v>
      </c>
    </row>
    <row r="1489">
      <c r="A1489" s="11">
        <v>-19.3051624298095</v>
      </c>
      <c r="B1489" s="11">
        <v>8.48228168487548</v>
      </c>
      <c r="C1489" s="11" t="s">
        <v>1515</v>
      </c>
      <c r="D1489" s="11" t="s">
        <v>1515</v>
      </c>
      <c r="E1489" s="11" t="s">
        <v>1062</v>
      </c>
      <c r="F1489" s="11" t="s">
        <v>2819</v>
      </c>
      <c r="J1489" s="11">
        <v>34.6571960449218</v>
      </c>
      <c r="K1489" s="11">
        <v>26.1967105865478</v>
      </c>
      <c r="L1489" s="11" t="s">
        <v>1515</v>
      </c>
      <c r="M1489" s="11" t="s">
        <v>1515</v>
      </c>
      <c r="N1489" s="11" t="s">
        <v>1062</v>
      </c>
      <c r="O1489" s="11" t="s">
        <v>2819</v>
      </c>
    </row>
    <row r="1490">
      <c r="A1490" s="11">
        <v>4.7242693901062</v>
      </c>
      <c r="B1490" s="11">
        <v>-2.44965577125549</v>
      </c>
      <c r="C1490" s="11" t="s">
        <v>1515</v>
      </c>
      <c r="D1490" s="11" t="s">
        <v>1515</v>
      </c>
      <c r="E1490" s="11" t="s">
        <v>1062</v>
      </c>
      <c r="F1490" s="11" t="s">
        <v>2820</v>
      </c>
      <c r="J1490" s="11">
        <v>13.150686264038</v>
      </c>
      <c r="K1490" s="11">
        <v>57.25048828125</v>
      </c>
      <c r="L1490" s="11" t="s">
        <v>1515</v>
      </c>
      <c r="M1490" s="11" t="s">
        <v>1515</v>
      </c>
      <c r="N1490" s="11" t="s">
        <v>1062</v>
      </c>
      <c r="O1490" s="11" t="s">
        <v>2820</v>
      </c>
    </row>
    <row r="1491">
      <c r="A1491" s="11">
        <v>-10.6975774765014</v>
      </c>
      <c r="B1491" s="11">
        <v>1.28606081008911</v>
      </c>
      <c r="C1491" s="11" t="s">
        <v>1515</v>
      </c>
      <c r="D1491" s="11" t="s">
        <v>1515</v>
      </c>
      <c r="E1491" s="11" t="s">
        <v>1062</v>
      </c>
      <c r="F1491" s="11" t="s">
        <v>2821</v>
      </c>
      <c r="J1491" s="11">
        <v>-9.55432987213134</v>
      </c>
      <c r="K1491" s="11">
        <v>-12.171311378479</v>
      </c>
      <c r="L1491" s="11" t="s">
        <v>1515</v>
      </c>
      <c r="M1491" s="11" t="s">
        <v>1515</v>
      </c>
      <c r="N1491" s="11" t="s">
        <v>1062</v>
      </c>
      <c r="O1491" s="11" t="s">
        <v>2821</v>
      </c>
    </row>
    <row r="1492">
      <c r="A1492" s="11">
        <v>-29.3633079528808</v>
      </c>
      <c r="B1492" s="11">
        <v>14.3531026840209</v>
      </c>
      <c r="C1492" s="11" t="s">
        <v>1515</v>
      </c>
      <c r="D1492" s="11" t="s">
        <v>1515</v>
      </c>
      <c r="E1492" s="11" t="s">
        <v>1062</v>
      </c>
      <c r="F1492" s="11" t="s">
        <v>2822</v>
      </c>
      <c r="J1492" s="11">
        <v>19.9751853942871</v>
      </c>
      <c r="K1492" s="11">
        <v>32.1914672851562</v>
      </c>
      <c r="L1492" s="11" t="s">
        <v>1515</v>
      </c>
      <c r="M1492" s="11" t="s">
        <v>1515</v>
      </c>
      <c r="N1492" s="11" t="s">
        <v>1062</v>
      </c>
      <c r="O1492" s="11" t="s">
        <v>2822</v>
      </c>
    </row>
    <row r="1493">
      <c r="A1493" s="11">
        <v>-30.0456104278564</v>
      </c>
      <c r="B1493" s="11">
        <v>15.3727254867553</v>
      </c>
      <c r="C1493" s="11" t="s">
        <v>1515</v>
      </c>
      <c r="D1493" s="11" t="s">
        <v>1515</v>
      </c>
      <c r="E1493" s="11" t="s">
        <v>1062</v>
      </c>
      <c r="F1493" s="11" t="s">
        <v>2823</v>
      </c>
      <c r="J1493" s="11">
        <v>20.1634101867675</v>
      </c>
      <c r="K1493" s="11">
        <v>32.7347831726074</v>
      </c>
      <c r="L1493" s="11" t="s">
        <v>1515</v>
      </c>
      <c r="M1493" s="11" t="s">
        <v>1515</v>
      </c>
      <c r="N1493" s="11" t="s">
        <v>1062</v>
      </c>
      <c r="O1493" s="11" t="s">
        <v>2823</v>
      </c>
    </row>
    <row r="1494">
      <c r="A1494" s="11">
        <v>-40.0626373291015</v>
      </c>
      <c r="B1494" s="11">
        <v>10.4350242614746</v>
      </c>
      <c r="C1494" s="11" t="s">
        <v>1515</v>
      </c>
      <c r="D1494" s="11" t="s">
        <v>1515</v>
      </c>
      <c r="E1494" s="11" t="s">
        <v>1062</v>
      </c>
      <c r="F1494" s="11" t="s">
        <v>2824</v>
      </c>
      <c r="J1494" s="11">
        <v>33.5621490478515</v>
      </c>
      <c r="K1494" s="11">
        <v>18.894416809082</v>
      </c>
      <c r="L1494" s="11" t="s">
        <v>1515</v>
      </c>
      <c r="M1494" s="11" t="s">
        <v>1515</v>
      </c>
      <c r="N1494" s="11" t="s">
        <v>1062</v>
      </c>
      <c r="O1494" s="11" t="s">
        <v>2824</v>
      </c>
    </row>
    <row r="1495">
      <c r="A1495" s="11">
        <v>68.9967269897461</v>
      </c>
      <c r="B1495" s="11">
        <v>-4.7671103477478</v>
      </c>
      <c r="C1495" s="11" t="s">
        <v>1515</v>
      </c>
      <c r="D1495" s="11" t="s">
        <v>1515</v>
      </c>
      <c r="E1495" s="11" t="s">
        <v>1062</v>
      </c>
      <c r="F1495" s="11" t="s">
        <v>2825</v>
      </c>
      <c r="J1495" s="11">
        <v>0.624229609966278</v>
      </c>
      <c r="K1495" s="11">
        <v>61.7509384155273</v>
      </c>
      <c r="L1495" s="11" t="s">
        <v>1515</v>
      </c>
      <c r="M1495" s="11" t="s">
        <v>1515</v>
      </c>
      <c r="N1495" s="11" t="s">
        <v>1062</v>
      </c>
      <c r="O1495" s="11" t="s">
        <v>2825</v>
      </c>
    </row>
    <row r="1496">
      <c r="A1496" s="11">
        <v>-39.8381958007812</v>
      </c>
      <c r="B1496" s="11">
        <v>30.6391448974609</v>
      </c>
      <c r="C1496" s="11" t="s">
        <v>1515</v>
      </c>
      <c r="D1496" s="11" t="s">
        <v>1515</v>
      </c>
      <c r="E1496" s="11" t="s">
        <v>1062</v>
      </c>
      <c r="F1496" s="11" t="s">
        <v>2827</v>
      </c>
      <c r="J1496" s="11">
        <v>37.4448204040527</v>
      </c>
      <c r="K1496" s="11">
        <v>1.50659227371215</v>
      </c>
      <c r="L1496" s="11" t="s">
        <v>1515</v>
      </c>
      <c r="M1496" s="11" t="s">
        <v>1515</v>
      </c>
      <c r="N1496" s="11" t="s">
        <v>1062</v>
      </c>
      <c r="O1496" s="11" t="s">
        <v>2827</v>
      </c>
    </row>
    <row r="1497">
      <c r="A1497" s="11">
        <v>-28.8824520111084</v>
      </c>
      <c r="B1497" s="11">
        <v>14.8796224594116</v>
      </c>
      <c r="C1497" s="11" t="s">
        <v>1515</v>
      </c>
      <c r="D1497" s="11" t="s">
        <v>1515</v>
      </c>
      <c r="E1497" s="11" t="s">
        <v>1062</v>
      </c>
      <c r="F1497" s="11" t="s">
        <v>2828</v>
      </c>
      <c r="J1497" s="11">
        <v>20.9261989593505</v>
      </c>
      <c r="K1497" s="11">
        <v>31.839635848999</v>
      </c>
      <c r="L1497" s="11" t="s">
        <v>1515</v>
      </c>
      <c r="M1497" s="11" t="s">
        <v>1515</v>
      </c>
      <c r="N1497" s="11" t="s">
        <v>1062</v>
      </c>
      <c r="O1497" s="11" t="s">
        <v>2828</v>
      </c>
    </row>
    <row r="1498">
      <c r="A1498" s="11">
        <v>-6.4614462852478</v>
      </c>
      <c r="B1498" s="11">
        <v>12.3689470291137</v>
      </c>
      <c r="C1498" s="11" t="s">
        <v>1515</v>
      </c>
      <c r="D1498" s="11" t="s">
        <v>1515</v>
      </c>
      <c r="E1498" s="11" t="s">
        <v>1062</v>
      </c>
      <c r="F1498" s="11" t="s">
        <v>2829</v>
      </c>
      <c r="J1498" s="11">
        <v>14.9546184539794</v>
      </c>
      <c r="K1498" s="11">
        <v>34.1979751586914</v>
      </c>
      <c r="L1498" s="11" t="s">
        <v>1515</v>
      </c>
      <c r="M1498" s="11" t="s">
        <v>1515</v>
      </c>
      <c r="N1498" s="11" t="s">
        <v>1062</v>
      </c>
      <c r="O1498" s="11" t="s">
        <v>2829</v>
      </c>
    </row>
    <row r="1499">
      <c r="A1499" s="11">
        <v>-29.4300479888916</v>
      </c>
      <c r="B1499" s="11">
        <v>15.422716140747</v>
      </c>
      <c r="C1499" s="11" t="s">
        <v>1515</v>
      </c>
      <c r="D1499" s="11" t="s">
        <v>1515</v>
      </c>
      <c r="E1499" s="11" t="s">
        <v>1062</v>
      </c>
      <c r="F1499" s="11" t="s">
        <v>2830</v>
      </c>
      <c r="J1499" s="11">
        <v>20.1634101867675</v>
      </c>
      <c r="K1499" s="11">
        <v>32.7347831726074</v>
      </c>
      <c r="L1499" s="11" t="s">
        <v>1515</v>
      </c>
      <c r="M1499" s="11" t="s">
        <v>1515</v>
      </c>
      <c r="N1499" s="11" t="s">
        <v>1062</v>
      </c>
      <c r="O1499" s="11" t="s">
        <v>2830</v>
      </c>
    </row>
    <row r="1500">
      <c r="A1500" s="11">
        <v>-35.4060020446777</v>
      </c>
      <c r="B1500" s="11">
        <v>27.7732849121093</v>
      </c>
      <c r="C1500" s="11" t="s">
        <v>1515</v>
      </c>
      <c r="D1500" s="11" t="s">
        <v>1515</v>
      </c>
      <c r="E1500" s="11" t="s">
        <v>1062</v>
      </c>
      <c r="F1500" s="11" t="s">
        <v>2831</v>
      </c>
      <c r="J1500" s="11">
        <v>15.0177564620971</v>
      </c>
      <c r="K1500" s="11">
        <v>45.4829368591308</v>
      </c>
      <c r="L1500" s="11" t="s">
        <v>1515</v>
      </c>
      <c r="M1500" s="11" t="s">
        <v>1515</v>
      </c>
      <c r="N1500" s="11" t="s">
        <v>1062</v>
      </c>
      <c r="O1500" s="11" t="s">
        <v>2831</v>
      </c>
    </row>
    <row r="1501">
      <c r="A1501" s="11">
        <v>4.7674913406372</v>
      </c>
      <c r="B1501" s="11">
        <v>-2.4480013847351</v>
      </c>
      <c r="C1501" s="11" t="s">
        <v>1515</v>
      </c>
      <c r="D1501" s="11" t="s">
        <v>1515</v>
      </c>
      <c r="E1501" s="11" t="s">
        <v>1062</v>
      </c>
      <c r="F1501" s="11" t="s">
        <v>2832</v>
      </c>
      <c r="J1501" s="11">
        <v>13.1490154266357</v>
      </c>
      <c r="K1501" s="11">
        <v>57.2498130798339</v>
      </c>
      <c r="L1501" s="11" t="s">
        <v>1515</v>
      </c>
      <c r="M1501" s="11" t="s">
        <v>1515</v>
      </c>
      <c r="N1501" s="11" t="s">
        <v>1062</v>
      </c>
      <c r="O1501" s="11" t="s">
        <v>2832</v>
      </c>
    </row>
    <row r="1502">
      <c r="A1502" s="11">
        <v>-29.774730682373</v>
      </c>
      <c r="B1502" s="11">
        <v>20.3807315826416</v>
      </c>
      <c r="C1502" s="11" t="s">
        <v>1515</v>
      </c>
      <c r="D1502" s="11" t="s">
        <v>1515</v>
      </c>
      <c r="E1502" s="11" t="s">
        <v>1062</v>
      </c>
      <c r="F1502" s="11" t="s">
        <v>2833</v>
      </c>
      <c r="J1502" s="11">
        <v>11.9039430618286</v>
      </c>
      <c r="K1502" s="11">
        <v>37.8231239318847</v>
      </c>
      <c r="L1502" s="11" t="s">
        <v>1515</v>
      </c>
      <c r="M1502" s="11" t="s">
        <v>1515</v>
      </c>
      <c r="N1502" s="11" t="s">
        <v>1062</v>
      </c>
      <c r="O1502" s="11" t="s">
        <v>2833</v>
      </c>
    </row>
    <row r="1503">
      <c r="A1503" s="11">
        <v>3.45006036758422</v>
      </c>
      <c r="B1503" s="11">
        <v>-11.8788013458251</v>
      </c>
      <c r="C1503" s="11" t="s">
        <v>1515</v>
      </c>
      <c r="D1503" s="11" t="s">
        <v>1515</v>
      </c>
      <c r="E1503" s="11" t="s">
        <v>1062</v>
      </c>
      <c r="F1503" s="11" t="s">
        <v>2834</v>
      </c>
      <c r="J1503" s="11">
        <v>-46.8263282775878</v>
      </c>
      <c r="K1503" s="11">
        <v>11.7576560974121</v>
      </c>
      <c r="L1503" s="11" t="s">
        <v>1515</v>
      </c>
      <c r="M1503" s="11" t="s">
        <v>1515</v>
      </c>
      <c r="N1503" s="11" t="s">
        <v>1062</v>
      </c>
      <c r="O1503" s="11" t="s">
        <v>2834</v>
      </c>
    </row>
    <row r="1504">
      <c r="A1504" s="11">
        <v>8.30384731292724</v>
      </c>
      <c r="B1504" s="11">
        <v>-65.9396209716796</v>
      </c>
      <c r="C1504" s="11" t="s">
        <v>1515</v>
      </c>
      <c r="D1504" s="11" t="s">
        <v>1515</v>
      </c>
      <c r="E1504" s="11" t="s">
        <v>1062</v>
      </c>
      <c r="F1504" s="11" t="s">
        <v>2835</v>
      </c>
      <c r="J1504" s="11">
        <v>26.6191005706787</v>
      </c>
      <c r="K1504" s="11">
        <v>31.298318862915</v>
      </c>
      <c r="L1504" s="11" t="s">
        <v>1515</v>
      </c>
      <c r="M1504" s="11" t="s">
        <v>1515</v>
      </c>
      <c r="N1504" s="11" t="s">
        <v>1062</v>
      </c>
      <c r="O1504" s="11" t="s">
        <v>2835</v>
      </c>
    </row>
    <row r="1505">
      <c r="A1505" s="11">
        <v>-49.9392738342285</v>
      </c>
      <c r="B1505" s="11">
        <v>24.2249355316162</v>
      </c>
      <c r="C1505" s="11" t="s">
        <v>1515</v>
      </c>
      <c r="D1505" s="11" t="s">
        <v>1515</v>
      </c>
      <c r="E1505" s="11" t="s">
        <v>1062</v>
      </c>
      <c r="F1505" s="11" t="s">
        <v>2836</v>
      </c>
      <c r="J1505" s="11">
        <v>41.6833457946777</v>
      </c>
      <c r="K1505" s="11">
        <v>-7.52264690399169</v>
      </c>
      <c r="L1505" s="11" t="s">
        <v>1515</v>
      </c>
      <c r="M1505" s="11" t="s">
        <v>1515</v>
      </c>
      <c r="N1505" s="11" t="s">
        <v>1062</v>
      </c>
      <c r="O1505" s="11" t="s">
        <v>2836</v>
      </c>
    </row>
    <row r="1506">
      <c r="A1506" s="11">
        <v>-9.99907207489013</v>
      </c>
      <c r="B1506" s="11">
        <v>-28.2587814331054</v>
      </c>
      <c r="C1506" s="11" t="s">
        <v>1390</v>
      </c>
      <c r="D1506" s="11" t="s">
        <v>1390</v>
      </c>
      <c r="E1506" s="11" t="s">
        <v>1062</v>
      </c>
      <c r="F1506" s="11" t="s">
        <v>2317</v>
      </c>
      <c r="J1506" s="11">
        <v>-42.9301414489746</v>
      </c>
      <c r="K1506" s="11">
        <v>-40.1078643798828</v>
      </c>
      <c r="L1506" s="11" t="s">
        <v>1390</v>
      </c>
      <c r="M1506" s="11" t="s">
        <v>1390</v>
      </c>
      <c r="N1506" s="11" t="s">
        <v>1062</v>
      </c>
      <c r="O1506" s="11" t="s">
        <v>2317</v>
      </c>
    </row>
    <row r="1507">
      <c r="A1507" s="11">
        <v>-27.9792499542236</v>
      </c>
      <c r="B1507" s="11">
        <v>-49.5931663513183</v>
      </c>
      <c r="C1507" s="11" t="s">
        <v>1390</v>
      </c>
      <c r="D1507" s="11" t="s">
        <v>1390</v>
      </c>
      <c r="E1507" s="11" t="s">
        <v>1062</v>
      </c>
      <c r="F1507" s="11" t="s">
        <v>2319</v>
      </c>
      <c r="J1507" s="11">
        <v>-15.1182079315185</v>
      </c>
      <c r="K1507" s="11">
        <v>-43.4829788208007</v>
      </c>
      <c r="L1507" s="11" t="s">
        <v>1390</v>
      </c>
      <c r="M1507" s="11" t="s">
        <v>1390</v>
      </c>
      <c r="N1507" s="11" t="s">
        <v>1062</v>
      </c>
      <c r="O1507" s="11" t="s">
        <v>2319</v>
      </c>
    </row>
    <row r="1508">
      <c r="A1508" s="11">
        <v>6.89194679260253</v>
      </c>
      <c r="B1508" s="11">
        <v>-34.4186401367187</v>
      </c>
      <c r="C1508" s="11" t="s">
        <v>1390</v>
      </c>
      <c r="D1508" s="11" t="s">
        <v>1390</v>
      </c>
      <c r="E1508" s="11" t="s">
        <v>1062</v>
      </c>
      <c r="F1508" s="11" t="s">
        <v>2321</v>
      </c>
      <c r="J1508" s="11">
        <v>-30.6037979125976</v>
      </c>
      <c r="K1508" s="11">
        <v>-41.8462371826171</v>
      </c>
      <c r="L1508" s="11" t="s">
        <v>1390</v>
      </c>
      <c r="M1508" s="11" t="s">
        <v>1390</v>
      </c>
      <c r="N1508" s="11" t="s">
        <v>1062</v>
      </c>
      <c r="O1508" s="11" t="s">
        <v>2321</v>
      </c>
    </row>
    <row r="1509">
      <c r="A1509" s="11">
        <v>16.6341304779052</v>
      </c>
      <c r="B1509" s="11">
        <v>-45.2777938842773</v>
      </c>
      <c r="C1509" s="11" t="s">
        <v>1390</v>
      </c>
      <c r="D1509" s="11" t="s">
        <v>1390</v>
      </c>
      <c r="E1509" s="11" t="s">
        <v>1062</v>
      </c>
      <c r="F1509" s="11" t="s">
        <v>2322</v>
      </c>
      <c r="J1509" s="11">
        <v>-37.7916526794433</v>
      </c>
      <c r="K1509" s="11">
        <v>-52.8319587707519</v>
      </c>
      <c r="L1509" s="11" t="s">
        <v>1390</v>
      </c>
      <c r="M1509" s="11" t="s">
        <v>1390</v>
      </c>
      <c r="N1509" s="11" t="s">
        <v>1062</v>
      </c>
      <c r="O1509" s="11" t="s">
        <v>2322</v>
      </c>
    </row>
    <row r="1510">
      <c r="A1510" s="11">
        <v>-14.8015890121459</v>
      </c>
      <c r="B1510" s="11">
        <v>-20.9034271240234</v>
      </c>
      <c r="C1510" s="11" t="s">
        <v>1390</v>
      </c>
      <c r="D1510" s="11" t="s">
        <v>1390</v>
      </c>
      <c r="E1510" s="11" t="s">
        <v>1062</v>
      </c>
      <c r="F1510" s="11" t="s">
        <v>2324</v>
      </c>
      <c r="J1510" s="11">
        <v>11.3004512786865</v>
      </c>
      <c r="K1510" s="11">
        <v>-11.7876367568969</v>
      </c>
      <c r="L1510" s="11" t="s">
        <v>1390</v>
      </c>
      <c r="M1510" s="11" t="s">
        <v>1390</v>
      </c>
      <c r="N1510" s="11" t="s">
        <v>1062</v>
      </c>
      <c r="O1510" s="11" t="s">
        <v>2324</v>
      </c>
    </row>
    <row r="1511">
      <c r="A1511" s="11">
        <v>-5.62907457351684</v>
      </c>
      <c r="B1511" s="11">
        <v>-34.0655555725097</v>
      </c>
      <c r="C1511" s="11" t="s">
        <v>1390</v>
      </c>
      <c r="D1511" s="11" t="s">
        <v>1390</v>
      </c>
      <c r="E1511" s="11" t="s">
        <v>1062</v>
      </c>
      <c r="F1511" s="11" t="s">
        <v>2326</v>
      </c>
      <c r="J1511" s="11">
        <v>-34.0252609252929</v>
      </c>
      <c r="K1511" s="11">
        <v>-35.1495132446289</v>
      </c>
      <c r="L1511" s="11" t="s">
        <v>1390</v>
      </c>
      <c r="M1511" s="11" t="s">
        <v>1390</v>
      </c>
      <c r="N1511" s="11" t="s">
        <v>1062</v>
      </c>
      <c r="O1511" s="11" t="s">
        <v>2326</v>
      </c>
    </row>
    <row r="1512">
      <c r="A1512" s="11">
        <v>0.370884388685226</v>
      </c>
      <c r="B1512" s="11">
        <v>-22.3895530700683</v>
      </c>
      <c r="C1512" s="11" t="s">
        <v>1390</v>
      </c>
      <c r="D1512" s="11" t="s">
        <v>1390</v>
      </c>
      <c r="E1512" s="11" t="s">
        <v>1062</v>
      </c>
      <c r="F1512" s="11" t="s">
        <v>2328</v>
      </c>
      <c r="J1512" s="11">
        <v>-26.9376392364501</v>
      </c>
      <c r="K1512" s="11">
        <v>-37.9121055603027</v>
      </c>
      <c r="L1512" s="11" t="s">
        <v>1390</v>
      </c>
      <c r="M1512" s="11" t="s">
        <v>1390</v>
      </c>
      <c r="N1512" s="11" t="s">
        <v>1062</v>
      </c>
      <c r="O1512" s="11" t="s">
        <v>2328</v>
      </c>
    </row>
    <row r="1513">
      <c r="A1513" s="11">
        <v>21.9748878479003</v>
      </c>
      <c r="B1513" s="11">
        <v>-10.4686269760131</v>
      </c>
      <c r="C1513" s="11" t="s">
        <v>1390</v>
      </c>
      <c r="D1513" s="11" t="s">
        <v>1390</v>
      </c>
      <c r="E1513" s="11" t="s">
        <v>1062</v>
      </c>
      <c r="F1513" s="11" t="s">
        <v>2330</v>
      </c>
      <c r="J1513" s="11">
        <v>-16.1023406982421</v>
      </c>
      <c r="K1513" s="11">
        <v>-32.7614631652832</v>
      </c>
      <c r="L1513" s="11" t="s">
        <v>1390</v>
      </c>
      <c r="M1513" s="11" t="s">
        <v>1390</v>
      </c>
      <c r="N1513" s="11" t="s">
        <v>1062</v>
      </c>
      <c r="O1513" s="11" t="s">
        <v>2330</v>
      </c>
    </row>
    <row r="1514">
      <c r="A1514" s="11">
        <v>-8.75656604766845</v>
      </c>
      <c r="B1514" s="11">
        <v>-24.2562561035156</v>
      </c>
      <c r="C1514" s="11" t="s">
        <v>1390</v>
      </c>
      <c r="D1514" s="11" t="s">
        <v>1390</v>
      </c>
      <c r="E1514" s="11" t="s">
        <v>1062</v>
      </c>
      <c r="F1514" s="11" t="s">
        <v>2331</v>
      </c>
      <c r="J1514" s="11">
        <v>59.3648414611816</v>
      </c>
      <c r="K1514" s="11">
        <v>-28.1195011138916</v>
      </c>
      <c r="L1514" s="11" t="s">
        <v>1390</v>
      </c>
      <c r="M1514" s="11" t="s">
        <v>1390</v>
      </c>
      <c r="N1514" s="11" t="s">
        <v>1062</v>
      </c>
      <c r="O1514" s="11" t="s">
        <v>2331</v>
      </c>
    </row>
    <row r="1515">
      <c r="A1515" s="11">
        <v>1.79749178886413</v>
      </c>
      <c r="B1515" s="11">
        <v>-32.1100349426269</v>
      </c>
      <c r="C1515" s="11" t="s">
        <v>1390</v>
      </c>
      <c r="D1515" s="11" t="s">
        <v>1390</v>
      </c>
      <c r="E1515" s="11" t="s">
        <v>1062</v>
      </c>
      <c r="F1515" s="11" t="s">
        <v>2333</v>
      </c>
      <c r="J1515" s="11">
        <v>-19.1606731414794</v>
      </c>
      <c r="K1515" s="11">
        <v>-48.4524154663085</v>
      </c>
      <c r="L1515" s="11" t="s">
        <v>1390</v>
      </c>
      <c r="M1515" s="11" t="s">
        <v>1390</v>
      </c>
      <c r="N1515" s="11" t="s">
        <v>1062</v>
      </c>
      <c r="O1515" s="11" t="s">
        <v>2333</v>
      </c>
    </row>
    <row r="1516">
      <c r="A1516" s="11">
        <v>16.6340370178222</v>
      </c>
      <c r="B1516" s="11">
        <v>-45.2792892456054</v>
      </c>
      <c r="C1516" s="11" t="s">
        <v>1390</v>
      </c>
      <c r="D1516" s="11" t="s">
        <v>1390</v>
      </c>
      <c r="E1516" s="11" t="s">
        <v>1062</v>
      </c>
      <c r="F1516" s="11" t="s">
        <v>2334</v>
      </c>
      <c r="J1516" s="11">
        <v>-37.7916030883789</v>
      </c>
      <c r="K1516" s="11">
        <v>-52.8314819335937</v>
      </c>
      <c r="L1516" s="11" t="s">
        <v>1390</v>
      </c>
      <c r="M1516" s="11" t="s">
        <v>1390</v>
      </c>
      <c r="N1516" s="11" t="s">
        <v>1062</v>
      </c>
      <c r="O1516" s="11" t="s">
        <v>2334</v>
      </c>
    </row>
    <row r="1517">
      <c r="A1517" s="11">
        <v>-16.8311710357666</v>
      </c>
      <c r="B1517" s="11">
        <v>-28.7196083068847</v>
      </c>
      <c r="C1517" s="11" t="s">
        <v>1390</v>
      </c>
      <c r="D1517" s="11" t="s">
        <v>1390</v>
      </c>
      <c r="E1517" s="11" t="s">
        <v>1062</v>
      </c>
      <c r="F1517" s="11" t="s">
        <v>2336</v>
      </c>
      <c r="J1517" s="11">
        <v>-2.04659843444824</v>
      </c>
      <c r="K1517" s="11">
        <v>-42.1416931152343</v>
      </c>
      <c r="L1517" s="11" t="s">
        <v>1390</v>
      </c>
      <c r="M1517" s="11" t="s">
        <v>1390</v>
      </c>
      <c r="N1517" s="11" t="s">
        <v>1062</v>
      </c>
      <c r="O1517" s="11" t="s">
        <v>2336</v>
      </c>
    </row>
    <row r="1518">
      <c r="A1518" s="11">
        <v>-15.8478507995605</v>
      </c>
      <c r="B1518" s="11">
        <v>-28.862398147583</v>
      </c>
      <c r="C1518" s="11" t="s">
        <v>1390</v>
      </c>
      <c r="D1518" s="11" t="s">
        <v>1390</v>
      </c>
      <c r="E1518" s="11" t="s">
        <v>1062</v>
      </c>
      <c r="F1518" s="11" t="s">
        <v>2338</v>
      </c>
      <c r="J1518" s="11">
        <v>-1.64387214183807</v>
      </c>
      <c r="K1518" s="11">
        <v>-41.806095123291</v>
      </c>
      <c r="L1518" s="11" t="s">
        <v>1390</v>
      </c>
      <c r="M1518" s="11" t="s">
        <v>1390</v>
      </c>
      <c r="N1518" s="11" t="s">
        <v>1062</v>
      </c>
      <c r="O1518" s="11" t="s">
        <v>2338</v>
      </c>
    </row>
    <row r="1519">
      <c r="A1519" s="11">
        <v>6.89194679260253</v>
      </c>
      <c r="B1519" s="11">
        <v>-34.4186401367187</v>
      </c>
      <c r="C1519" s="11" t="s">
        <v>1390</v>
      </c>
      <c r="D1519" s="11" t="s">
        <v>1390</v>
      </c>
      <c r="E1519" s="11" t="s">
        <v>1062</v>
      </c>
      <c r="F1519" s="11" t="s">
        <v>2340</v>
      </c>
      <c r="J1519" s="11">
        <v>-30.908576965332</v>
      </c>
      <c r="K1519" s="11">
        <v>-42.3027915954589</v>
      </c>
      <c r="L1519" s="11" t="s">
        <v>1390</v>
      </c>
      <c r="M1519" s="11" t="s">
        <v>1390</v>
      </c>
      <c r="N1519" s="11" t="s">
        <v>1062</v>
      </c>
      <c r="O1519" s="11" t="s">
        <v>2340</v>
      </c>
    </row>
    <row r="1520">
      <c r="A1520" s="11">
        <v>6.35994386672973</v>
      </c>
      <c r="B1520" s="11">
        <v>-33.7152824401855</v>
      </c>
      <c r="C1520" s="11" t="s">
        <v>1390</v>
      </c>
      <c r="D1520" s="11" t="s">
        <v>1390</v>
      </c>
      <c r="E1520" s="11" t="s">
        <v>1062</v>
      </c>
      <c r="F1520" s="11" t="s">
        <v>2342</v>
      </c>
      <c r="J1520" s="11">
        <v>-31.1457080841064</v>
      </c>
      <c r="K1520" s="11">
        <v>-41.9136123657226</v>
      </c>
      <c r="L1520" s="11" t="s">
        <v>1390</v>
      </c>
      <c r="M1520" s="11" t="s">
        <v>1390</v>
      </c>
      <c r="N1520" s="11" t="s">
        <v>1062</v>
      </c>
      <c r="O1520" s="11" t="s">
        <v>2342</v>
      </c>
    </row>
    <row r="1521">
      <c r="A1521" s="11">
        <v>-9.87789630889892</v>
      </c>
      <c r="B1521" s="11">
        <v>-21.6072521209716</v>
      </c>
      <c r="C1521" s="11" t="s">
        <v>1390</v>
      </c>
      <c r="D1521" s="11" t="s">
        <v>1390</v>
      </c>
      <c r="E1521" s="11" t="s">
        <v>1062</v>
      </c>
      <c r="F1521" s="11" t="s">
        <v>2343</v>
      </c>
      <c r="J1521" s="11">
        <v>-42.1904983520507</v>
      </c>
      <c r="K1521" s="11">
        <v>-54.5396270751953</v>
      </c>
      <c r="L1521" s="11" t="s">
        <v>1390</v>
      </c>
      <c r="M1521" s="11" t="s">
        <v>1390</v>
      </c>
      <c r="N1521" s="11" t="s">
        <v>1062</v>
      </c>
      <c r="O1521" s="11" t="s">
        <v>2343</v>
      </c>
    </row>
    <row r="1522">
      <c r="A1522" s="11">
        <v>-27.9792499542236</v>
      </c>
      <c r="B1522" s="11">
        <v>-49.5931663513183</v>
      </c>
      <c r="C1522" s="11" t="s">
        <v>1390</v>
      </c>
      <c r="D1522" s="11" t="s">
        <v>1390</v>
      </c>
      <c r="E1522" s="11" t="s">
        <v>1062</v>
      </c>
      <c r="F1522" s="11" t="s">
        <v>2345</v>
      </c>
      <c r="J1522" s="11">
        <v>-15.1182079315185</v>
      </c>
      <c r="K1522" s="11">
        <v>-43.4829788208007</v>
      </c>
      <c r="L1522" s="11" t="s">
        <v>1390</v>
      </c>
      <c r="M1522" s="11" t="s">
        <v>1390</v>
      </c>
      <c r="N1522" s="11" t="s">
        <v>1062</v>
      </c>
      <c r="O1522" s="11" t="s">
        <v>2345</v>
      </c>
    </row>
    <row r="1523">
      <c r="A1523" s="11">
        <v>6.97037982940673</v>
      </c>
      <c r="B1523" s="11">
        <v>-14.1626720428466</v>
      </c>
      <c r="C1523" s="11" t="s">
        <v>1390</v>
      </c>
      <c r="D1523" s="11" t="s">
        <v>1390</v>
      </c>
      <c r="E1523" s="11" t="s">
        <v>1062</v>
      </c>
      <c r="F1523" s="11" t="s">
        <v>2347</v>
      </c>
      <c r="J1523" s="11">
        <v>-2.37903952598571</v>
      </c>
      <c r="K1523" s="11">
        <v>-24.7634410858154</v>
      </c>
      <c r="L1523" s="11" t="s">
        <v>1390</v>
      </c>
      <c r="M1523" s="11" t="s">
        <v>1390</v>
      </c>
      <c r="N1523" s="11" t="s">
        <v>1062</v>
      </c>
      <c r="O1523" s="11" t="s">
        <v>2347</v>
      </c>
    </row>
    <row r="1524">
      <c r="A1524" s="11">
        <v>6.97037982940673</v>
      </c>
      <c r="B1524" s="11">
        <v>-14.1626720428466</v>
      </c>
      <c r="C1524" s="11" t="s">
        <v>1390</v>
      </c>
      <c r="D1524" s="11" t="s">
        <v>1390</v>
      </c>
      <c r="E1524" s="11" t="s">
        <v>1062</v>
      </c>
      <c r="F1524" s="11" t="s">
        <v>2349</v>
      </c>
      <c r="J1524" s="11">
        <v>-2.37858033180236</v>
      </c>
      <c r="K1524" s="11">
        <v>-24.7633457183837</v>
      </c>
      <c r="L1524" s="11" t="s">
        <v>1390</v>
      </c>
      <c r="M1524" s="11" t="s">
        <v>1390</v>
      </c>
      <c r="N1524" s="11" t="s">
        <v>1062</v>
      </c>
      <c r="O1524" s="11" t="s">
        <v>2349</v>
      </c>
    </row>
    <row r="1525">
      <c r="A1525" s="11">
        <v>-27.9792499542236</v>
      </c>
      <c r="B1525" s="11">
        <v>-49.5931663513183</v>
      </c>
      <c r="C1525" s="11" t="s">
        <v>1390</v>
      </c>
      <c r="D1525" s="11" t="s">
        <v>1390</v>
      </c>
      <c r="E1525" s="11" t="s">
        <v>1062</v>
      </c>
      <c r="F1525" s="11" t="s">
        <v>2350</v>
      </c>
      <c r="J1525" s="11">
        <v>-15.1183099746704</v>
      </c>
      <c r="K1525" s="11">
        <v>-43.484073638916</v>
      </c>
      <c r="L1525" s="11" t="s">
        <v>1390</v>
      </c>
      <c r="M1525" s="11" t="s">
        <v>1390</v>
      </c>
      <c r="N1525" s="11" t="s">
        <v>1062</v>
      </c>
      <c r="O1525" s="11" t="s">
        <v>2350</v>
      </c>
    </row>
    <row r="1526">
      <c r="A1526" s="11">
        <v>-11.2502431869506</v>
      </c>
      <c r="B1526" s="11">
        <v>-23.4806728363037</v>
      </c>
      <c r="C1526" s="11" t="s">
        <v>1390</v>
      </c>
      <c r="D1526" s="11" t="s">
        <v>1390</v>
      </c>
      <c r="E1526" s="11" t="s">
        <v>1062</v>
      </c>
      <c r="F1526" s="11" t="s">
        <v>2352</v>
      </c>
      <c r="J1526" s="11">
        <v>-7.72059297561645</v>
      </c>
      <c r="K1526" s="11">
        <v>-40.9744567871093</v>
      </c>
      <c r="L1526" s="11" t="s">
        <v>1390</v>
      </c>
      <c r="M1526" s="11" t="s">
        <v>1390</v>
      </c>
      <c r="N1526" s="11" t="s">
        <v>1062</v>
      </c>
      <c r="O1526" s="11" t="s">
        <v>2352</v>
      </c>
    </row>
    <row r="1527">
      <c r="A1527" s="11">
        <v>6.89194679260253</v>
      </c>
      <c r="B1527" s="11">
        <v>-34.4186401367187</v>
      </c>
      <c r="C1527" s="11" t="s">
        <v>1390</v>
      </c>
      <c r="D1527" s="11" t="s">
        <v>1390</v>
      </c>
      <c r="E1527" s="11" t="s">
        <v>1062</v>
      </c>
      <c r="F1527" s="11" t="s">
        <v>2354</v>
      </c>
      <c r="J1527" s="11">
        <v>-30.6597957611084</v>
      </c>
      <c r="K1527" s="11">
        <v>-42.2493438720703</v>
      </c>
      <c r="L1527" s="11" t="s">
        <v>1390</v>
      </c>
      <c r="M1527" s="11" t="s">
        <v>1390</v>
      </c>
      <c r="N1527" s="11" t="s">
        <v>1062</v>
      </c>
      <c r="O1527" s="11" t="s">
        <v>2354</v>
      </c>
    </row>
    <row r="1528">
      <c r="A1528" s="11">
        <v>-16.0201168060302</v>
      </c>
      <c r="B1528" s="11">
        <v>-29.4467945098876</v>
      </c>
      <c r="C1528" s="11" t="s">
        <v>1390</v>
      </c>
      <c r="D1528" s="11" t="s">
        <v>1390</v>
      </c>
      <c r="E1528" s="11" t="s">
        <v>1062</v>
      </c>
      <c r="F1528" s="11" t="s">
        <v>2356</v>
      </c>
      <c r="J1528" s="11">
        <v>-2.32738041877746</v>
      </c>
      <c r="K1528" s="11">
        <v>-41.6497001647949</v>
      </c>
      <c r="L1528" s="11" t="s">
        <v>1390</v>
      </c>
      <c r="M1528" s="11" t="s">
        <v>1390</v>
      </c>
      <c r="N1528" s="11" t="s">
        <v>1062</v>
      </c>
      <c r="O1528" s="11" t="s">
        <v>2356</v>
      </c>
    </row>
    <row r="1529">
      <c r="A1529" s="11">
        <v>6.97037982940673</v>
      </c>
      <c r="B1529" s="11">
        <v>-14.1626720428466</v>
      </c>
      <c r="C1529" s="11" t="s">
        <v>1390</v>
      </c>
      <c r="D1529" s="11" t="s">
        <v>1390</v>
      </c>
      <c r="E1529" s="11" t="s">
        <v>1062</v>
      </c>
      <c r="F1529" s="11" t="s">
        <v>2357</v>
      </c>
      <c r="J1529" s="11">
        <v>-2.37849354743957</v>
      </c>
      <c r="K1529" s="11">
        <v>-24.7633419036865</v>
      </c>
      <c r="L1529" s="11" t="s">
        <v>1390</v>
      </c>
      <c r="M1529" s="11" t="s">
        <v>1390</v>
      </c>
      <c r="N1529" s="11" t="s">
        <v>1062</v>
      </c>
      <c r="O1529" s="11" t="s">
        <v>2357</v>
      </c>
    </row>
    <row r="1530">
      <c r="A1530" s="11">
        <v>-16.7089977264404</v>
      </c>
      <c r="B1530" s="11">
        <v>-29.3650703430175</v>
      </c>
      <c r="C1530" s="11" t="s">
        <v>1390</v>
      </c>
      <c r="D1530" s="11" t="s">
        <v>1390</v>
      </c>
      <c r="E1530" s="11" t="s">
        <v>1062</v>
      </c>
      <c r="F1530" s="11" t="s">
        <v>2359</v>
      </c>
      <c r="J1530" s="11">
        <v>-2.04659843444824</v>
      </c>
      <c r="K1530" s="11">
        <v>-42.1416931152343</v>
      </c>
      <c r="L1530" s="11" t="s">
        <v>1390</v>
      </c>
      <c r="M1530" s="11" t="s">
        <v>1390</v>
      </c>
      <c r="N1530" s="11" t="s">
        <v>1062</v>
      </c>
      <c r="O1530" s="11" t="s">
        <v>2359</v>
      </c>
    </row>
    <row r="1531">
      <c r="A1531" s="11">
        <v>4.9290862083435</v>
      </c>
      <c r="B1531" s="11">
        <v>-35.9015731811523</v>
      </c>
      <c r="C1531" s="11" t="s">
        <v>1390</v>
      </c>
      <c r="D1531" s="11" t="s">
        <v>1390</v>
      </c>
      <c r="E1531" s="11" t="s">
        <v>1062</v>
      </c>
      <c r="F1531" s="11" t="s">
        <v>2361</v>
      </c>
      <c r="J1531" s="11">
        <v>-35.8094291687011</v>
      </c>
      <c r="K1531" s="11">
        <v>-41.1185874938964</v>
      </c>
      <c r="L1531" s="11" t="s">
        <v>1390</v>
      </c>
      <c r="M1531" s="11" t="s">
        <v>1390</v>
      </c>
      <c r="N1531" s="11" t="s">
        <v>1062</v>
      </c>
      <c r="O1531" s="11" t="s">
        <v>2361</v>
      </c>
    </row>
    <row r="1532">
      <c r="A1532" s="11">
        <v>-16.2236900329589</v>
      </c>
      <c r="B1532" s="11">
        <v>-28.380708694458</v>
      </c>
      <c r="C1532" s="11" t="s">
        <v>1390</v>
      </c>
      <c r="D1532" s="11" t="s">
        <v>1390</v>
      </c>
      <c r="E1532" s="11" t="s">
        <v>1062</v>
      </c>
      <c r="F1532" s="11" t="s">
        <v>2363</v>
      </c>
      <c r="J1532" s="11">
        <v>-2.01582717895507</v>
      </c>
      <c r="K1532" s="11">
        <v>-41.5247154235839</v>
      </c>
      <c r="L1532" s="11" t="s">
        <v>1390</v>
      </c>
      <c r="M1532" s="11" t="s">
        <v>1390</v>
      </c>
      <c r="N1532" s="11" t="s">
        <v>1062</v>
      </c>
      <c r="O1532" s="11" t="s">
        <v>2363</v>
      </c>
    </row>
    <row r="1533">
      <c r="A1533" s="11">
        <v>-14.8091373443603</v>
      </c>
      <c r="B1533" s="11">
        <v>-20.9048824310302</v>
      </c>
      <c r="C1533" s="11" t="s">
        <v>1390</v>
      </c>
      <c r="D1533" s="11" t="s">
        <v>1390</v>
      </c>
      <c r="E1533" s="11" t="s">
        <v>1062</v>
      </c>
      <c r="F1533" s="11" t="s">
        <v>2365</v>
      </c>
      <c r="J1533" s="11">
        <v>11.3035497665405</v>
      </c>
      <c r="K1533" s="11">
        <v>-11.7890291213989</v>
      </c>
      <c r="L1533" s="11" t="s">
        <v>1390</v>
      </c>
      <c r="M1533" s="11" t="s">
        <v>1390</v>
      </c>
      <c r="N1533" s="11" t="s">
        <v>1062</v>
      </c>
      <c r="O1533" s="11" t="s">
        <v>2365</v>
      </c>
    </row>
    <row r="1534">
      <c r="A1534" s="11">
        <v>62.1180458068847</v>
      </c>
      <c r="B1534" s="11">
        <v>-28.2929744720459</v>
      </c>
      <c r="C1534" s="11" t="s">
        <v>2524</v>
      </c>
      <c r="D1534" s="11" t="s">
        <v>2524</v>
      </c>
      <c r="E1534" s="11" t="s">
        <v>1062</v>
      </c>
      <c r="F1534" s="11" t="s">
        <v>2839</v>
      </c>
      <c r="J1534" s="11">
        <v>-68.225601196289</v>
      </c>
      <c r="K1534" s="11">
        <v>-19.6839847564697</v>
      </c>
      <c r="L1534" s="11" t="s">
        <v>2524</v>
      </c>
      <c r="M1534" s="11" t="s">
        <v>2524</v>
      </c>
      <c r="N1534" s="11" t="s">
        <v>1062</v>
      </c>
      <c r="O1534" s="11" t="s">
        <v>2839</v>
      </c>
    </row>
    <row r="1535">
      <c r="A1535" s="11">
        <v>42.7672080993652</v>
      </c>
      <c r="B1535" s="11">
        <v>-9.184419631958</v>
      </c>
      <c r="C1535" s="11" t="s">
        <v>2524</v>
      </c>
      <c r="D1535" s="11" t="s">
        <v>2524</v>
      </c>
      <c r="E1535" s="11" t="s">
        <v>1062</v>
      </c>
      <c r="F1535" s="11" t="s">
        <v>2840</v>
      </c>
      <c r="J1535" s="11">
        <v>-68.9058380126953</v>
      </c>
      <c r="K1535" s="11">
        <v>-20.8617248535156</v>
      </c>
      <c r="L1535" s="11" t="s">
        <v>2524</v>
      </c>
      <c r="M1535" s="11" t="s">
        <v>2524</v>
      </c>
      <c r="N1535" s="11" t="s">
        <v>1062</v>
      </c>
      <c r="O1535" s="11" t="s">
        <v>2840</v>
      </c>
    </row>
    <row r="1536">
      <c r="A1536" s="11">
        <v>37.0609741210937</v>
      </c>
      <c r="B1536" s="11">
        <v>-9.34585189819336</v>
      </c>
      <c r="C1536" s="11" t="s">
        <v>2524</v>
      </c>
      <c r="D1536" s="11" t="s">
        <v>2524</v>
      </c>
      <c r="E1536" s="11" t="s">
        <v>1062</v>
      </c>
      <c r="F1536" s="11" t="s">
        <v>2841</v>
      </c>
      <c r="J1536" s="11">
        <v>-66.8640823364257</v>
      </c>
      <c r="K1536" s="11">
        <v>-22.9198246002197</v>
      </c>
      <c r="L1536" s="11" t="s">
        <v>2524</v>
      </c>
      <c r="M1536" s="11" t="s">
        <v>2524</v>
      </c>
      <c r="N1536" s="11" t="s">
        <v>1062</v>
      </c>
      <c r="O1536" s="11" t="s">
        <v>2841</v>
      </c>
    </row>
    <row r="1537">
      <c r="A1537" s="11">
        <v>-70.6379470825195</v>
      </c>
      <c r="B1537" s="11">
        <v>-11.6256313323974</v>
      </c>
      <c r="C1537" s="11" t="s">
        <v>1879</v>
      </c>
      <c r="D1537" s="11" t="s">
        <v>1879</v>
      </c>
      <c r="E1537" s="11" t="s">
        <v>1062</v>
      </c>
      <c r="F1537" s="11" t="s">
        <v>2367</v>
      </c>
      <c r="J1537" s="11">
        <v>20.1980991363525</v>
      </c>
      <c r="K1537" s="11">
        <v>-47.2300796508789</v>
      </c>
      <c r="L1537" s="11" t="s">
        <v>1879</v>
      </c>
      <c r="M1537" s="11" t="s">
        <v>1879</v>
      </c>
      <c r="N1537" s="11" t="s">
        <v>1062</v>
      </c>
      <c r="O1537" s="11" t="s">
        <v>2367</v>
      </c>
    </row>
    <row r="1538">
      <c r="A1538" s="11">
        <v>-30.2259845733642</v>
      </c>
      <c r="B1538" s="11">
        <v>-10.1376247406005</v>
      </c>
      <c r="C1538" s="11" t="s">
        <v>1879</v>
      </c>
      <c r="D1538" s="11" t="s">
        <v>1879</v>
      </c>
      <c r="E1538" s="11" t="s">
        <v>1062</v>
      </c>
      <c r="F1538" s="11" t="s">
        <v>2369</v>
      </c>
      <c r="J1538" s="11">
        <v>35.3479919433593</v>
      </c>
      <c r="K1538" s="11">
        <v>-51.9202880859375</v>
      </c>
      <c r="L1538" s="11" t="s">
        <v>1879</v>
      </c>
      <c r="M1538" s="11" t="s">
        <v>1879</v>
      </c>
      <c r="N1538" s="11" t="s">
        <v>1062</v>
      </c>
      <c r="O1538" s="11" t="s">
        <v>2369</v>
      </c>
    </row>
    <row r="1539">
      <c r="A1539" s="11">
        <v>-20.0052165985107</v>
      </c>
      <c r="B1539" s="11">
        <v>34.3021163940429</v>
      </c>
      <c r="C1539" s="11" t="s">
        <v>1879</v>
      </c>
      <c r="D1539" s="11" t="s">
        <v>1879</v>
      </c>
      <c r="E1539" s="11" t="s">
        <v>1062</v>
      </c>
      <c r="F1539" s="11" t="s">
        <v>2371</v>
      </c>
      <c r="J1539" s="11">
        <v>14.5656175613403</v>
      </c>
      <c r="K1539" s="11">
        <v>-42.181583404541</v>
      </c>
      <c r="L1539" s="11" t="s">
        <v>1879</v>
      </c>
      <c r="M1539" s="11" t="s">
        <v>1879</v>
      </c>
      <c r="N1539" s="11" t="s">
        <v>1062</v>
      </c>
      <c r="O1539" s="11" t="s">
        <v>2371</v>
      </c>
    </row>
    <row r="1540">
      <c r="A1540" s="11">
        <v>-19.3721580505371</v>
      </c>
      <c r="B1540" s="11">
        <v>34.030647277832</v>
      </c>
      <c r="C1540" s="11" t="s">
        <v>1879</v>
      </c>
      <c r="D1540" s="11" t="s">
        <v>1879</v>
      </c>
      <c r="E1540" s="11" t="s">
        <v>1062</v>
      </c>
      <c r="F1540" s="11" t="s">
        <v>2375</v>
      </c>
      <c r="J1540" s="11">
        <v>14.5656175613403</v>
      </c>
      <c r="K1540" s="11">
        <v>-42.181583404541</v>
      </c>
      <c r="L1540" s="11" t="s">
        <v>1879</v>
      </c>
      <c r="M1540" s="11" t="s">
        <v>1879</v>
      </c>
      <c r="N1540" s="11" t="s">
        <v>1062</v>
      </c>
      <c r="O1540" s="11" t="s">
        <v>2375</v>
      </c>
    </row>
    <row r="1541">
      <c r="A1541" s="11">
        <v>-70.8041305541992</v>
      </c>
      <c r="B1541" s="11">
        <v>-10.5603637695312</v>
      </c>
      <c r="C1541" s="11" t="s">
        <v>1879</v>
      </c>
      <c r="D1541" s="11" t="s">
        <v>1879</v>
      </c>
      <c r="E1541" s="11" t="s">
        <v>1062</v>
      </c>
      <c r="F1541" s="11" t="s">
        <v>2378</v>
      </c>
      <c r="J1541" s="11">
        <v>20.0657539367675</v>
      </c>
      <c r="K1541" s="11">
        <v>-47.9485397338867</v>
      </c>
      <c r="L1541" s="11" t="s">
        <v>1879</v>
      </c>
      <c r="M1541" s="11" t="s">
        <v>1879</v>
      </c>
      <c r="N1541" s="11" t="s">
        <v>1062</v>
      </c>
      <c r="O1541" s="11" t="s">
        <v>2378</v>
      </c>
    </row>
    <row r="1542">
      <c r="A1542" s="11">
        <v>-38.6309623718261</v>
      </c>
      <c r="B1542" s="11">
        <v>-18.1060791015625</v>
      </c>
      <c r="C1542" s="11" t="s">
        <v>1879</v>
      </c>
      <c r="D1542" s="11" t="s">
        <v>1879</v>
      </c>
      <c r="E1542" s="11" t="s">
        <v>1062</v>
      </c>
      <c r="F1542" s="11" t="s">
        <v>2380</v>
      </c>
      <c r="J1542" s="11">
        <v>31.7887935638427</v>
      </c>
      <c r="K1542" s="11">
        <v>-47.8930854797363</v>
      </c>
      <c r="L1542" s="11" t="s">
        <v>1879</v>
      </c>
      <c r="M1542" s="11" t="s">
        <v>1879</v>
      </c>
      <c r="N1542" s="11" t="s">
        <v>1062</v>
      </c>
      <c r="O1542" s="11" t="s">
        <v>2380</v>
      </c>
    </row>
    <row r="1543">
      <c r="A1543" s="11">
        <v>-71.7417526245117</v>
      </c>
      <c r="B1543" s="11">
        <v>-11.3738765716552</v>
      </c>
      <c r="C1543" s="11" t="s">
        <v>1879</v>
      </c>
      <c r="D1543" s="11" t="s">
        <v>1879</v>
      </c>
      <c r="E1543" s="11" t="s">
        <v>1062</v>
      </c>
      <c r="F1543" s="11" t="s">
        <v>2382</v>
      </c>
      <c r="J1543" s="11">
        <v>20.8567962646484</v>
      </c>
      <c r="K1543" s="11">
        <v>-47.8368988037109</v>
      </c>
      <c r="L1543" s="11" t="s">
        <v>1879</v>
      </c>
      <c r="M1543" s="11" t="s">
        <v>1879</v>
      </c>
      <c r="N1543" s="11" t="s">
        <v>1062</v>
      </c>
      <c r="O1543" s="11" t="s">
        <v>2382</v>
      </c>
    </row>
    <row r="1544">
      <c r="A1544" s="11">
        <v>-70.8041305541992</v>
      </c>
      <c r="B1544" s="11">
        <v>-10.5603637695312</v>
      </c>
      <c r="C1544" s="11" t="s">
        <v>1879</v>
      </c>
      <c r="D1544" s="11" t="s">
        <v>1879</v>
      </c>
      <c r="E1544" s="11" t="s">
        <v>1062</v>
      </c>
      <c r="F1544" s="11" t="s">
        <v>2384</v>
      </c>
      <c r="J1544" s="11">
        <v>20.0657539367675</v>
      </c>
      <c r="K1544" s="11">
        <v>-47.9485397338867</v>
      </c>
      <c r="L1544" s="11" t="s">
        <v>1879</v>
      </c>
      <c r="M1544" s="11" t="s">
        <v>1879</v>
      </c>
      <c r="N1544" s="11" t="s">
        <v>1062</v>
      </c>
      <c r="O1544" s="11" t="s">
        <v>2384</v>
      </c>
    </row>
    <row r="1545">
      <c r="A1545" s="11">
        <v>-71.8561859130859</v>
      </c>
      <c r="B1545" s="11">
        <v>-10.2626667022705</v>
      </c>
      <c r="C1545" s="11" t="s">
        <v>1879</v>
      </c>
      <c r="D1545" s="11" t="s">
        <v>1879</v>
      </c>
      <c r="E1545" s="11" t="s">
        <v>1062</v>
      </c>
      <c r="F1545" s="11" t="s">
        <v>2386</v>
      </c>
      <c r="J1545" s="11">
        <v>20.7806739807128</v>
      </c>
      <c r="K1545" s="11">
        <v>-47.0091934204101</v>
      </c>
      <c r="L1545" s="11" t="s">
        <v>1879</v>
      </c>
      <c r="M1545" s="11" t="s">
        <v>1879</v>
      </c>
      <c r="N1545" s="11" t="s">
        <v>1062</v>
      </c>
      <c r="O1545" s="11" t="s">
        <v>2386</v>
      </c>
    </row>
    <row r="1546">
      <c r="A1546" s="11">
        <v>-32.7959594726562</v>
      </c>
      <c r="B1546" s="11">
        <v>-5.04684877395629</v>
      </c>
      <c r="C1546" s="11" t="s">
        <v>1879</v>
      </c>
      <c r="D1546" s="11" t="s">
        <v>1879</v>
      </c>
      <c r="E1546" s="11" t="s">
        <v>1062</v>
      </c>
      <c r="F1546" s="11" t="s">
        <v>2388</v>
      </c>
      <c r="J1546" s="11">
        <v>30.5740642547607</v>
      </c>
      <c r="K1546" s="11">
        <v>-51.5066261291503</v>
      </c>
      <c r="L1546" s="11" t="s">
        <v>1879</v>
      </c>
      <c r="M1546" s="11" t="s">
        <v>1879</v>
      </c>
      <c r="N1546" s="11" t="s">
        <v>1062</v>
      </c>
      <c r="O1546" s="11" t="s">
        <v>2388</v>
      </c>
    </row>
    <row r="1547">
      <c r="A1547" s="11">
        <v>-19.4557228088378</v>
      </c>
      <c r="B1547" s="11">
        <v>34.7208099365234</v>
      </c>
      <c r="C1547" s="11" t="s">
        <v>1879</v>
      </c>
      <c r="D1547" s="11" t="s">
        <v>1879</v>
      </c>
      <c r="E1547" s="11" t="s">
        <v>1062</v>
      </c>
      <c r="F1547" s="11" t="s">
        <v>2390</v>
      </c>
      <c r="J1547" s="11">
        <v>14.3227376937866</v>
      </c>
      <c r="K1547" s="11">
        <v>-42.3065795898437</v>
      </c>
      <c r="L1547" s="11" t="s">
        <v>1879</v>
      </c>
      <c r="M1547" s="11" t="s">
        <v>1879</v>
      </c>
      <c r="N1547" s="11" t="s">
        <v>1062</v>
      </c>
      <c r="O1547" s="11" t="s">
        <v>2390</v>
      </c>
    </row>
    <row r="1548">
      <c r="A1548" s="11">
        <v>-19.4557228088378</v>
      </c>
      <c r="B1548" s="11">
        <v>34.7208099365234</v>
      </c>
      <c r="C1548" s="11" t="s">
        <v>1879</v>
      </c>
      <c r="D1548" s="11" t="s">
        <v>1879</v>
      </c>
      <c r="E1548" s="11" t="s">
        <v>1062</v>
      </c>
      <c r="F1548" s="11" t="s">
        <v>2395</v>
      </c>
      <c r="J1548" s="11">
        <v>14.2961406707763</v>
      </c>
      <c r="K1548" s="11">
        <v>-42.0739669799804</v>
      </c>
      <c r="L1548" s="11" t="s">
        <v>1879</v>
      </c>
      <c r="M1548" s="11" t="s">
        <v>1879</v>
      </c>
      <c r="N1548" s="11" t="s">
        <v>1062</v>
      </c>
      <c r="O1548" s="11" t="s">
        <v>2395</v>
      </c>
    </row>
    <row r="1549">
      <c r="A1549" s="11">
        <v>-71.7417526245117</v>
      </c>
      <c r="B1549" s="11">
        <v>-11.3738765716552</v>
      </c>
      <c r="C1549" s="11" t="s">
        <v>1879</v>
      </c>
      <c r="D1549" s="11" t="s">
        <v>1879</v>
      </c>
      <c r="E1549" s="11" t="s">
        <v>1062</v>
      </c>
      <c r="F1549" s="11" t="s">
        <v>2398</v>
      </c>
      <c r="J1549" s="11">
        <v>20.8567962646484</v>
      </c>
      <c r="K1549" s="11">
        <v>-47.8368988037109</v>
      </c>
      <c r="L1549" s="11" t="s">
        <v>1879</v>
      </c>
      <c r="M1549" s="11" t="s">
        <v>1879</v>
      </c>
      <c r="N1549" s="11" t="s">
        <v>1062</v>
      </c>
      <c r="O1549" s="11" t="s">
        <v>2398</v>
      </c>
    </row>
    <row r="1550">
      <c r="A1550" s="11">
        <v>-30.6275100708007</v>
      </c>
      <c r="B1550" s="11">
        <v>-9.33887386322021</v>
      </c>
      <c r="C1550" s="11" t="s">
        <v>1879</v>
      </c>
      <c r="D1550" s="11" t="s">
        <v>1879</v>
      </c>
      <c r="E1550" s="11" t="s">
        <v>1062</v>
      </c>
      <c r="F1550" s="11" t="s">
        <v>2400</v>
      </c>
      <c r="J1550" s="11">
        <v>34.7457962036132</v>
      </c>
      <c r="K1550" s="11">
        <v>-52.2527122497558</v>
      </c>
      <c r="L1550" s="11" t="s">
        <v>1879</v>
      </c>
      <c r="M1550" s="11" t="s">
        <v>1879</v>
      </c>
      <c r="N1550" s="11" t="s">
        <v>1062</v>
      </c>
      <c r="O1550" s="11" t="s">
        <v>2400</v>
      </c>
    </row>
    <row r="1551">
      <c r="A1551" s="11">
        <v>-30.2259845733642</v>
      </c>
      <c r="B1551" s="11">
        <v>-10.1376247406005</v>
      </c>
      <c r="C1551" s="11" t="s">
        <v>1879</v>
      </c>
      <c r="D1551" s="11" t="s">
        <v>1879</v>
      </c>
      <c r="E1551" s="11" t="s">
        <v>1062</v>
      </c>
      <c r="F1551" s="11" t="s">
        <v>2403</v>
      </c>
      <c r="J1551" s="11">
        <v>34.9279747009277</v>
      </c>
      <c r="K1551" s="11">
        <v>-51.8118896484375</v>
      </c>
      <c r="L1551" s="11" t="s">
        <v>1879</v>
      </c>
      <c r="M1551" s="11" t="s">
        <v>1879</v>
      </c>
      <c r="N1551" s="11" t="s">
        <v>1062</v>
      </c>
      <c r="O1551" s="11" t="s">
        <v>2403</v>
      </c>
    </row>
    <row r="1552">
      <c r="A1552" s="11">
        <v>-71.7417526245117</v>
      </c>
      <c r="B1552" s="11">
        <v>-11.3738765716552</v>
      </c>
      <c r="C1552" s="11" t="s">
        <v>1879</v>
      </c>
      <c r="D1552" s="11" t="s">
        <v>1879</v>
      </c>
      <c r="E1552" s="11" t="s">
        <v>1062</v>
      </c>
      <c r="F1552" s="11" t="s">
        <v>2405</v>
      </c>
      <c r="J1552" s="11">
        <v>20.8567962646484</v>
      </c>
      <c r="K1552" s="11">
        <v>-47.8368988037109</v>
      </c>
      <c r="L1552" s="11" t="s">
        <v>1879</v>
      </c>
      <c r="M1552" s="11" t="s">
        <v>1879</v>
      </c>
      <c r="N1552" s="11" t="s">
        <v>1062</v>
      </c>
      <c r="O1552" s="11" t="s">
        <v>2405</v>
      </c>
    </row>
    <row r="1553">
      <c r="A1553" s="11">
        <v>8.37165737152099</v>
      </c>
      <c r="B1553" s="11">
        <v>4.18208646774292</v>
      </c>
      <c r="C1553" s="11" t="s">
        <v>2602</v>
      </c>
      <c r="D1553" s="11" t="s">
        <v>2602</v>
      </c>
      <c r="E1553" s="11" t="s">
        <v>1062</v>
      </c>
      <c r="F1553" s="11" t="s">
        <v>2842</v>
      </c>
      <c r="J1553" s="11">
        <v>-12.4333181381225</v>
      </c>
      <c r="K1553" s="11">
        <v>-13.3185634613037</v>
      </c>
      <c r="L1553" s="11" t="s">
        <v>2602</v>
      </c>
      <c r="M1553" s="11" t="s">
        <v>2602</v>
      </c>
      <c r="N1553" s="11" t="s">
        <v>1062</v>
      </c>
      <c r="O1553" s="11" t="s">
        <v>2842</v>
      </c>
    </row>
    <row r="1554">
      <c r="A1554" s="11">
        <v>1.19436359405517</v>
      </c>
      <c r="B1554" s="11">
        <v>-7.56126403808593</v>
      </c>
      <c r="C1554" s="11" t="s">
        <v>2602</v>
      </c>
      <c r="D1554" s="11" t="s">
        <v>2602</v>
      </c>
      <c r="E1554" s="11" t="s">
        <v>1062</v>
      </c>
      <c r="F1554" s="11" t="s">
        <v>2843</v>
      </c>
      <c r="J1554" s="11">
        <v>-38.9579238891601</v>
      </c>
      <c r="K1554" s="11">
        <v>-25.3527069091796</v>
      </c>
      <c r="L1554" s="11" t="s">
        <v>2602</v>
      </c>
      <c r="M1554" s="11" t="s">
        <v>2602</v>
      </c>
      <c r="N1554" s="11" t="s">
        <v>1062</v>
      </c>
      <c r="O1554" s="11" t="s">
        <v>2843</v>
      </c>
    </row>
    <row r="1555">
      <c r="A1555" s="11">
        <v>-32.8824729919433</v>
      </c>
      <c r="B1555" s="11">
        <v>-39.1135826110839</v>
      </c>
      <c r="C1555" s="11" t="s">
        <v>1390</v>
      </c>
      <c r="D1555" s="11" t="s">
        <v>1390</v>
      </c>
      <c r="E1555" s="11" t="s">
        <v>1062</v>
      </c>
      <c r="F1555" s="11" t="s">
        <v>2447</v>
      </c>
      <c r="J1555" s="11">
        <v>18.8990135192871</v>
      </c>
      <c r="K1555" s="11">
        <v>-12.1678495407104</v>
      </c>
      <c r="L1555" s="11" t="s">
        <v>1390</v>
      </c>
      <c r="M1555" s="11" t="s">
        <v>1390</v>
      </c>
      <c r="N1555" s="11" t="s">
        <v>1062</v>
      </c>
      <c r="O1555" s="11" t="s">
        <v>2447</v>
      </c>
    </row>
    <row r="1556">
      <c r="A1556" s="11">
        <v>26.4641513824462</v>
      </c>
      <c r="B1556" s="11">
        <v>-59.3797531127929</v>
      </c>
      <c r="C1556" s="11" t="s">
        <v>1390</v>
      </c>
      <c r="D1556" s="11" t="s">
        <v>1390</v>
      </c>
      <c r="E1556" s="11" t="s">
        <v>1062</v>
      </c>
      <c r="F1556" s="11" t="s">
        <v>2448</v>
      </c>
      <c r="J1556" s="11">
        <v>-23.2933177947998</v>
      </c>
      <c r="K1556" s="11">
        <v>-22.0093536376953</v>
      </c>
      <c r="L1556" s="11" t="s">
        <v>1390</v>
      </c>
      <c r="M1556" s="11" t="s">
        <v>1390</v>
      </c>
      <c r="N1556" s="11" t="s">
        <v>1062</v>
      </c>
      <c r="O1556" s="11" t="s">
        <v>2448</v>
      </c>
    </row>
    <row r="1557">
      <c r="A1557" s="11">
        <v>-20.1253814697265</v>
      </c>
      <c r="B1557" s="11">
        <v>1.16987538337707</v>
      </c>
      <c r="C1557" s="11" t="s">
        <v>1061</v>
      </c>
      <c r="D1557" s="11" t="s">
        <v>1061</v>
      </c>
      <c r="E1557" s="11" t="s">
        <v>1062</v>
      </c>
      <c r="F1557" s="11" t="s">
        <v>2864</v>
      </c>
      <c r="J1557" s="11">
        <v>52.4592208862304</v>
      </c>
      <c r="K1557" s="11">
        <v>-9.27438735961914</v>
      </c>
      <c r="L1557" s="11" t="s">
        <v>1061</v>
      </c>
      <c r="M1557" s="11" t="s">
        <v>1061</v>
      </c>
      <c r="N1557" s="11" t="s">
        <v>1062</v>
      </c>
      <c r="O1557" s="11" t="s">
        <v>2864</v>
      </c>
    </row>
    <row r="1558">
      <c r="A1558" s="11">
        <v>-17.7820835113525</v>
      </c>
      <c r="B1558" s="11">
        <v>0.743042349815368</v>
      </c>
      <c r="C1558" s="11" t="s">
        <v>1061</v>
      </c>
      <c r="D1558" s="11" t="s">
        <v>1061</v>
      </c>
      <c r="E1558" s="11" t="s">
        <v>1062</v>
      </c>
      <c r="F1558" s="11" t="s">
        <v>2865</v>
      </c>
      <c r="J1558" s="11">
        <v>52.8461227416992</v>
      </c>
      <c r="K1558" s="11">
        <v>-11.2196416854858</v>
      </c>
      <c r="L1558" s="11" t="s">
        <v>1061</v>
      </c>
      <c r="M1558" s="11" t="s">
        <v>1061</v>
      </c>
      <c r="N1558" s="11" t="s">
        <v>1062</v>
      </c>
      <c r="O1558" s="11" t="s">
        <v>2865</v>
      </c>
    </row>
    <row r="1559">
      <c r="A1559" s="11">
        <v>-20.7623996734619</v>
      </c>
      <c r="B1559" s="11">
        <v>3.51081109046936</v>
      </c>
      <c r="C1559" s="11" t="s">
        <v>1515</v>
      </c>
      <c r="D1559" s="11" t="s">
        <v>1515</v>
      </c>
      <c r="E1559" s="11" t="s">
        <v>1062</v>
      </c>
      <c r="F1559" s="11" t="s">
        <v>2866</v>
      </c>
      <c r="J1559" s="11">
        <v>47.3389739990234</v>
      </c>
      <c r="K1559" s="11">
        <v>12.2827730178833</v>
      </c>
      <c r="L1559" s="11" t="s">
        <v>1515</v>
      </c>
      <c r="M1559" s="11" t="s">
        <v>1515</v>
      </c>
      <c r="N1559" s="11" t="s">
        <v>1062</v>
      </c>
      <c r="O1559" s="11" t="s">
        <v>2866</v>
      </c>
    </row>
    <row r="1560">
      <c r="A1560" s="11">
        <v>-31.4906005859375</v>
      </c>
      <c r="B1560" s="11">
        <v>-37.8069267272949</v>
      </c>
      <c r="C1560" s="11" t="s">
        <v>1390</v>
      </c>
      <c r="D1560" s="11" t="s">
        <v>1390</v>
      </c>
      <c r="E1560" s="11" t="s">
        <v>1062</v>
      </c>
      <c r="F1560" s="11" t="s">
        <v>2462</v>
      </c>
      <c r="J1560" s="11">
        <v>18.5127258300781</v>
      </c>
      <c r="K1560" s="11">
        <v>-11.2616968154907</v>
      </c>
      <c r="L1560" s="11" t="s">
        <v>1390</v>
      </c>
      <c r="M1560" s="11" t="s">
        <v>1390</v>
      </c>
      <c r="N1560" s="11" t="s">
        <v>1062</v>
      </c>
      <c r="O1560" s="11" t="s">
        <v>2462</v>
      </c>
    </row>
    <row r="1561">
      <c r="A1561" s="11">
        <v>6.7691593170166</v>
      </c>
      <c r="B1561" s="11">
        <v>-54.7435913085937</v>
      </c>
      <c r="C1561" s="11" t="s">
        <v>1390</v>
      </c>
      <c r="D1561" s="11" t="s">
        <v>1390</v>
      </c>
      <c r="E1561" s="11" t="s">
        <v>1062</v>
      </c>
      <c r="F1561" s="11" t="s">
        <v>2463</v>
      </c>
      <c r="J1561" s="11">
        <v>-43.5093345642089</v>
      </c>
      <c r="K1561" s="11">
        <v>-53.7013854980468</v>
      </c>
      <c r="L1561" s="11" t="s">
        <v>1390</v>
      </c>
      <c r="M1561" s="11" t="s">
        <v>1390</v>
      </c>
      <c r="N1561" s="11" t="s">
        <v>1062</v>
      </c>
      <c r="O1561" s="11" t="s">
        <v>2463</v>
      </c>
    </row>
    <row r="1562">
      <c r="A1562" s="11">
        <v>25.0788536071777</v>
      </c>
      <c r="B1562" s="11">
        <v>-58.9319458007812</v>
      </c>
      <c r="C1562" s="11" t="s">
        <v>1390</v>
      </c>
      <c r="D1562" s="11" t="s">
        <v>1390</v>
      </c>
      <c r="E1562" s="11" t="s">
        <v>1062</v>
      </c>
      <c r="F1562" s="11" t="s">
        <v>2464</v>
      </c>
      <c r="J1562" s="11">
        <v>-22.2989101409912</v>
      </c>
      <c r="K1562" s="11">
        <v>-22.0801963806152</v>
      </c>
      <c r="L1562" s="11" t="s">
        <v>1390</v>
      </c>
      <c r="M1562" s="11" t="s">
        <v>1390</v>
      </c>
      <c r="N1562" s="11" t="s">
        <v>1062</v>
      </c>
      <c r="O1562" s="11" t="s">
        <v>2464</v>
      </c>
    </row>
    <row r="1563">
      <c r="A1563" s="11">
        <v>56.1937522888183</v>
      </c>
      <c r="B1563" s="11">
        <v>18.9071331024169</v>
      </c>
      <c r="C1563" s="11" t="s">
        <v>1061</v>
      </c>
      <c r="D1563" s="11" t="s">
        <v>1061</v>
      </c>
      <c r="E1563" s="11" t="s">
        <v>1062</v>
      </c>
      <c r="F1563" s="11" t="s">
        <v>2867</v>
      </c>
      <c r="J1563" s="11">
        <v>-35.0136337280273</v>
      </c>
      <c r="K1563" s="11">
        <v>23.9112548828125</v>
      </c>
      <c r="L1563" s="11" t="s">
        <v>1061</v>
      </c>
      <c r="M1563" s="11" t="s">
        <v>1061</v>
      </c>
      <c r="N1563" s="11" t="s">
        <v>1062</v>
      </c>
      <c r="O1563" s="11" t="s">
        <v>2867</v>
      </c>
    </row>
    <row r="1564">
      <c r="A1564" s="11">
        <v>23.4490547180175</v>
      </c>
      <c r="B1564" s="11">
        <v>20.2111129760742</v>
      </c>
      <c r="C1564" s="11" t="s">
        <v>1061</v>
      </c>
      <c r="D1564" s="11" t="s">
        <v>1061</v>
      </c>
      <c r="E1564" s="11" t="s">
        <v>1062</v>
      </c>
      <c r="F1564" s="11" t="s">
        <v>1510</v>
      </c>
      <c r="J1564" s="11">
        <v>-39.2546653747558</v>
      </c>
      <c r="K1564" s="11">
        <v>17.6150741577148</v>
      </c>
      <c r="L1564" s="11" t="s">
        <v>1061</v>
      </c>
      <c r="M1564" s="11" t="s">
        <v>1061</v>
      </c>
      <c r="N1564" s="11" t="s">
        <v>1062</v>
      </c>
      <c r="O1564" s="11" t="s">
        <v>1510</v>
      </c>
    </row>
    <row r="1565">
      <c r="A1565" s="11">
        <v>51.8535118103027</v>
      </c>
      <c r="B1565" s="11">
        <v>-20.2262840270996</v>
      </c>
      <c r="C1565" s="11" t="s">
        <v>1061</v>
      </c>
      <c r="D1565" s="11" t="s">
        <v>1061</v>
      </c>
      <c r="E1565" s="11" t="s">
        <v>1062</v>
      </c>
      <c r="F1565" s="11" t="s">
        <v>2868</v>
      </c>
      <c r="J1565" s="11">
        <v>-33.4433441162109</v>
      </c>
      <c r="K1565" s="11">
        <v>8.57051563262939</v>
      </c>
      <c r="L1565" s="11" t="s">
        <v>1061</v>
      </c>
      <c r="M1565" s="11" t="s">
        <v>1061</v>
      </c>
      <c r="N1565" s="11" t="s">
        <v>1062</v>
      </c>
      <c r="O1565" s="11" t="s">
        <v>2868</v>
      </c>
    </row>
    <row r="1566">
      <c r="A1566" s="11">
        <v>22.8706760406494</v>
      </c>
      <c r="B1566" s="11">
        <v>20.3602561950683</v>
      </c>
      <c r="C1566" s="11" t="s">
        <v>1061</v>
      </c>
      <c r="D1566" s="11" t="s">
        <v>1061</v>
      </c>
      <c r="E1566" s="11" t="s">
        <v>1062</v>
      </c>
      <c r="F1566" s="11" t="s">
        <v>2869</v>
      </c>
      <c r="J1566" s="11">
        <v>-39.2393722534179</v>
      </c>
      <c r="K1566" s="11">
        <v>17.6340808868408</v>
      </c>
      <c r="L1566" s="11" t="s">
        <v>1061</v>
      </c>
      <c r="M1566" s="11" t="s">
        <v>1061</v>
      </c>
      <c r="N1566" s="11" t="s">
        <v>1062</v>
      </c>
      <c r="O1566" s="11" t="s">
        <v>2869</v>
      </c>
    </row>
    <row r="1567">
      <c r="A1567" s="11">
        <v>51.4802856445312</v>
      </c>
      <c r="B1567" s="11">
        <v>-19.6108131408691</v>
      </c>
      <c r="C1567" s="11" t="s">
        <v>1061</v>
      </c>
      <c r="D1567" s="11" t="s">
        <v>1061</v>
      </c>
      <c r="E1567" s="11" t="s">
        <v>1062</v>
      </c>
      <c r="F1567" s="11" t="s">
        <v>1841</v>
      </c>
      <c r="J1567" s="11">
        <v>-32.9766731262207</v>
      </c>
      <c r="K1567" s="11">
        <v>9.22530746459961</v>
      </c>
      <c r="L1567" s="11" t="s">
        <v>1061</v>
      </c>
      <c r="M1567" s="11" t="s">
        <v>1061</v>
      </c>
      <c r="N1567" s="11" t="s">
        <v>1062</v>
      </c>
      <c r="O1567" s="11" t="s">
        <v>1841</v>
      </c>
    </row>
    <row r="1568">
      <c r="A1568" s="11">
        <v>55.2664260864257</v>
      </c>
      <c r="B1568" s="11">
        <v>17.6384849548339</v>
      </c>
      <c r="C1568" s="11" t="s">
        <v>1061</v>
      </c>
      <c r="D1568" s="11" t="s">
        <v>1061</v>
      </c>
      <c r="E1568" s="11" t="s">
        <v>1062</v>
      </c>
      <c r="F1568" s="11" t="s">
        <v>2870</v>
      </c>
      <c r="J1568" s="11">
        <v>-36.2943534851074</v>
      </c>
      <c r="K1568" s="11">
        <v>23.8461799621582</v>
      </c>
      <c r="L1568" s="11" t="s">
        <v>1061</v>
      </c>
      <c r="M1568" s="11" t="s">
        <v>1061</v>
      </c>
      <c r="N1568" s="11" t="s">
        <v>1062</v>
      </c>
      <c r="O1568" s="11" t="s">
        <v>2870</v>
      </c>
    </row>
    <row r="1569">
      <c r="A1569" s="11">
        <v>46.8383560180664</v>
      </c>
      <c r="B1569" s="11">
        <v>37.8678855895996</v>
      </c>
      <c r="C1569" s="11" t="s">
        <v>1515</v>
      </c>
      <c r="D1569" s="11" t="s">
        <v>1515</v>
      </c>
      <c r="E1569" s="11" t="s">
        <v>1062</v>
      </c>
      <c r="F1569" s="11" t="s">
        <v>2292</v>
      </c>
      <c r="J1569" s="11">
        <v>39.6654891967773</v>
      </c>
      <c r="K1569" s="11">
        <v>35.8202972412109</v>
      </c>
      <c r="L1569" s="11" t="s">
        <v>1515</v>
      </c>
      <c r="M1569" s="11" t="s">
        <v>1515</v>
      </c>
      <c r="N1569" s="11" t="s">
        <v>1062</v>
      </c>
      <c r="O1569" s="11" t="s">
        <v>2292</v>
      </c>
    </row>
    <row r="1570">
      <c r="A1570" s="11">
        <v>-21.0327491760253</v>
      </c>
      <c r="B1570" s="11">
        <v>43.2860031127929</v>
      </c>
      <c r="C1570" s="11" t="s">
        <v>1515</v>
      </c>
      <c r="D1570" s="11" t="s">
        <v>1515</v>
      </c>
      <c r="E1570" s="11" t="s">
        <v>1062</v>
      </c>
      <c r="F1570" s="11" t="s">
        <v>2871</v>
      </c>
      <c r="J1570" s="11">
        <v>40.2399444580078</v>
      </c>
      <c r="K1570" s="11">
        <v>30.5243129730224</v>
      </c>
      <c r="L1570" s="11" t="s">
        <v>1515</v>
      </c>
      <c r="M1570" s="11" t="s">
        <v>1515</v>
      </c>
      <c r="N1570" s="11" t="s">
        <v>1062</v>
      </c>
      <c r="O1570" s="11" t="s">
        <v>2871</v>
      </c>
    </row>
    <row r="1571">
      <c r="A1571" s="11">
        <v>-24.8665752410888</v>
      </c>
      <c r="B1571" s="11">
        <v>6.69136238098144</v>
      </c>
      <c r="C1571" s="11" t="s">
        <v>1515</v>
      </c>
      <c r="D1571" s="11" t="s">
        <v>1515</v>
      </c>
      <c r="E1571" s="11" t="s">
        <v>1062</v>
      </c>
      <c r="F1571" s="11" t="s">
        <v>2401</v>
      </c>
      <c r="J1571" s="11">
        <v>22.171739578247</v>
      </c>
      <c r="K1571" s="11">
        <v>10.8031015396118</v>
      </c>
      <c r="L1571" s="11" t="s">
        <v>1515</v>
      </c>
      <c r="M1571" s="11" t="s">
        <v>1515</v>
      </c>
      <c r="N1571" s="11" t="s">
        <v>1062</v>
      </c>
      <c r="O1571" s="11" t="s">
        <v>2401</v>
      </c>
    </row>
    <row r="1572">
      <c r="A1572" s="11">
        <v>58.2179794311523</v>
      </c>
      <c r="B1572" s="11">
        <v>-12.3272304534912</v>
      </c>
      <c r="C1572" s="11" t="s">
        <v>1515</v>
      </c>
      <c r="D1572" s="11" t="s">
        <v>1515</v>
      </c>
      <c r="E1572" s="11" t="s">
        <v>1062</v>
      </c>
      <c r="F1572" s="11" t="s">
        <v>2872</v>
      </c>
      <c r="J1572" s="11">
        <v>4.77970886230468</v>
      </c>
      <c r="K1572" s="11">
        <v>69.3670043945312</v>
      </c>
      <c r="L1572" s="11" t="s">
        <v>1515</v>
      </c>
      <c r="M1572" s="11" t="s">
        <v>1515</v>
      </c>
      <c r="N1572" s="11" t="s">
        <v>1062</v>
      </c>
      <c r="O1572" s="11" t="s">
        <v>2872</v>
      </c>
    </row>
    <row r="1573">
      <c r="A1573" s="11">
        <v>30.1034221649169</v>
      </c>
      <c r="B1573" s="11">
        <v>-23.1071529388427</v>
      </c>
      <c r="C1573" s="11" t="s">
        <v>1515</v>
      </c>
      <c r="D1573" s="11" t="s">
        <v>1515</v>
      </c>
      <c r="E1573" s="11" t="s">
        <v>1062</v>
      </c>
      <c r="F1573" s="11" t="s">
        <v>2422</v>
      </c>
      <c r="J1573" s="11">
        <v>24.6119117736816</v>
      </c>
      <c r="K1573" s="11">
        <v>21.1296710968017</v>
      </c>
      <c r="L1573" s="11" t="s">
        <v>1515</v>
      </c>
      <c r="M1573" s="11" t="s">
        <v>1515</v>
      </c>
      <c r="N1573" s="11" t="s">
        <v>1062</v>
      </c>
      <c r="O1573" s="11" t="s">
        <v>2422</v>
      </c>
    </row>
    <row r="1574">
      <c r="A1574" s="11">
        <v>35.36474609375</v>
      </c>
      <c r="B1574" s="11">
        <v>-20.2370262145996</v>
      </c>
      <c r="C1574" s="11" t="s">
        <v>1515</v>
      </c>
      <c r="D1574" s="11" t="s">
        <v>1515</v>
      </c>
      <c r="E1574" s="11" t="s">
        <v>1062</v>
      </c>
      <c r="F1574" s="11" t="s">
        <v>2482</v>
      </c>
      <c r="J1574" s="11">
        <v>18.3748168945312</v>
      </c>
      <c r="K1574" s="11">
        <v>52.178783416748</v>
      </c>
      <c r="L1574" s="11" t="s">
        <v>1515</v>
      </c>
      <c r="M1574" s="11" t="s">
        <v>1515</v>
      </c>
      <c r="N1574" s="11" t="s">
        <v>1062</v>
      </c>
      <c r="O1574" s="11" t="s">
        <v>2482</v>
      </c>
    </row>
    <row r="1575">
      <c r="A1575" s="11">
        <v>30.775650024414</v>
      </c>
      <c r="B1575" s="11">
        <v>-57.1053733825683</v>
      </c>
      <c r="C1575" s="11" t="s">
        <v>1515</v>
      </c>
      <c r="D1575" s="11" t="s">
        <v>1515</v>
      </c>
      <c r="E1575" s="11" t="s">
        <v>1062</v>
      </c>
      <c r="F1575" s="11" t="s">
        <v>2873</v>
      </c>
      <c r="J1575" s="11">
        <v>21.5413570404052</v>
      </c>
      <c r="K1575" s="11">
        <v>50.2443962097168</v>
      </c>
      <c r="L1575" s="11" t="s">
        <v>1515</v>
      </c>
      <c r="M1575" s="11" t="s">
        <v>1515</v>
      </c>
      <c r="N1575" s="11" t="s">
        <v>1062</v>
      </c>
      <c r="O1575" s="11" t="s">
        <v>2873</v>
      </c>
    </row>
    <row r="1576">
      <c r="A1576" s="11">
        <v>-39.7717361450195</v>
      </c>
      <c r="B1576" s="11">
        <v>-40.1848907470703</v>
      </c>
      <c r="C1576" s="11" t="s">
        <v>1515</v>
      </c>
      <c r="D1576" s="11" t="s">
        <v>1515</v>
      </c>
      <c r="E1576" s="11" t="s">
        <v>1062</v>
      </c>
      <c r="F1576" s="11" t="s">
        <v>2874</v>
      </c>
      <c r="J1576" s="11">
        <v>40.339859008789</v>
      </c>
      <c r="K1576" s="11">
        <v>25.5469913482666</v>
      </c>
      <c r="L1576" s="11" t="s">
        <v>1515</v>
      </c>
      <c r="M1576" s="11" t="s">
        <v>1515</v>
      </c>
      <c r="N1576" s="11" t="s">
        <v>1062</v>
      </c>
      <c r="O1576" s="11" t="s">
        <v>2874</v>
      </c>
    </row>
    <row r="1577">
      <c r="A1577" s="11">
        <v>2.95873594284057</v>
      </c>
      <c r="B1577" s="11">
        <v>36.748306274414</v>
      </c>
      <c r="C1577" s="11" t="s">
        <v>1515</v>
      </c>
      <c r="D1577" s="11" t="s">
        <v>1515</v>
      </c>
      <c r="E1577" s="11" t="s">
        <v>1062</v>
      </c>
      <c r="F1577" s="11" t="s">
        <v>2495</v>
      </c>
      <c r="J1577" s="11">
        <v>27.4647426605224</v>
      </c>
      <c r="K1577" s="11">
        <v>-21.440258026123</v>
      </c>
      <c r="L1577" s="11" t="s">
        <v>1515</v>
      </c>
      <c r="M1577" s="11" t="s">
        <v>1515</v>
      </c>
      <c r="N1577" s="11" t="s">
        <v>1062</v>
      </c>
      <c r="O1577" s="11" t="s">
        <v>2495</v>
      </c>
    </row>
    <row r="1578">
      <c r="A1578" s="11">
        <v>-20.7044162750244</v>
      </c>
      <c r="B1578" s="11">
        <v>42.7461967468261</v>
      </c>
      <c r="C1578" s="11" t="s">
        <v>1515</v>
      </c>
      <c r="D1578" s="11" t="s">
        <v>1515</v>
      </c>
      <c r="E1578" s="11" t="s">
        <v>1062</v>
      </c>
      <c r="F1578" s="11" t="s">
        <v>2501</v>
      </c>
      <c r="J1578" s="11">
        <v>40.0517578125</v>
      </c>
      <c r="K1578" s="11">
        <v>30.784008026123</v>
      </c>
      <c r="L1578" s="11" t="s">
        <v>1515</v>
      </c>
      <c r="M1578" s="11" t="s">
        <v>1515</v>
      </c>
      <c r="N1578" s="11" t="s">
        <v>1062</v>
      </c>
      <c r="O1578" s="11" t="s">
        <v>2501</v>
      </c>
    </row>
    <row r="1579">
      <c r="A1579" s="11">
        <v>58.3036041259765</v>
      </c>
      <c r="B1579" s="11">
        <v>-11.4951267242431</v>
      </c>
      <c r="C1579" s="11" t="s">
        <v>1515</v>
      </c>
      <c r="D1579" s="11" t="s">
        <v>1515</v>
      </c>
      <c r="E1579" s="11" t="s">
        <v>1062</v>
      </c>
      <c r="F1579" s="11" t="s">
        <v>2502</v>
      </c>
      <c r="J1579" s="11">
        <v>0.368924528360366</v>
      </c>
      <c r="K1579" s="11">
        <v>58.6744728088378</v>
      </c>
      <c r="L1579" s="11" t="s">
        <v>1515</v>
      </c>
      <c r="M1579" s="11" t="s">
        <v>1515</v>
      </c>
      <c r="N1579" s="11" t="s">
        <v>1062</v>
      </c>
      <c r="O1579" s="11" t="s">
        <v>2502</v>
      </c>
    </row>
    <row r="1580">
      <c r="A1580" s="11">
        <v>30.5680751800537</v>
      </c>
      <c r="B1580" s="11">
        <v>-22.3339443206787</v>
      </c>
      <c r="C1580" s="11" t="s">
        <v>1515</v>
      </c>
      <c r="D1580" s="11" t="s">
        <v>1515</v>
      </c>
      <c r="E1580" s="11" t="s">
        <v>1062</v>
      </c>
      <c r="F1580" s="11" t="s">
        <v>2875</v>
      </c>
      <c r="J1580" s="11">
        <v>24.9752922058105</v>
      </c>
      <c r="K1580" s="11">
        <v>20.5655326843261</v>
      </c>
      <c r="L1580" s="11" t="s">
        <v>1515</v>
      </c>
      <c r="M1580" s="11" t="s">
        <v>1515</v>
      </c>
      <c r="N1580" s="11" t="s">
        <v>1062</v>
      </c>
      <c r="O1580" s="11" t="s">
        <v>2875</v>
      </c>
    </row>
    <row r="1581">
      <c r="A1581" s="11">
        <v>47.1810722351074</v>
      </c>
      <c r="B1581" s="11">
        <v>38.3825569152832</v>
      </c>
      <c r="C1581" s="11" t="s">
        <v>1515</v>
      </c>
      <c r="D1581" s="11" t="s">
        <v>1515</v>
      </c>
      <c r="E1581" s="11" t="s">
        <v>1062</v>
      </c>
      <c r="F1581" s="11" t="s">
        <v>2876</v>
      </c>
      <c r="J1581" s="11">
        <v>39.8216361999511</v>
      </c>
      <c r="K1581" s="11">
        <v>35.4416313171386</v>
      </c>
      <c r="L1581" s="11" t="s">
        <v>1515</v>
      </c>
      <c r="M1581" s="11" t="s">
        <v>1515</v>
      </c>
      <c r="N1581" s="11" t="s">
        <v>1062</v>
      </c>
      <c r="O1581" s="11" t="s">
        <v>2876</v>
      </c>
    </row>
    <row r="1582">
      <c r="A1582" s="11">
        <v>12.2259578704833</v>
      </c>
      <c r="B1582" s="11">
        <v>-55.7021598815918</v>
      </c>
      <c r="C1582" s="11" t="s">
        <v>1515</v>
      </c>
      <c r="D1582" s="11" t="s">
        <v>1515</v>
      </c>
      <c r="E1582" s="11" t="s">
        <v>1062</v>
      </c>
      <c r="F1582" s="11" t="s">
        <v>2877</v>
      </c>
      <c r="J1582" s="11">
        <v>24.8385143280029</v>
      </c>
      <c r="K1582" s="11">
        <v>14.6598968505859</v>
      </c>
      <c r="L1582" s="11" t="s">
        <v>1515</v>
      </c>
      <c r="M1582" s="11" t="s">
        <v>1515</v>
      </c>
      <c r="N1582" s="11" t="s">
        <v>1062</v>
      </c>
      <c r="O1582" s="11" t="s">
        <v>2877</v>
      </c>
    </row>
    <row r="1583">
      <c r="A1583" s="11">
        <v>-24.5244789123535</v>
      </c>
      <c r="B1583" s="11">
        <v>7.18019771575927</v>
      </c>
      <c r="C1583" s="11" t="s">
        <v>1515</v>
      </c>
      <c r="D1583" s="11" t="s">
        <v>1515</v>
      </c>
      <c r="E1583" s="11" t="s">
        <v>1062</v>
      </c>
      <c r="F1583" s="11" t="s">
        <v>2878</v>
      </c>
      <c r="J1583" s="11">
        <v>22.3048553466796</v>
      </c>
      <c r="K1583" s="11">
        <v>10.4783391952514</v>
      </c>
      <c r="L1583" s="11" t="s">
        <v>1515</v>
      </c>
      <c r="M1583" s="11" t="s">
        <v>1515</v>
      </c>
      <c r="N1583" s="11" t="s">
        <v>1062</v>
      </c>
      <c r="O1583" s="11" t="s">
        <v>2878</v>
      </c>
    </row>
    <row r="1584">
      <c r="A1584" s="11">
        <v>-39.2187232971191</v>
      </c>
      <c r="B1584" s="11">
        <v>-39.8380050659179</v>
      </c>
      <c r="C1584" s="11" t="s">
        <v>1515</v>
      </c>
      <c r="D1584" s="11" t="s">
        <v>1515</v>
      </c>
      <c r="E1584" s="11" t="s">
        <v>1062</v>
      </c>
      <c r="F1584" s="11" t="s">
        <v>2503</v>
      </c>
      <c r="J1584" s="11">
        <v>40.2350006103515</v>
      </c>
      <c r="K1584" s="11">
        <v>26.195966720581</v>
      </c>
      <c r="L1584" s="11" t="s">
        <v>1515</v>
      </c>
      <c r="M1584" s="11" t="s">
        <v>1515</v>
      </c>
      <c r="N1584" s="11" t="s">
        <v>1062</v>
      </c>
      <c r="O1584" s="11" t="s">
        <v>2503</v>
      </c>
    </row>
    <row r="1585">
      <c r="A1585" s="11">
        <v>-30.0747318267822</v>
      </c>
      <c r="B1585" s="11">
        <v>-37.0166854858398</v>
      </c>
      <c r="C1585" s="11" t="s">
        <v>1390</v>
      </c>
      <c r="D1585" s="11" t="s">
        <v>1390</v>
      </c>
      <c r="E1585" s="11" t="s">
        <v>1062</v>
      </c>
      <c r="F1585" s="11" t="s">
        <v>1485</v>
      </c>
      <c r="J1585" s="11">
        <v>16.9669475555419</v>
      </c>
      <c r="K1585" s="11">
        <v>-10.9574422836303</v>
      </c>
      <c r="L1585" s="11" t="s">
        <v>1390</v>
      </c>
      <c r="M1585" s="11" t="s">
        <v>1390</v>
      </c>
      <c r="N1585" s="11" t="s">
        <v>1062</v>
      </c>
      <c r="O1585" s="11" t="s">
        <v>1485</v>
      </c>
    </row>
    <row r="1586">
      <c r="A1586" s="11">
        <v>6.93294811248779</v>
      </c>
      <c r="B1586" s="11">
        <v>-53.7121658325195</v>
      </c>
      <c r="C1586" s="11" t="s">
        <v>1390</v>
      </c>
      <c r="D1586" s="11" t="s">
        <v>1390</v>
      </c>
      <c r="E1586" s="11" t="s">
        <v>1062</v>
      </c>
      <c r="F1586" s="11" t="s">
        <v>1491</v>
      </c>
      <c r="J1586" s="11">
        <v>-43.0583457946777</v>
      </c>
      <c r="K1586" s="11">
        <v>-53.0801582336425</v>
      </c>
      <c r="L1586" s="11" t="s">
        <v>1390</v>
      </c>
      <c r="M1586" s="11" t="s">
        <v>1390</v>
      </c>
      <c r="N1586" s="11" t="s">
        <v>1062</v>
      </c>
      <c r="O1586" s="11" t="s">
        <v>1491</v>
      </c>
    </row>
    <row r="1587">
      <c r="A1587" s="11">
        <v>6.93294811248779</v>
      </c>
      <c r="B1587" s="11">
        <v>-53.7121658325195</v>
      </c>
      <c r="C1587" s="11" t="s">
        <v>1390</v>
      </c>
      <c r="D1587" s="11" t="s">
        <v>1390</v>
      </c>
      <c r="E1587" s="11" t="s">
        <v>1062</v>
      </c>
      <c r="F1587" s="11" t="s">
        <v>1572</v>
      </c>
      <c r="J1587" s="11">
        <v>-43.0583457946777</v>
      </c>
      <c r="K1587" s="11">
        <v>-53.0801582336425</v>
      </c>
      <c r="L1587" s="11" t="s">
        <v>1390</v>
      </c>
      <c r="M1587" s="11" t="s">
        <v>1390</v>
      </c>
      <c r="N1587" s="11" t="s">
        <v>1062</v>
      </c>
      <c r="O1587" s="11" t="s">
        <v>1572</v>
      </c>
    </row>
    <row r="1588">
      <c r="A1588" s="11">
        <v>-30.0747318267822</v>
      </c>
      <c r="B1588" s="11">
        <v>-37.0166854858398</v>
      </c>
      <c r="C1588" s="11" t="s">
        <v>1390</v>
      </c>
      <c r="D1588" s="11" t="s">
        <v>1390</v>
      </c>
      <c r="E1588" s="11" t="s">
        <v>1062</v>
      </c>
      <c r="F1588" s="11" t="s">
        <v>1586</v>
      </c>
      <c r="J1588" s="11">
        <v>16.9669475555419</v>
      </c>
      <c r="K1588" s="11">
        <v>-10.9574422836303</v>
      </c>
      <c r="L1588" s="11" t="s">
        <v>1390</v>
      </c>
      <c r="M1588" s="11" t="s">
        <v>1390</v>
      </c>
      <c r="N1588" s="11" t="s">
        <v>1062</v>
      </c>
      <c r="O1588" s="11" t="s">
        <v>1586</v>
      </c>
    </row>
    <row r="1589">
      <c r="A1589" s="11">
        <v>24.4611587524414</v>
      </c>
      <c r="B1589" s="11">
        <v>-53.8069725036621</v>
      </c>
      <c r="C1589" s="11" t="s">
        <v>1390</v>
      </c>
      <c r="D1589" s="11" t="s">
        <v>1390</v>
      </c>
      <c r="E1589" s="11" t="s">
        <v>1062</v>
      </c>
      <c r="F1589" s="11" t="s">
        <v>1642</v>
      </c>
      <c r="J1589" s="11">
        <v>16.6062049865722</v>
      </c>
      <c r="K1589" s="11">
        <v>-4.77091026306152</v>
      </c>
      <c r="L1589" s="11" t="s">
        <v>1390</v>
      </c>
      <c r="M1589" s="11" t="s">
        <v>1390</v>
      </c>
      <c r="N1589" s="11" t="s">
        <v>1062</v>
      </c>
      <c r="O1589" s="11" t="s">
        <v>1642</v>
      </c>
    </row>
    <row r="1590">
      <c r="A1590" s="11">
        <v>24.481819152832</v>
      </c>
      <c r="B1590" s="11">
        <v>-53.4571418762207</v>
      </c>
      <c r="C1590" s="11" t="s">
        <v>1390</v>
      </c>
      <c r="D1590" s="11" t="s">
        <v>1390</v>
      </c>
      <c r="E1590" s="11" t="s">
        <v>1062</v>
      </c>
      <c r="F1590" s="11" t="s">
        <v>1722</v>
      </c>
      <c r="J1590" s="11">
        <v>16.6059513092041</v>
      </c>
      <c r="K1590" s="11">
        <v>-4.77090740203857</v>
      </c>
      <c r="L1590" s="11" t="s">
        <v>1390</v>
      </c>
      <c r="M1590" s="11" t="s">
        <v>1390</v>
      </c>
      <c r="N1590" s="11" t="s">
        <v>1062</v>
      </c>
      <c r="O1590" s="11" t="s">
        <v>1722</v>
      </c>
    </row>
    <row r="1591">
      <c r="A1591" s="11">
        <v>24.481819152832</v>
      </c>
      <c r="B1591" s="11">
        <v>-53.4571418762207</v>
      </c>
      <c r="C1591" s="11" t="s">
        <v>1390</v>
      </c>
      <c r="D1591" s="11" t="s">
        <v>1390</v>
      </c>
      <c r="E1591" s="11" t="s">
        <v>1062</v>
      </c>
      <c r="F1591" s="11" t="s">
        <v>1749</v>
      </c>
      <c r="J1591" s="11">
        <v>16.6062049865722</v>
      </c>
      <c r="K1591" s="11">
        <v>-4.77091026306152</v>
      </c>
      <c r="L1591" s="11" t="s">
        <v>1390</v>
      </c>
      <c r="M1591" s="11" t="s">
        <v>1390</v>
      </c>
      <c r="N1591" s="11" t="s">
        <v>1062</v>
      </c>
      <c r="O1591" s="11" t="s">
        <v>1749</v>
      </c>
    </row>
    <row r="1592">
      <c r="A1592" s="11">
        <v>-30.0747318267822</v>
      </c>
      <c r="B1592" s="11">
        <v>-37.0166854858398</v>
      </c>
      <c r="C1592" s="11" t="s">
        <v>1390</v>
      </c>
      <c r="D1592" s="11" t="s">
        <v>1390</v>
      </c>
      <c r="E1592" s="11" t="s">
        <v>1062</v>
      </c>
      <c r="F1592" s="11" t="s">
        <v>1756</v>
      </c>
      <c r="J1592" s="11">
        <v>16.9669475555419</v>
      </c>
      <c r="K1592" s="11">
        <v>-10.9574422836303</v>
      </c>
      <c r="L1592" s="11" t="s">
        <v>1390</v>
      </c>
      <c r="M1592" s="11" t="s">
        <v>1390</v>
      </c>
      <c r="N1592" s="11" t="s">
        <v>1062</v>
      </c>
      <c r="O1592" s="11" t="s">
        <v>1756</v>
      </c>
    </row>
    <row r="1593">
      <c r="A1593" s="11">
        <v>23.9349784851074</v>
      </c>
      <c r="B1593" s="11">
        <v>-58.5756454467773</v>
      </c>
      <c r="C1593" s="11" t="s">
        <v>1390</v>
      </c>
      <c r="D1593" s="11" t="s">
        <v>1390</v>
      </c>
      <c r="E1593" s="11" t="s">
        <v>1062</v>
      </c>
      <c r="F1593" s="11" t="s">
        <v>1805</v>
      </c>
      <c r="J1593" s="11">
        <v>-22.3729362487792</v>
      </c>
      <c r="K1593" s="11">
        <v>-20.8206844329834</v>
      </c>
      <c r="L1593" s="11" t="s">
        <v>1390</v>
      </c>
      <c r="M1593" s="11" t="s">
        <v>1390</v>
      </c>
      <c r="N1593" s="11" t="s">
        <v>1062</v>
      </c>
      <c r="O1593" s="11" t="s">
        <v>1805</v>
      </c>
    </row>
    <row r="1594">
      <c r="A1594" s="11">
        <v>23.9349784851074</v>
      </c>
      <c r="B1594" s="11">
        <v>-58.5756454467773</v>
      </c>
      <c r="C1594" s="11" t="s">
        <v>1390</v>
      </c>
      <c r="D1594" s="11" t="s">
        <v>1390</v>
      </c>
      <c r="E1594" s="11" t="s">
        <v>1062</v>
      </c>
      <c r="F1594" s="11" t="s">
        <v>1815</v>
      </c>
      <c r="J1594" s="11">
        <v>-22.7742290496826</v>
      </c>
      <c r="K1594" s="11">
        <v>-20.6330394744873</v>
      </c>
      <c r="L1594" s="11" t="s">
        <v>1390</v>
      </c>
      <c r="M1594" s="11" t="s">
        <v>1390</v>
      </c>
      <c r="N1594" s="11" t="s">
        <v>1062</v>
      </c>
      <c r="O1594" s="11" t="s">
        <v>1815</v>
      </c>
    </row>
    <row r="1595">
      <c r="A1595" s="11">
        <v>6.93294811248779</v>
      </c>
      <c r="B1595" s="11">
        <v>-53.7121658325195</v>
      </c>
      <c r="C1595" s="11" t="s">
        <v>1390</v>
      </c>
      <c r="D1595" s="11" t="s">
        <v>1390</v>
      </c>
      <c r="E1595" s="11" t="s">
        <v>1062</v>
      </c>
      <c r="F1595" s="11" t="s">
        <v>1831</v>
      </c>
      <c r="J1595" s="11">
        <v>-43.0583457946777</v>
      </c>
      <c r="K1595" s="11">
        <v>-53.0801582336425</v>
      </c>
      <c r="L1595" s="11" t="s">
        <v>1390</v>
      </c>
      <c r="M1595" s="11" t="s">
        <v>1390</v>
      </c>
      <c r="N1595" s="11" t="s">
        <v>1062</v>
      </c>
      <c r="O1595" s="11" t="s">
        <v>1831</v>
      </c>
    </row>
    <row r="1596">
      <c r="A1596" s="11">
        <v>34.8072662353515</v>
      </c>
      <c r="B1596" s="11">
        <v>-20.540283203125</v>
      </c>
      <c r="C1596" s="11" t="s">
        <v>1515</v>
      </c>
      <c r="D1596" s="11" t="s">
        <v>1515</v>
      </c>
      <c r="E1596" s="11" t="s">
        <v>1062</v>
      </c>
      <c r="F1596" s="11" t="s">
        <v>2879</v>
      </c>
      <c r="J1596" s="11">
        <v>18.4207172393798</v>
      </c>
      <c r="K1596" s="11">
        <v>52.2652015686035</v>
      </c>
      <c r="L1596" s="11" t="s">
        <v>1515</v>
      </c>
      <c r="M1596" s="11" t="s">
        <v>1515</v>
      </c>
      <c r="N1596" s="11" t="s">
        <v>1062</v>
      </c>
      <c r="O1596" s="11" t="s">
        <v>2879</v>
      </c>
    </row>
    <row r="1597">
      <c r="A1597" s="11">
        <v>1.85950350761413</v>
      </c>
      <c r="B1597" s="11">
        <v>36.74267578125</v>
      </c>
      <c r="C1597" s="11" t="s">
        <v>1515</v>
      </c>
      <c r="D1597" s="11" t="s">
        <v>1515</v>
      </c>
      <c r="E1597" s="11" t="s">
        <v>1062</v>
      </c>
      <c r="F1597" s="11" t="s">
        <v>2880</v>
      </c>
      <c r="J1597" s="11">
        <v>27.6579608917236</v>
      </c>
      <c r="K1597" s="11">
        <v>-21.1447677612304</v>
      </c>
      <c r="L1597" s="11" t="s">
        <v>1515</v>
      </c>
      <c r="M1597" s="11" t="s">
        <v>1515</v>
      </c>
      <c r="N1597" s="11" t="s">
        <v>1062</v>
      </c>
      <c r="O1597" s="11" t="s">
        <v>2880</v>
      </c>
    </row>
    <row r="1598">
      <c r="A1598" s="11">
        <v>30.8134002685546</v>
      </c>
      <c r="B1598" s="11">
        <v>-58.0138969421386</v>
      </c>
      <c r="C1598" s="11" t="s">
        <v>1515</v>
      </c>
      <c r="D1598" s="11" t="s">
        <v>1515</v>
      </c>
      <c r="E1598" s="11" t="s">
        <v>1062</v>
      </c>
      <c r="F1598" s="11" t="s">
        <v>2712</v>
      </c>
      <c r="J1598" s="11">
        <v>21.5030536651611</v>
      </c>
      <c r="K1598" s="11">
        <v>50.2603797912597</v>
      </c>
      <c r="L1598" s="11" t="s">
        <v>1515</v>
      </c>
      <c r="M1598" s="11" t="s">
        <v>1515</v>
      </c>
      <c r="N1598" s="11" t="s">
        <v>1062</v>
      </c>
      <c r="O1598" s="11" t="s">
        <v>2712</v>
      </c>
    </row>
    <row r="1599">
      <c r="A1599" s="11">
        <v>-24.8045997619628</v>
      </c>
      <c r="B1599" s="11">
        <v>12.1526403427124</v>
      </c>
      <c r="C1599" s="11" t="s">
        <v>1515</v>
      </c>
      <c r="D1599" s="11" t="s">
        <v>1515</v>
      </c>
      <c r="E1599" s="11" t="s">
        <v>1062</v>
      </c>
      <c r="F1599" s="11" t="s">
        <v>2720</v>
      </c>
      <c r="J1599" s="11">
        <v>25.3234214782714</v>
      </c>
      <c r="K1599" s="11">
        <v>25.7790374755859</v>
      </c>
      <c r="L1599" s="11" t="s">
        <v>1515</v>
      </c>
      <c r="M1599" s="11" t="s">
        <v>1515</v>
      </c>
      <c r="N1599" s="11" t="s">
        <v>1062</v>
      </c>
      <c r="O1599" s="11" t="s">
        <v>2720</v>
      </c>
    </row>
    <row r="1600">
      <c r="A1600" s="11">
        <v>-25.4826831817626</v>
      </c>
      <c r="B1600" s="11">
        <v>11.8062477111816</v>
      </c>
      <c r="C1600" s="11" t="s">
        <v>1515</v>
      </c>
      <c r="D1600" s="11" t="s">
        <v>1515</v>
      </c>
      <c r="E1600" s="11" t="s">
        <v>1062</v>
      </c>
      <c r="F1600" s="11" t="s">
        <v>2881</v>
      </c>
      <c r="J1600" s="11">
        <v>25.3894996643066</v>
      </c>
      <c r="K1600" s="11">
        <v>25.5267086029052</v>
      </c>
      <c r="L1600" s="11" t="s">
        <v>1515</v>
      </c>
      <c r="M1600" s="11" t="s">
        <v>1515</v>
      </c>
      <c r="N1600" s="11" t="s">
        <v>1062</v>
      </c>
      <c r="O1600" s="11" t="s">
        <v>2881</v>
      </c>
    </row>
    <row r="1601">
      <c r="A1601" s="11">
        <v>13.3562908172607</v>
      </c>
      <c r="B1601" s="11">
        <v>-55.5151939392089</v>
      </c>
      <c r="C1601" s="11" t="s">
        <v>1515</v>
      </c>
      <c r="D1601" s="11" t="s">
        <v>1515</v>
      </c>
      <c r="E1601" s="11" t="s">
        <v>1062</v>
      </c>
      <c r="F1601" s="11" t="s">
        <v>2800</v>
      </c>
      <c r="J1601" s="11">
        <v>17.2181739807128</v>
      </c>
      <c r="K1601" s="11">
        <v>50.176456451416</v>
      </c>
      <c r="L1601" s="11" t="s">
        <v>1515</v>
      </c>
      <c r="M1601" s="11" t="s">
        <v>1515</v>
      </c>
      <c r="N1601" s="11" t="s">
        <v>1062</v>
      </c>
      <c r="O1601" s="11" t="s">
        <v>2800</v>
      </c>
    </row>
    <row r="1602">
      <c r="A1602" s="11">
        <v>-20.1238765716552</v>
      </c>
      <c r="B1602" s="11">
        <v>1.16973757743835</v>
      </c>
      <c r="C1602" s="11" t="s">
        <v>1061</v>
      </c>
      <c r="D1602" s="11" t="s">
        <v>1061</v>
      </c>
      <c r="E1602" s="11" t="s">
        <v>1062</v>
      </c>
      <c r="F1602" s="11" t="s">
        <v>2858</v>
      </c>
      <c r="J1602" s="11">
        <v>52.4590301513671</v>
      </c>
      <c r="K1602" s="11">
        <v>-9.27645492553711</v>
      </c>
      <c r="L1602" s="11" t="s">
        <v>1061</v>
      </c>
      <c r="M1602" s="11" t="s">
        <v>1061</v>
      </c>
      <c r="N1602" s="11" t="s">
        <v>1062</v>
      </c>
      <c r="O1602" s="11" t="s">
        <v>2858</v>
      </c>
    </row>
    <row r="1603">
      <c r="A1603" s="11">
        <v>-17.781379699707</v>
      </c>
      <c r="B1603" s="11">
        <v>0.743203043937683</v>
      </c>
      <c r="C1603" s="11" t="s">
        <v>1061</v>
      </c>
      <c r="D1603" s="11" t="s">
        <v>1061</v>
      </c>
      <c r="E1603" s="11" t="s">
        <v>1062</v>
      </c>
      <c r="F1603" s="11" t="s">
        <v>2859</v>
      </c>
      <c r="J1603" s="11">
        <v>52.8450622558593</v>
      </c>
      <c r="K1603" s="11">
        <v>-11.217505455017</v>
      </c>
      <c r="L1603" s="11" t="s">
        <v>1061</v>
      </c>
      <c r="M1603" s="11" t="s">
        <v>1061</v>
      </c>
      <c r="N1603" s="11" t="s">
        <v>1062</v>
      </c>
      <c r="O1603" s="11" t="s">
        <v>2859</v>
      </c>
    </row>
    <row r="1604">
      <c r="A1604" s="11">
        <v>-38.6024856567382</v>
      </c>
      <c r="B1604" s="11">
        <v>-40.3193855285644</v>
      </c>
      <c r="C1604" s="11" t="s">
        <v>1515</v>
      </c>
      <c r="D1604" s="11" t="s">
        <v>1515</v>
      </c>
      <c r="E1604" s="11" t="s">
        <v>1062</v>
      </c>
      <c r="F1604" s="11" t="s">
        <v>2860</v>
      </c>
      <c r="J1604" s="11">
        <v>40.9201354980468</v>
      </c>
      <c r="K1604" s="11">
        <v>25.8940067291259</v>
      </c>
      <c r="L1604" s="11" t="s">
        <v>1515</v>
      </c>
      <c r="M1604" s="11" t="s">
        <v>1515</v>
      </c>
      <c r="N1604" s="11" t="s">
        <v>1062</v>
      </c>
      <c r="O1604" s="11" t="s">
        <v>2860</v>
      </c>
    </row>
    <row r="1605">
      <c r="A1605" s="11">
        <v>2.67093634605407</v>
      </c>
      <c r="B1605" s="11">
        <v>37.4490432739257</v>
      </c>
      <c r="C1605" s="11" t="s">
        <v>1515</v>
      </c>
      <c r="D1605" s="11" t="s">
        <v>1515</v>
      </c>
      <c r="E1605" s="11" t="s">
        <v>1062</v>
      </c>
      <c r="F1605" s="11" t="s">
        <v>2861</v>
      </c>
      <c r="J1605" s="11">
        <v>27.7950725555419</v>
      </c>
      <c r="K1605" s="11">
        <v>-20.8905601501464</v>
      </c>
      <c r="L1605" s="11" t="s">
        <v>1515</v>
      </c>
      <c r="M1605" s="11" t="s">
        <v>1515</v>
      </c>
      <c r="N1605" s="11" t="s">
        <v>1062</v>
      </c>
      <c r="O1605" s="11" t="s">
        <v>2861</v>
      </c>
    </row>
    <row r="1606">
      <c r="A1606" s="11">
        <v>46.3494491577148</v>
      </c>
      <c r="B1606" s="11">
        <v>38.361400604248</v>
      </c>
      <c r="C1606" s="11" t="s">
        <v>1515</v>
      </c>
      <c r="D1606" s="11" t="s">
        <v>1515</v>
      </c>
      <c r="E1606" s="11" t="s">
        <v>1062</v>
      </c>
      <c r="F1606" s="11" t="s">
        <v>2862</v>
      </c>
      <c r="J1606" s="11">
        <v>40.1274681091308</v>
      </c>
      <c r="K1606" s="11">
        <v>35.5907363891601</v>
      </c>
      <c r="L1606" s="11" t="s">
        <v>1515</v>
      </c>
      <c r="M1606" s="11" t="s">
        <v>1515</v>
      </c>
      <c r="N1606" s="11" t="s">
        <v>1062</v>
      </c>
      <c r="O1606" s="11" t="s">
        <v>2862</v>
      </c>
    </row>
    <row r="1607">
      <c r="A1607" s="11">
        <v>-20.7623348236084</v>
      </c>
      <c r="B1607" s="11">
        <v>3.51045727729797</v>
      </c>
      <c r="C1607" s="11" t="s">
        <v>1515</v>
      </c>
      <c r="D1607" s="11" t="s">
        <v>1515</v>
      </c>
      <c r="E1607" s="11" t="s">
        <v>1062</v>
      </c>
      <c r="F1607" s="11" t="s">
        <v>2863</v>
      </c>
      <c r="J1607" s="11">
        <v>47.3389930725097</v>
      </c>
      <c r="K1607" s="11">
        <v>12.2848310470581</v>
      </c>
      <c r="L1607" s="11" t="s">
        <v>1515</v>
      </c>
      <c r="M1607" s="11" t="s">
        <v>1515</v>
      </c>
      <c r="N1607" s="11" t="s">
        <v>1062</v>
      </c>
      <c r="O1607" s="11" t="s">
        <v>2863</v>
      </c>
    </row>
    <row r="1608">
      <c r="A1608" s="11">
        <v>-31.9284420013427</v>
      </c>
      <c r="B1608" s="11">
        <v>-39.3023719787597</v>
      </c>
      <c r="C1608" s="11" t="s">
        <v>1390</v>
      </c>
      <c r="D1608" s="11" t="s">
        <v>1390</v>
      </c>
      <c r="E1608" s="11" t="s">
        <v>1062</v>
      </c>
      <c r="F1608" s="11" t="s">
        <v>2449</v>
      </c>
      <c r="J1608" s="11">
        <v>18.087495803833</v>
      </c>
      <c r="K1608" s="11">
        <v>-12.7998580932617</v>
      </c>
      <c r="L1608" s="11" t="s">
        <v>1390</v>
      </c>
      <c r="M1608" s="11" t="s">
        <v>1390</v>
      </c>
      <c r="N1608" s="11" t="s">
        <v>1062</v>
      </c>
      <c r="O1608" s="11" t="s">
        <v>2449</v>
      </c>
    </row>
    <row r="1609">
      <c r="A1609" s="11">
        <v>26.2247734069824</v>
      </c>
      <c r="B1609" s="11">
        <v>-60.3246726989746</v>
      </c>
      <c r="C1609" s="11" t="s">
        <v>1390</v>
      </c>
      <c r="D1609" s="11" t="s">
        <v>1390</v>
      </c>
      <c r="E1609" s="11" t="s">
        <v>1062</v>
      </c>
      <c r="F1609" s="11" t="s">
        <v>2450</v>
      </c>
      <c r="J1609" s="11">
        <v>-23.7446250915527</v>
      </c>
      <c r="K1609" s="11">
        <v>-22.2623596191406</v>
      </c>
      <c r="L1609" s="11" t="s">
        <v>1390</v>
      </c>
      <c r="M1609" s="11" t="s">
        <v>1390</v>
      </c>
      <c r="N1609" s="11" t="s">
        <v>1062</v>
      </c>
      <c r="O1609" s="11" t="s">
        <v>2450</v>
      </c>
    </row>
    <row r="1610">
      <c r="A1610" s="11">
        <v>-33.4716567993164</v>
      </c>
      <c r="B1610" s="11">
        <v>-37.4778785705566</v>
      </c>
      <c r="C1610" s="11" t="s">
        <v>1390</v>
      </c>
      <c r="D1610" s="11" t="s">
        <v>1390</v>
      </c>
      <c r="E1610" s="11" t="s">
        <v>1062</v>
      </c>
      <c r="F1610" s="11" t="s">
        <v>2451</v>
      </c>
      <c r="J1610" s="11">
        <v>17.2109107971191</v>
      </c>
      <c r="K1610" s="11">
        <v>-12.8300018310546</v>
      </c>
      <c r="L1610" s="11" t="s">
        <v>1390</v>
      </c>
      <c r="M1610" s="11" t="s">
        <v>1390</v>
      </c>
      <c r="N1610" s="11" t="s">
        <v>1062</v>
      </c>
      <c r="O1610" s="11" t="s">
        <v>2451</v>
      </c>
    </row>
    <row r="1611">
      <c r="A1611" s="11">
        <v>25.5246028900146</v>
      </c>
      <c r="B1611" s="11">
        <v>-59.657485961914</v>
      </c>
      <c r="C1611" s="11" t="s">
        <v>1390</v>
      </c>
      <c r="D1611" s="11" t="s">
        <v>1390</v>
      </c>
      <c r="E1611" s="11" t="s">
        <v>1062</v>
      </c>
      <c r="F1611" s="11" t="s">
        <v>2452</v>
      </c>
      <c r="J1611" s="11">
        <v>-23.6349220275878</v>
      </c>
      <c r="K1611" s="11">
        <v>-21.4140567779541</v>
      </c>
      <c r="L1611" s="11" t="s">
        <v>1390</v>
      </c>
      <c r="M1611" s="11" t="s">
        <v>1390</v>
      </c>
      <c r="N1611" s="11" t="s">
        <v>1062</v>
      </c>
      <c r="O1611" s="11" t="s">
        <v>2452</v>
      </c>
    </row>
    <row r="1612">
      <c r="A1612" s="11">
        <v>-33.3979225158691</v>
      </c>
      <c r="B1612" s="11">
        <v>-38.3738212585449</v>
      </c>
      <c r="C1612" s="11" t="s">
        <v>1390</v>
      </c>
      <c r="D1612" s="11" t="s">
        <v>1390</v>
      </c>
      <c r="E1612" s="11" t="s">
        <v>1062</v>
      </c>
      <c r="F1612" s="11" t="s">
        <v>2454</v>
      </c>
      <c r="J1612" s="11">
        <v>18.2903575897216</v>
      </c>
      <c r="K1612" s="11">
        <v>-12.3093938827514</v>
      </c>
      <c r="L1612" s="11" t="s">
        <v>1390</v>
      </c>
      <c r="M1612" s="11" t="s">
        <v>1390</v>
      </c>
      <c r="N1612" s="11" t="s">
        <v>1062</v>
      </c>
      <c r="O1612" s="11" t="s">
        <v>2454</v>
      </c>
    </row>
    <row r="1613">
      <c r="A1613" s="11">
        <v>23.7875804901123</v>
      </c>
      <c r="B1613" s="11">
        <v>-59.8770027160644</v>
      </c>
      <c r="C1613" s="11" t="s">
        <v>1390</v>
      </c>
      <c r="D1613" s="11" t="s">
        <v>1390</v>
      </c>
      <c r="E1613" s="11" t="s">
        <v>1062</v>
      </c>
      <c r="F1613" s="11" t="s">
        <v>2455</v>
      </c>
      <c r="J1613" s="11">
        <v>-22.8395709991455</v>
      </c>
      <c r="K1613" s="11">
        <v>-22.6822814941406</v>
      </c>
      <c r="L1613" s="11" t="s">
        <v>1390</v>
      </c>
      <c r="M1613" s="11" t="s">
        <v>1390</v>
      </c>
      <c r="N1613" s="11" t="s">
        <v>1062</v>
      </c>
      <c r="O1613" s="11" t="s">
        <v>2455</v>
      </c>
    </row>
    <row r="1614">
      <c r="A1614" s="11">
        <v>-32.8186874389648</v>
      </c>
      <c r="B1614" s="11">
        <v>-36.7114219665527</v>
      </c>
      <c r="C1614" s="11" t="s">
        <v>1390</v>
      </c>
      <c r="D1614" s="11" t="s">
        <v>1390</v>
      </c>
      <c r="E1614" s="11" t="s">
        <v>1062</v>
      </c>
      <c r="F1614" s="11" t="s">
        <v>2456</v>
      </c>
      <c r="J1614" s="11">
        <v>17.6677875518798</v>
      </c>
      <c r="K1614" s="11">
        <v>-13.3297758102417</v>
      </c>
      <c r="L1614" s="11" t="s">
        <v>1390</v>
      </c>
      <c r="M1614" s="11" t="s">
        <v>1390</v>
      </c>
      <c r="N1614" s="11" t="s">
        <v>1062</v>
      </c>
      <c r="O1614" s="11" t="s">
        <v>2456</v>
      </c>
    </row>
    <row r="1615">
      <c r="A1615" s="11">
        <v>24.4527702331542</v>
      </c>
      <c r="B1615" s="11">
        <v>-60.6643447875976</v>
      </c>
      <c r="C1615" s="11" t="s">
        <v>1390</v>
      </c>
      <c r="D1615" s="11" t="s">
        <v>1390</v>
      </c>
      <c r="E1615" s="11" t="s">
        <v>1062</v>
      </c>
      <c r="F1615" s="11" t="s">
        <v>2457</v>
      </c>
      <c r="J1615" s="11">
        <v>-23.3103351593017</v>
      </c>
      <c r="K1615" s="11">
        <v>-22.9192352294921</v>
      </c>
      <c r="L1615" s="11" t="s">
        <v>1390</v>
      </c>
      <c r="M1615" s="11" t="s">
        <v>1390</v>
      </c>
      <c r="N1615" s="11" t="s">
        <v>1062</v>
      </c>
      <c r="O1615" s="11" t="s">
        <v>2457</v>
      </c>
    </row>
    <row r="1616">
      <c r="A1616" s="11">
        <v>-31.9147434234619</v>
      </c>
      <c r="B1616" s="11">
        <v>-36.8187980651855</v>
      </c>
      <c r="C1616" s="11" t="s">
        <v>1390</v>
      </c>
      <c r="D1616" s="11" t="s">
        <v>1390</v>
      </c>
      <c r="E1616" s="11" t="s">
        <v>1062</v>
      </c>
      <c r="F1616" s="11" t="s">
        <v>2458</v>
      </c>
      <c r="J1616" s="11">
        <v>18.9538860321044</v>
      </c>
      <c r="K1616" s="11">
        <v>-12.8880262374877</v>
      </c>
      <c r="L1616" s="11" t="s">
        <v>1390</v>
      </c>
      <c r="M1616" s="11" t="s">
        <v>1390</v>
      </c>
      <c r="N1616" s="11" t="s">
        <v>1062</v>
      </c>
      <c r="O1616" s="11" t="s">
        <v>2458</v>
      </c>
    </row>
    <row r="1617">
      <c r="A1617" s="11">
        <v>24.7082862854003</v>
      </c>
      <c r="B1617" s="11">
        <v>-59.7348098754882</v>
      </c>
      <c r="C1617" s="11" t="s">
        <v>1390</v>
      </c>
      <c r="D1617" s="11" t="s">
        <v>1390</v>
      </c>
      <c r="E1617" s="11" t="s">
        <v>1062</v>
      </c>
      <c r="F1617" s="11" t="s">
        <v>2459</v>
      </c>
      <c r="J1617" s="11">
        <v>-23.9706707000732</v>
      </c>
      <c r="K1617" s="11">
        <v>-22.9618682861328</v>
      </c>
      <c r="L1617" s="11" t="s">
        <v>1390</v>
      </c>
      <c r="M1617" s="11" t="s">
        <v>1390</v>
      </c>
      <c r="N1617" s="11" t="s">
        <v>1062</v>
      </c>
      <c r="O1617" s="11" t="s">
        <v>2459</v>
      </c>
    </row>
    <row r="1618">
      <c r="A1618" s="11">
        <v>-32.2521743774414</v>
      </c>
      <c r="B1618" s="11">
        <v>-38.3694725036621</v>
      </c>
      <c r="C1618" s="11" t="s">
        <v>1390</v>
      </c>
      <c r="D1618" s="11" t="s">
        <v>1390</v>
      </c>
      <c r="E1618" s="11" t="s">
        <v>1062</v>
      </c>
      <c r="F1618" s="11" t="s">
        <v>2460</v>
      </c>
      <c r="J1618" s="11">
        <v>18.4619579315185</v>
      </c>
      <c r="K1618" s="11">
        <v>-13.4149665832519</v>
      </c>
      <c r="L1618" s="11" t="s">
        <v>1390</v>
      </c>
      <c r="M1618" s="11" t="s">
        <v>1390</v>
      </c>
      <c r="N1618" s="11" t="s">
        <v>1062</v>
      </c>
      <c r="O1618" s="11" t="s">
        <v>2460</v>
      </c>
    </row>
    <row r="1619">
      <c r="A1619" s="11">
        <v>25.3765201568603</v>
      </c>
      <c r="B1619" s="11">
        <v>-60.7345085144043</v>
      </c>
      <c r="C1619" s="11" t="s">
        <v>1390</v>
      </c>
      <c r="D1619" s="11" t="s">
        <v>1390</v>
      </c>
      <c r="E1619" s="11" t="s">
        <v>1062</v>
      </c>
      <c r="F1619" s="11" t="s">
        <v>2461</v>
      </c>
      <c r="J1619" s="11">
        <v>-24.4592876434326</v>
      </c>
      <c r="K1619" s="11">
        <v>-22.4347248077392</v>
      </c>
      <c r="L1619" s="11" t="s">
        <v>1390</v>
      </c>
      <c r="M1619" s="11" t="s">
        <v>1390</v>
      </c>
      <c r="N1619" s="11" t="s">
        <v>1062</v>
      </c>
      <c r="O1619" s="11" t="s">
        <v>2461</v>
      </c>
    </row>
    <row r="1620">
      <c r="A1620" s="11">
        <v>-31.1639919281005</v>
      </c>
      <c r="B1620" s="11">
        <v>-38.7342453002929</v>
      </c>
      <c r="C1620" s="11" t="s">
        <v>1390</v>
      </c>
      <c r="D1620" s="11" t="s">
        <v>1390</v>
      </c>
      <c r="E1620" s="11" t="s">
        <v>1062</v>
      </c>
      <c r="F1620" s="11" t="s">
        <v>2465</v>
      </c>
      <c r="J1620" s="11">
        <v>18.0233764648437</v>
      </c>
      <c r="K1620" s="11">
        <v>-11.4778957366943</v>
      </c>
      <c r="L1620" s="11" t="s">
        <v>1390</v>
      </c>
      <c r="M1620" s="11" t="s">
        <v>1390</v>
      </c>
      <c r="N1620" s="11" t="s">
        <v>1062</v>
      </c>
      <c r="O1620" s="11" t="s">
        <v>2465</v>
      </c>
    </row>
    <row r="1621">
      <c r="A1621" s="11">
        <v>5.99408769607543</v>
      </c>
      <c r="B1621" s="11">
        <v>-54.4267082214355</v>
      </c>
      <c r="C1621" s="11" t="s">
        <v>1390</v>
      </c>
      <c r="D1621" s="11" t="s">
        <v>1390</v>
      </c>
      <c r="E1621" s="11" t="s">
        <v>1062</v>
      </c>
      <c r="F1621" s="11" t="s">
        <v>2466</v>
      </c>
      <c r="J1621" s="11">
        <v>-43.8467941284179</v>
      </c>
      <c r="K1621" s="11">
        <v>-53.3583221435546</v>
      </c>
      <c r="L1621" s="11" t="s">
        <v>1390</v>
      </c>
      <c r="M1621" s="11" t="s">
        <v>1390</v>
      </c>
      <c r="N1621" s="11" t="s">
        <v>1062</v>
      </c>
      <c r="O1621" s="11" t="s">
        <v>2466</v>
      </c>
    </row>
    <row r="1622">
      <c r="A1622" s="11">
        <v>25.2901344299316</v>
      </c>
      <c r="B1622" s="11">
        <v>-58.1196632385253</v>
      </c>
      <c r="C1622" s="11" t="s">
        <v>1390</v>
      </c>
      <c r="D1622" s="11" t="s">
        <v>1390</v>
      </c>
      <c r="E1622" s="11" t="s">
        <v>1062</v>
      </c>
      <c r="F1622" s="11" t="s">
        <v>2467</v>
      </c>
      <c r="J1622" s="11">
        <v>-22.6992607116699</v>
      </c>
      <c r="K1622" s="11">
        <v>-21.6997413635253</v>
      </c>
      <c r="L1622" s="11" t="s">
        <v>1390</v>
      </c>
      <c r="M1622" s="11" t="s">
        <v>1390</v>
      </c>
      <c r="N1622" s="11" t="s">
        <v>1062</v>
      </c>
      <c r="O1622" s="11" t="s">
        <v>2467</v>
      </c>
    </row>
    <row r="1623">
      <c r="A1623" s="11">
        <v>-32.4852638244628</v>
      </c>
      <c r="B1623" s="11">
        <v>-37.6444282531738</v>
      </c>
      <c r="C1623" s="11" t="s">
        <v>1390</v>
      </c>
      <c r="D1623" s="11" t="s">
        <v>1390</v>
      </c>
      <c r="E1623" s="11" t="s">
        <v>1062</v>
      </c>
      <c r="F1623" s="11" t="s">
        <v>2468</v>
      </c>
      <c r="J1623" s="11">
        <v>17.5789260864257</v>
      </c>
      <c r="K1623" s="11">
        <v>-12.3427286148071</v>
      </c>
      <c r="L1623" s="11" t="s">
        <v>1390</v>
      </c>
      <c r="M1623" s="11" t="s">
        <v>1390</v>
      </c>
      <c r="N1623" s="11" t="s">
        <v>1062</v>
      </c>
      <c r="O1623" s="11" t="s">
        <v>2468</v>
      </c>
    </row>
    <row r="1624">
      <c r="A1624" s="11">
        <v>26.1322269439697</v>
      </c>
      <c r="B1624" s="11">
        <v>-58.5611114501953</v>
      </c>
      <c r="C1624" s="11" t="s">
        <v>1390</v>
      </c>
      <c r="D1624" s="11" t="s">
        <v>1390</v>
      </c>
      <c r="E1624" s="11" t="s">
        <v>1062</v>
      </c>
      <c r="F1624" s="11" t="s">
        <v>2470</v>
      </c>
      <c r="J1624" s="11">
        <v>-24.1471977233886</v>
      </c>
      <c r="K1624" s="11">
        <v>-21.6854839324951</v>
      </c>
      <c r="L1624" s="11" t="s">
        <v>1390</v>
      </c>
      <c r="M1624" s="11" t="s">
        <v>1390</v>
      </c>
      <c r="N1624" s="11" t="s">
        <v>1062</v>
      </c>
      <c r="O1624" s="11" t="s">
        <v>2470</v>
      </c>
    </row>
    <row r="1625">
      <c r="A1625" s="11">
        <v>55.2594261169433</v>
      </c>
      <c r="B1625" s="11">
        <v>17.3961601257324</v>
      </c>
      <c r="C1625" s="11" t="s">
        <v>1061</v>
      </c>
      <c r="D1625" s="11" t="s">
        <v>1061</v>
      </c>
      <c r="E1625" s="11" t="s">
        <v>1062</v>
      </c>
      <c r="F1625" s="11" t="s">
        <v>2882</v>
      </c>
      <c r="J1625" s="11">
        <v>-36.256591796875</v>
      </c>
      <c r="K1625" s="11">
        <v>23.8491668701171</v>
      </c>
      <c r="L1625" s="11" t="s">
        <v>1061</v>
      </c>
      <c r="M1625" s="11" t="s">
        <v>1061</v>
      </c>
      <c r="N1625" s="11" t="s">
        <v>1062</v>
      </c>
      <c r="O1625" s="11" t="s">
        <v>2882</v>
      </c>
    </row>
    <row r="1626">
      <c r="A1626" s="11">
        <v>23.2357540130615</v>
      </c>
      <c r="B1626" s="11">
        <v>19.6379165649414</v>
      </c>
      <c r="C1626" s="11" t="s">
        <v>1061</v>
      </c>
      <c r="D1626" s="11" t="s">
        <v>1061</v>
      </c>
      <c r="E1626" s="11" t="s">
        <v>1062</v>
      </c>
      <c r="F1626" s="11" t="s">
        <v>1646</v>
      </c>
      <c r="J1626" s="11">
        <v>24.986701965332</v>
      </c>
      <c r="K1626" s="11">
        <v>20.5315933227539</v>
      </c>
      <c r="L1626" s="11" t="s">
        <v>1061</v>
      </c>
      <c r="M1626" s="11" t="s">
        <v>1061</v>
      </c>
      <c r="N1626" s="11" t="s">
        <v>1062</v>
      </c>
      <c r="O1626" s="11" t="s">
        <v>1646</v>
      </c>
    </row>
    <row r="1627">
      <c r="A1627" s="11">
        <v>22.7001323699951</v>
      </c>
      <c r="B1627" s="11">
        <v>19.8100833892822</v>
      </c>
      <c r="C1627" s="11" t="s">
        <v>1061</v>
      </c>
      <c r="D1627" s="11" t="s">
        <v>1061</v>
      </c>
      <c r="E1627" s="11" t="s">
        <v>1062</v>
      </c>
      <c r="F1627" s="11" t="s">
        <v>2883</v>
      </c>
      <c r="J1627" s="11">
        <v>-39.2405433654785</v>
      </c>
      <c r="K1627" s="11">
        <v>17.6227226257324</v>
      </c>
      <c r="L1627" s="11" t="s">
        <v>1061</v>
      </c>
      <c r="M1627" s="11" t="s">
        <v>1061</v>
      </c>
      <c r="N1627" s="11" t="s">
        <v>1062</v>
      </c>
      <c r="O1627" s="11" t="s">
        <v>2883</v>
      </c>
    </row>
    <row r="1628">
      <c r="A1628" s="11">
        <v>55.5344276428222</v>
      </c>
      <c r="B1628" s="11">
        <v>17.3704204559326</v>
      </c>
      <c r="C1628" s="11" t="s">
        <v>1061</v>
      </c>
      <c r="D1628" s="11" t="s">
        <v>1061</v>
      </c>
      <c r="E1628" s="11" t="s">
        <v>1062</v>
      </c>
      <c r="F1628" s="11" t="s">
        <v>1904</v>
      </c>
      <c r="J1628" s="11">
        <v>-36.2828025817871</v>
      </c>
      <c r="K1628" s="11">
        <v>23.8337574005126</v>
      </c>
      <c r="L1628" s="11" t="s">
        <v>1061</v>
      </c>
      <c r="M1628" s="11" t="s">
        <v>1061</v>
      </c>
      <c r="N1628" s="11" t="s">
        <v>1062</v>
      </c>
      <c r="O1628" s="11" t="s">
        <v>1904</v>
      </c>
    </row>
    <row r="1629">
      <c r="A1629" s="11">
        <v>52.3441276550293</v>
      </c>
      <c r="B1629" s="11">
        <v>-20.0201358795166</v>
      </c>
      <c r="C1629" s="11" t="s">
        <v>1061</v>
      </c>
      <c r="D1629" s="11" t="s">
        <v>1061</v>
      </c>
      <c r="E1629" s="11" t="s">
        <v>1062</v>
      </c>
      <c r="F1629" s="11" t="s">
        <v>2028</v>
      </c>
      <c r="J1629" s="11">
        <v>-33.501121520996</v>
      </c>
      <c r="K1629" s="11">
        <v>8.47679424285888</v>
      </c>
      <c r="L1629" s="11" t="s">
        <v>1061</v>
      </c>
      <c r="M1629" s="11" t="s">
        <v>1061</v>
      </c>
      <c r="N1629" s="11" t="s">
        <v>1062</v>
      </c>
      <c r="O1629" s="11" t="s">
        <v>2028</v>
      </c>
    </row>
    <row r="1630">
      <c r="A1630" s="11">
        <v>52.1943321228027</v>
      </c>
      <c r="B1630" s="11">
        <v>-19.5397815704345</v>
      </c>
      <c r="C1630" s="11" t="s">
        <v>1061</v>
      </c>
      <c r="D1630" s="11" t="s">
        <v>1061</v>
      </c>
      <c r="E1630" s="11" t="s">
        <v>1062</v>
      </c>
      <c r="F1630" s="11" t="s">
        <v>2884</v>
      </c>
      <c r="J1630" s="11">
        <v>-33.4208335876464</v>
      </c>
      <c r="K1630" s="11">
        <v>8.59374904632568</v>
      </c>
      <c r="L1630" s="11" t="s">
        <v>1061</v>
      </c>
      <c r="M1630" s="11" t="s">
        <v>1061</v>
      </c>
      <c r="N1630" s="11" t="s">
        <v>1062</v>
      </c>
      <c r="O1630" s="11" t="s">
        <v>2884</v>
      </c>
    </row>
    <row r="1631">
      <c r="A1631" s="11">
        <v>35.0304450988769</v>
      </c>
      <c r="B1631" s="11">
        <v>-21.0494022369384</v>
      </c>
      <c r="C1631" s="11" t="s">
        <v>1515</v>
      </c>
      <c r="D1631" s="11" t="s">
        <v>1515</v>
      </c>
      <c r="E1631" s="11" t="s">
        <v>1062</v>
      </c>
      <c r="F1631" s="11" t="s">
        <v>2247</v>
      </c>
      <c r="J1631" s="11">
        <v>22.0824832916259</v>
      </c>
      <c r="K1631" s="11">
        <v>10.4184217453002</v>
      </c>
      <c r="L1631" s="11" t="s">
        <v>1515</v>
      </c>
      <c r="M1631" s="11" t="s">
        <v>1515</v>
      </c>
      <c r="N1631" s="11" t="s">
        <v>1062</v>
      </c>
      <c r="O1631" s="11" t="s">
        <v>2247</v>
      </c>
    </row>
    <row r="1632">
      <c r="A1632" s="11">
        <v>35.5402717590332</v>
      </c>
      <c r="B1632" s="11">
        <v>-20.8531761169433</v>
      </c>
      <c r="C1632" s="11" t="s">
        <v>1515</v>
      </c>
      <c r="D1632" s="11" t="s">
        <v>1515</v>
      </c>
      <c r="E1632" s="11" t="s">
        <v>1062</v>
      </c>
      <c r="F1632" s="11" t="s">
        <v>2885</v>
      </c>
      <c r="J1632" s="11">
        <v>18.4221439361572</v>
      </c>
      <c r="K1632" s="11">
        <v>52.2699928283691</v>
      </c>
      <c r="L1632" s="11" t="s">
        <v>1515</v>
      </c>
      <c r="M1632" s="11" t="s">
        <v>1515</v>
      </c>
      <c r="N1632" s="11" t="s">
        <v>1062</v>
      </c>
      <c r="O1632" s="11" t="s">
        <v>2885</v>
      </c>
    </row>
    <row r="1633">
      <c r="A1633" s="11">
        <v>58.8274955749511</v>
      </c>
      <c r="B1633" s="11">
        <v>-12.1700916290283</v>
      </c>
      <c r="C1633" s="11" t="s">
        <v>1515</v>
      </c>
      <c r="D1633" s="11" t="s">
        <v>1515</v>
      </c>
      <c r="E1633" s="11" t="s">
        <v>1062</v>
      </c>
      <c r="F1633" s="11" t="s">
        <v>2886</v>
      </c>
      <c r="J1633" s="11">
        <v>4.77985334396362</v>
      </c>
      <c r="K1633" s="11">
        <v>69.3688735961914</v>
      </c>
      <c r="L1633" s="11" t="s">
        <v>1515</v>
      </c>
      <c r="M1633" s="11" t="s">
        <v>1515</v>
      </c>
      <c r="N1633" s="11" t="s">
        <v>1062</v>
      </c>
      <c r="O1633" s="11" t="s">
        <v>2886</v>
      </c>
    </row>
    <row r="1634">
      <c r="A1634" s="11">
        <v>-24.9138240814209</v>
      </c>
      <c r="B1634" s="11">
        <v>11.4082450866699</v>
      </c>
      <c r="C1634" s="11" t="s">
        <v>1515</v>
      </c>
      <c r="D1634" s="11" t="s">
        <v>1515</v>
      </c>
      <c r="E1634" s="11" t="s">
        <v>1062</v>
      </c>
      <c r="F1634" s="11" t="s">
        <v>2887</v>
      </c>
      <c r="J1634" s="11">
        <v>25.3946781158447</v>
      </c>
      <c r="K1634" s="11">
        <v>25.541597366333</v>
      </c>
      <c r="L1634" s="11" t="s">
        <v>1515</v>
      </c>
      <c r="M1634" s="11" t="s">
        <v>1515</v>
      </c>
      <c r="N1634" s="11" t="s">
        <v>1062</v>
      </c>
      <c r="O1634" s="11" t="s">
        <v>2887</v>
      </c>
    </row>
    <row r="1635">
      <c r="A1635" s="11">
        <v>46.8109245300293</v>
      </c>
      <c r="B1635" s="11">
        <v>38.7251510620117</v>
      </c>
      <c r="C1635" s="11" t="s">
        <v>1515</v>
      </c>
      <c r="D1635" s="11" t="s">
        <v>1515</v>
      </c>
      <c r="E1635" s="11" t="s">
        <v>1062</v>
      </c>
      <c r="F1635" s="11" t="s">
        <v>2888</v>
      </c>
      <c r="J1635" s="11">
        <v>39.8386611938476</v>
      </c>
      <c r="K1635" s="11">
        <v>35.4355850219726</v>
      </c>
      <c r="L1635" s="11" t="s">
        <v>1515</v>
      </c>
      <c r="M1635" s="11" t="s">
        <v>1515</v>
      </c>
      <c r="N1635" s="11" t="s">
        <v>1062</v>
      </c>
      <c r="O1635" s="11" t="s">
        <v>2888</v>
      </c>
    </row>
    <row r="1636">
      <c r="A1636" s="11">
        <v>-25.3363895416259</v>
      </c>
      <c r="B1636" s="11">
        <v>11.3893728256225</v>
      </c>
      <c r="C1636" s="11" t="s">
        <v>1515</v>
      </c>
      <c r="D1636" s="11" t="s">
        <v>1515</v>
      </c>
      <c r="E1636" s="11" t="s">
        <v>1062</v>
      </c>
      <c r="F1636" s="11" t="s">
        <v>2480</v>
      </c>
      <c r="J1636" s="11">
        <v>27.0349082946777</v>
      </c>
      <c r="K1636" s="11">
        <v>-22.6761016845703</v>
      </c>
      <c r="L1636" s="11" t="s">
        <v>1515</v>
      </c>
      <c r="M1636" s="11" t="s">
        <v>1515</v>
      </c>
      <c r="N1636" s="11" t="s">
        <v>1062</v>
      </c>
      <c r="O1636" s="11" t="s">
        <v>2480</v>
      </c>
    </row>
    <row r="1637">
      <c r="A1637" s="11">
        <v>2.37146663665771</v>
      </c>
      <c r="B1637" s="11">
        <v>36.4290657043457</v>
      </c>
      <c r="C1637" s="11" t="s">
        <v>1515</v>
      </c>
      <c r="D1637" s="11" t="s">
        <v>1515</v>
      </c>
      <c r="E1637" s="11" t="s">
        <v>1062</v>
      </c>
      <c r="F1637" s="11" t="s">
        <v>2484</v>
      </c>
      <c r="J1637" s="11">
        <v>40.4339256286621</v>
      </c>
      <c r="K1637" s="11">
        <v>30.7590789794921</v>
      </c>
      <c r="L1637" s="11" t="s">
        <v>1515</v>
      </c>
      <c r="M1637" s="11" t="s">
        <v>1515</v>
      </c>
      <c r="N1637" s="11" t="s">
        <v>1062</v>
      </c>
      <c r="O1637" s="11" t="s">
        <v>2484</v>
      </c>
    </row>
    <row r="1638">
      <c r="A1638" s="11">
        <v>-21.2970104217529</v>
      </c>
      <c r="B1638" s="11">
        <v>42.5357971191406</v>
      </c>
      <c r="C1638" s="11" t="s">
        <v>1515</v>
      </c>
      <c r="D1638" s="11" t="s">
        <v>1515</v>
      </c>
      <c r="E1638" s="11" t="s">
        <v>1062</v>
      </c>
      <c r="F1638" s="11" t="s">
        <v>2487</v>
      </c>
      <c r="J1638" s="11">
        <v>-26.7359218597412</v>
      </c>
      <c r="K1638" s="11">
        <v>-6.02403163909912</v>
      </c>
      <c r="L1638" s="11" t="s">
        <v>1515</v>
      </c>
      <c r="M1638" s="11" t="s">
        <v>1515</v>
      </c>
      <c r="N1638" s="11" t="s">
        <v>1062</v>
      </c>
      <c r="O1638" s="11" t="s">
        <v>2487</v>
      </c>
    </row>
    <row r="1639">
      <c r="A1639" s="11">
        <v>12.2865953445434</v>
      </c>
      <c r="B1639" s="11">
        <v>-55.2435836791992</v>
      </c>
      <c r="C1639" s="11" t="s">
        <v>1515</v>
      </c>
      <c r="D1639" s="11" t="s">
        <v>1515</v>
      </c>
      <c r="E1639" s="11" t="s">
        <v>1062</v>
      </c>
      <c r="F1639" s="11" t="s">
        <v>2488</v>
      </c>
      <c r="J1639" s="11">
        <v>-42.9537124633789</v>
      </c>
      <c r="K1639" s="11">
        <v>2.76590037345886</v>
      </c>
      <c r="L1639" s="11" t="s">
        <v>1515</v>
      </c>
      <c r="M1639" s="11" t="s">
        <v>1515</v>
      </c>
      <c r="N1639" s="11" t="s">
        <v>1062</v>
      </c>
      <c r="O1639" s="11" t="s">
        <v>2488</v>
      </c>
    </row>
    <row r="1640">
      <c r="A1640" s="11">
        <v>58.5957260131835</v>
      </c>
      <c r="B1640" s="11">
        <v>-12.4937028884887</v>
      </c>
      <c r="C1640" s="11" t="s">
        <v>1515</v>
      </c>
      <c r="D1640" s="11" t="s">
        <v>1515</v>
      </c>
      <c r="E1640" s="11" t="s">
        <v>1062</v>
      </c>
      <c r="F1640" s="11" t="s">
        <v>2489</v>
      </c>
      <c r="J1640" s="11">
        <v>4.78124618530273</v>
      </c>
      <c r="K1640" s="11">
        <v>69.3706893920898</v>
      </c>
      <c r="L1640" s="11" t="s">
        <v>1515</v>
      </c>
      <c r="M1640" s="11" t="s">
        <v>1515</v>
      </c>
      <c r="N1640" s="11" t="s">
        <v>1062</v>
      </c>
      <c r="O1640" s="11" t="s">
        <v>2489</v>
      </c>
    </row>
    <row r="1641">
      <c r="A1641" s="11">
        <v>31.1618633270263</v>
      </c>
      <c r="B1641" s="11">
        <v>-57.4397544860839</v>
      </c>
      <c r="C1641" s="11" t="s">
        <v>1515</v>
      </c>
      <c r="D1641" s="11" t="s">
        <v>1515</v>
      </c>
      <c r="E1641" s="11" t="s">
        <v>1062</v>
      </c>
      <c r="F1641" s="11" t="s">
        <v>2490</v>
      </c>
      <c r="J1641" s="11">
        <v>-41.9791564941406</v>
      </c>
      <c r="K1641" s="11">
        <v>2.05408763885498</v>
      </c>
      <c r="L1641" s="11" t="s">
        <v>1515</v>
      </c>
      <c r="M1641" s="11" t="s">
        <v>1515</v>
      </c>
      <c r="N1641" s="11" t="s">
        <v>1062</v>
      </c>
      <c r="O1641" s="11" t="s">
        <v>2490</v>
      </c>
    </row>
    <row r="1642">
      <c r="A1642" s="11">
        <v>12.0926856994628</v>
      </c>
      <c r="B1642" s="11">
        <v>-55.420066833496</v>
      </c>
      <c r="C1642" s="11" t="s">
        <v>1515</v>
      </c>
      <c r="D1642" s="11" t="s">
        <v>1515</v>
      </c>
      <c r="E1642" s="11" t="s">
        <v>1062</v>
      </c>
      <c r="F1642" s="11" t="s">
        <v>2889</v>
      </c>
      <c r="J1642" s="11">
        <v>24.8425884246826</v>
      </c>
      <c r="K1642" s="11">
        <v>14.660038948059</v>
      </c>
      <c r="L1642" s="11" t="s">
        <v>1515</v>
      </c>
      <c r="M1642" s="11" t="s">
        <v>1515</v>
      </c>
      <c r="N1642" s="11" t="s">
        <v>1062</v>
      </c>
      <c r="O1642" s="11" t="s">
        <v>2889</v>
      </c>
    </row>
    <row r="1643">
      <c r="A1643" s="11">
        <v>-24.3270072937011</v>
      </c>
      <c r="B1643" s="11">
        <v>6.41372537612915</v>
      </c>
      <c r="C1643" s="11" t="s">
        <v>1515</v>
      </c>
      <c r="D1643" s="11" t="s">
        <v>1515</v>
      </c>
      <c r="E1643" s="11" t="s">
        <v>1062</v>
      </c>
      <c r="F1643" s="11" t="s">
        <v>2493</v>
      </c>
      <c r="J1643" s="11">
        <v>23.0796222686767</v>
      </c>
      <c r="K1643" s="11">
        <v>-25.5132942199707</v>
      </c>
      <c r="L1643" s="11" t="s">
        <v>1515</v>
      </c>
      <c r="M1643" s="11" t="s">
        <v>1515</v>
      </c>
      <c r="N1643" s="11" t="s">
        <v>1062</v>
      </c>
      <c r="O1643" s="11" t="s">
        <v>2493</v>
      </c>
    </row>
    <row r="1644">
      <c r="A1644" s="11">
        <v>-24.0390892028808</v>
      </c>
      <c r="B1644" s="11">
        <v>6.89519691467285</v>
      </c>
      <c r="C1644" s="11" t="s">
        <v>1515</v>
      </c>
      <c r="D1644" s="11" t="s">
        <v>1515</v>
      </c>
      <c r="E1644" s="11" t="s">
        <v>1062</v>
      </c>
      <c r="F1644" s="11" t="s">
        <v>2890</v>
      </c>
      <c r="J1644" s="11">
        <v>22.1647415161132</v>
      </c>
      <c r="K1644" s="11">
        <v>10.4259490966796</v>
      </c>
      <c r="L1644" s="11" t="s">
        <v>1515</v>
      </c>
      <c r="M1644" s="11" t="s">
        <v>1515</v>
      </c>
      <c r="N1644" s="11" t="s">
        <v>1062</v>
      </c>
      <c r="O1644" s="11" t="s">
        <v>2890</v>
      </c>
    </row>
    <row r="1645">
      <c r="A1645" s="11">
        <v>30.0614356994628</v>
      </c>
      <c r="B1645" s="11">
        <v>-22.4401741027832</v>
      </c>
      <c r="C1645" s="11" t="s">
        <v>1515</v>
      </c>
      <c r="D1645" s="11" t="s">
        <v>1515</v>
      </c>
      <c r="E1645" s="11" t="s">
        <v>1062</v>
      </c>
      <c r="F1645" s="11" t="s">
        <v>2891</v>
      </c>
      <c r="J1645" s="11">
        <v>24.97407913208</v>
      </c>
      <c r="K1645" s="11">
        <v>20.5651817321777</v>
      </c>
      <c r="L1645" s="11" t="s">
        <v>1515</v>
      </c>
      <c r="M1645" s="11" t="s">
        <v>1515</v>
      </c>
      <c r="N1645" s="11" t="s">
        <v>1062</v>
      </c>
      <c r="O1645" s="11" t="s">
        <v>2891</v>
      </c>
    </row>
    <row r="1646">
      <c r="A1646" s="11">
        <v>30.4097328186035</v>
      </c>
      <c r="B1646" s="11">
        <v>-57.483039855957</v>
      </c>
      <c r="C1646" s="11" t="s">
        <v>1515</v>
      </c>
      <c r="D1646" s="11" t="s">
        <v>1515</v>
      </c>
      <c r="E1646" s="11" t="s">
        <v>1062</v>
      </c>
      <c r="F1646" s="11" t="s">
        <v>2892</v>
      </c>
      <c r="J1646" s="11">
        <v>21.5553131103515</v>
      </c>
      <c r="K1646" s="11">
        <v>50.2440719604492</v>
      </c>
      <c r="L1646" s="11" t="s">
        <v>1515</v>
      </c>
      <c r="M1646" s="11" t="s">
        <v>1515</v>
      </c>
      <c r="N1646" s="11" t="s">
        <v>1062</v>
      </c>
      <c r="O1646" s="11" t="s">
        <v>2892</v>
      </c>
    </row>
    <row r="1647">
      <c r="A1647" s="11">
        <v>-39.6784629821777</v>
      </c>
      <c r="B1647" s="11">
        <v>-40.7823791503906</v>
      </c>
      <c r="C1647" s="11" t="s">
        <v>1515</v>
      </c>
      <c r="D1647" s="11" t="s">
        <v>1515</v>
      </c>
      <c r="E1647" s="11" t="s">
        <v>1062</v>
      </c>
      <c r="F1647" s="11" t="s">
        <v>2532</v>
      </c>
      <c r="J1647" s="11">
        <v>40.5196113586425</v>
      </c>
      <c r="K1647" s="11">
        <v>25.4388923645019</v>
      </c>
      <c r="L1647" s="11" t="s">
        <v>1515</v>
      </c>
      <c r="M1647" s="11" t="s">
        <v>1515</v>
      </c>
      <c r="N1647" s="11" t="s">
        <v>1062</v>
      </c>
      <c r="O1647" s="11" t="s">
        <v>2532</v>
      </c>
    </row>
    <row r="1648">
      <c r="A1648" s="11">
        <v>24.356294631958</v>
      </c>
      <c r="B1648" s="11">
        <v>-56.7000579833984</v>
      </c>
      <c r="C1648" s="11" t="s">
        <v>1390</v>
      </c>
      <c r="D1648" s="11" t="s">
        <v>1390</v>
      </c>
      <c r="E1648" s="11" t="s">
        <v>1062</v>
      </c>
      <c r="F1648" s="11" t="s">
        <v>2893</v>
      </c>
      <c r="J1648" s="11">
        <v>-24.7072772979736</v>
      </c>
      <c r="K1648" s="11">
        <v>-20.43869972229</v>
      </c>
      <c r="L1648" s="11" t="s">
        <v>1390</v>
      </c>
      <c r="M1648" s="11" t="s">
        <v>1390</v>
      </c>
      <c r="N1648" s="11" t="s">
        <v>1062</v>
      </c>
      <c r="O1648" s="11" t="s">
        <v>2893</v>
      </c>
    </row>
    <row r="1649">
      <c r="A1649" s="11">
        <v>23.1430282592773</v>
      </c>
      <c r="B1649" s="11">
        <v>-53.5817489624023</v>
      </c>
      <c r="C1649" s="11" t="s">
        <v>1390</v>
      </c>
      <c r="D1649" s="11" t="s">
        <v>1390</v>
      </c>
      <c r="E1649" s="11" t="s">
        <v>1062</v>
      </c>
      <c r="F1649" s="11" t="s">
        <v>2894</v>
      </c>
      <c r="J1649" s="11">
        <v>17.0082702636718</v>
      </c>
      <c r="K1649" s="11">
        <v>-5.81064987182617</v>
      </c>
      <c r="L1649" s="11" t="s">
        <v>1390</v>
      </c>
      <c r="M1649" s="11" t="s">
        <v>1390</v>
      </c>
      <c r="N1649" s="11" t="s">
        <v>1062</v>
      </c>
      <c r="O1649" s="11" t="s">
        <v>2894</v>
      </c>
    </row>
    <row r="1650">
      <c r="A1650" s="11">
        <v>-29.7759246826171</v>
      </c>
      <c r="B1650" s="11">
        <v>-38.1062583923339</v>
      </c>
      <c r="C1650" s="11" t="s">
        <v>1390</v>
      </c>
      <c r="D1650" s="11" t="s">
        <v>1390</v>
      </c>
      <c r="E1650" s="11" t="s">
        <v>1062</v>
      </c>
      <c r="F1650" s="11" t="s">
        <v>2895</v>
      </c>
      <c r="J1650" s="11">
        <v>16.358491897583</v>
      </c>
      <c r="K1650" s="11">
        <v>-11.6260185241699</v>
      </c>
      <c r="L1650" s="11" t="s">
        <v>1390</v>
      </c>
      <c r="M1650" s="11" t="s">
        <v>1390</v>
      </c>
      <c r="N1650" s="11" t="s">
        <v>1062</v>
      </c>
      <c r="O1650" s="11" t="s">
        <v>2895</v>
      </c>
    </row>
    <row r="1651">
      <c r="A1651" s="11">
        <v>5.95534229278564</v>
      </c>
      <c r="B1651" s="11">
        <v>-53.5268630981445</v>
      </c>
      <c r="C1651" s="11" t="s">
        <v>1390</v>
      </c>
      <c r="D1651" s="11" t="s">
        <v>1390</v>
      </c>
      <c r="E1651" s="11" t="s">
        <v>1062</v>
      </c>
      <c r="F1651" s="11" t="s">
        <v>2896</v>
      </c>
      <c r="J1651" s="11">
        <v>-43.6190719604492</v>
      </c>
      <c r="K1651" s="11">
        <v>-52.6887321472168</v>
      </c>
      <c r="L1651" s="11" t="s">
        <v>1390</v>
      </c>
      <c r="M1651" s="11" t="s">
        <v>1390</v>
      </c>
      <c r="N1651" s="11" t="s">
        <v>1062</v>
      </c>
      <c r="O1651" s="11" t="s">
        <v>2896</v>
      </c>
    </row>
    <row r="1652">
      <c r="A1652" s="11">
        <v>42.107925415039</v>
      </c>
      <c r="B1652" s="11">
        <v>-40.4939422607421</v>
      </c>
      <c r="C1652" s="11" t="s">
        <v>1879</v>
      </c>
      <c r="D1652" s="11" t="s">
        <v>1879</v>
      </c>
      <c r="E1652" s="11" t="s">
        <v>1062</v>
      </c>
      <c r="F1652" s="11" t="s">
        <v>2046</v>
      </c>
      <c r="J1652" s="11">
        <v>-55.1021537780761</v>
      </c>
      <c r="K1652" s="11">
        <v>-5.78056240081787</v>
      </c>
      <c r="L1652" s="11" t="s">
        <v>1879</v>
      </c>
      <c r="M1652" s="11" t="s">
        <v>1879</v>
      </c>
      <c r="N1652" s="11" t="s">
        <v>1062</v>
      </c>
      <c r="O1652" s="11" t="s">
        <v>2046</v>
      </c>
    </row>
    <row r="1653">
      <c r="A1653" s="11">
        <v>-39.1088943481445</v>
      </c>
      <c r="B1653" s="11">
        <v>-40.867202758789</v>
      </c>
      <c r="C1653" s="11" t="s">
        <v>1515</v>
      </c>
      <c r="D1653" s="11" t="s">
        <v>1515</v>
      </c>
      <c r="E1653" s="11" t="s">
        <v>1062</v>
      </c>
      <c r="F1653" s="11" t="s">
        <v>2897</v>
      </c>
      <c r="J1653" s="11">
        <v>40.2032814025878</v>
      </c>
      <c r="K1653" s="11">
        <v>25.6557502746582</v>
      </c>
      <c r="L1653" s="11" t="s">
        <v>1515</v>
      </c>
      <c r="M1653" s="11" t="s">
        <v>1515</v>
      </c>
      <c r="N1653" s="11" t="s">
        <v>1062</v>
      </c>
      <c r="O1653" s="11" t="s">
        <v>2897</v>
      </c>
    </row>
    <row r="1654">
      <c r="A1654" s="11">
        <v>42.6264190673828</v>
      </c>
      <c r="B1654" s="11">
        <v>-41.3558654785156</v>
      </c>
      <c r="C1654" s="11" t="s">
        <v>1879</v>
      </c>
      <c r="D1654" s="11" t="s">
        <v>1879</v>
      </c>
      <c r="E1654" s="11" t="s">
        <v>1062</v>
      </c>
      <c r="F1654" s="11" t="s">
        <v>2274</v>
      </c>
      <c r="J1654" s="11">
        <v>-55.3639259338378</v>
      </c>
      <c r="K1654" s="11">
        <v>-5.57775354385376</v>
      </c>
      <c r="L1654" s="11" t="s">
        <v>1879</v>
      </c>
      <c r="M1654" s="11" t="s">
        <v>1879</v>
      </c>
      <c r="N1654" s="11" t="s">
        <v>1062</v>
      </c>
      <c r="O1654" s="11" t="s">
        <v>2274</v>
      </c>
    </row>
    <row r="1655">
      <c r="A1655" s="11">
        <v>44.8910179138183</v>
      </c>
      <c r="B1655" s="11">
        <v>-41.9486541748046</v>
      </c>
      <c r="C1655" s="11" t="s">
        <v>1879</v>
      </c>
      <c r="D1655" s="11" t="s">
        <v>1879</v>
      </c>
      <c r="E1655" s="11" t="s">
        <v>1062</v>
      </c>
      <c r="F1655" s="11" t="s">
        <v>2284</v>
      </c>
      <c r="J1655" s="11">
        <v>-55.3097038269043</v>
      </c>
      <c r="K1655" s="11">
        <v>-6.22388172149658</v>
      </c>
      <c r="L1655" s="11" t="s">
        <v>1879</v>
      </c>
      <c r="M1655" s="11" t="s">
        <v>1879</v>
      </c>
      <c r="N1655" s="11" t="s">
        <v>1062</v>
      </c>
      <c r="O1655" s="11" t="s">
        <v>2284</v>
      </c>
    </row>
    <row r="1656">
      <c r="A1656" s="11">
        <v>-21.5338840484619</v>
      </c>
      <c r="B1656" s="11">
        <v>43.0428390502929</v>
      </c>
      <c r="C1656" s="11" t="s">
        <v>1515</v>
      </c>
      <c r="D1656" s="11" t="s">
        <v>1515</v>
      </c>
      <c r="E1656" s="11" t="s">
        <v>1062</v>
      </c>
      <c r="F1656" s="11" t="s">
        <v>2898</v>
      </c>
      <c r="J1656" s="11">
        <v>40.2584724426269</v>
      </c>
      <c r="K1656" s="11">
        <v>30.4961605072021</v>
      </c>
      <c r="L1656" s="11" t="s">
        <v>1515</v>
      </c>
      <c r="M1656" s="11" t="s">
        <v>1515</v>
      </c>
      <c r="N1656" s="11" t="s">
        <v>1062</v>
      </c>
      <c r="O1656" s="11" t="s">
        <v>2898</v>
      </c>
    </row>
    <row r="1657">
      <c r="A1657" s="11">
        <v>2.01612615585327</v>
      </c>
      <c r="B1657" s="11">
        <v>37.324291229248</v>
      </c>
      <c r="C1657" s="11" t="s">
        <v>1515</v>
      </c>
      <c r="D1657" s="11" t="s">
        <v>1515</v>
      </c>
      <c r="E1657" s="11" t="s">
        <v>1062</v>
      </c>
      <c r="F1657" s="11" t="s">
        <v>2899</v>
      </c>
      <c r="J1657" s="11">
        <v>27.6742630004882</v>
      </c>
      <c r="K1657" s="11">
        <v>-21.152925491333</v>
      </c>
      <c r="L1657" s="11" t="s">
        <v>1515</v>
      </c>
      <c r="M1657" s="11" t="s">
        <v>1515</v>
      </c>
      <c r="N1657" s="11" t="s">
        <v>1062</v>
      </c>
      <c r="O1657" s="11" t="s">
        <v>2899</v>
      </c>
    </row>
    <row r="1658">
      <c r="A1658" s="11">
        <v>30.7061901092529</v>
      </c>
      <c r="B1658" s="11">
        <v>-22.8369884490966</v>
      </c>
      <c r="C1658" s="11" t="s">
        <v>1515</v>
      </c>
      <c r="D1658" s="11" t="s">
        <v>1515</v>
      </c>
      <c r="E1658" s="11" t="s">
        <v>1062</v>
      </c>
      <c r="F1658" s="11" t="s">
        <v>2809</v>
      </c>
      <c r="J1658" s="11">
        <v>-42.0143013000488</v>
      </c>
      <c r="K1658" s="11">
        <v>8.50648212432861</v>
      </c>
      <c r="L1658" s="11" t="s">
        <v>1515</v>
      </c>
      <c r="M1658" s="11" t="s">
        <v>1515</v>
      </c>
      <c r="N1658" s="11" t="s">
        <v>1062</v>
      </c>
      <c r="O1658" s="11" t="s">
        <v>2809</v>
      </c>
    </row>
    <row r="1659">
      <c r="A1659" s="11">
        <v>43.7457199096679</v>
      </c>
      <c r="B1659" s="11">
        <v>-42.1672782897949</v>
      </c>
      <c r="C1659" s="11" t="s">
        <v>1879</v>
      </c>
      <c r="D1659" s="11" t="s">
        <v>1879</v>
      </c>
      <c r="E1659" s="11" t="s">
        <v>1062</v>
      </c>
      <c r="F1659" s="11" t="s">
        <v>2373</v>
      </c>
      <c r="J1659" s="11">
        <v>-55.7886734008789</v>
      </c>
      <c r="K1659" s="11">
        <v>-5.82598114013671</v>
      </c>
      <c r="L1659" s="11" t="s">
        <v>1879</v>
      </c>
      <c r="M1659" s="11" t="s">
        <v>1879</v>
      </c>
      <c r="N1659" s="11" t="s">
        <v>1062</v>
      </c>
      <c r="O1659" s="11" t="s">
        <v>2373</v>
      </c>
    </row>
    <row r="1660">
      <c r="A1660" s="11">
        <v>46.9394340515136</v>
      </c>
      <c r="B1660" s="11">
        <v>-22.9140968322753</v>
      </c>
      <c r="C1660" s="11" t="s">
        <v>1061</v>
      </c>
      <c r="D1660" s="11" t="s">
        <v>1061</v>
      </c>
      <c r="E1660" s="11" t="s">
        <v>2900</v>
      </c>
      <c r="F1660" s="11" t="s">
        <v>2853</v>
      </c>
      <c r="J1660" s="11">
        <v>-58.6816444396972</v>
      </c>
      <c r="K1660" s="11">
        <v>8.65689086914062</v>
      </c>
      <c r="L1660" s="11" t="s">
        <v>1061</v>
      </c>
      <c r="M1660" s="11" t="s">
        <v>1061</v>
      </c>
      <c r="N1660" s="11" t="s">
        <v>2900</v>
      </c>
      <c r="O1660" s="11" t="s">
        <v>2853</v>
      </c>
    </row>
    <row r="1661">
      <c r="A1661" s="11">
        <v>47.9028587341308</v>
      </c>
      <c r="B1661" s="11">
        <v>-22.7003746032714</v>
      </c>
      <c r="C1661" s="11" t="s">
        <v>1515</v>
      </c>
      <c r="D1661" s="11" t="s">
        <v>1515</v>
      </c>
      <c r="E1661" s="11" t="s">
        <v>2900</v>
      </c>
      <c r="F1661" s="11" t="s">
        <v>2854</v>
      </c>
      <c r="J1661" s="11">
        <v>-60.6644592285156</v>
      </c>
      <c r="K1661" s="11">
        <v>10.2524118423461</v>
      </c>
      <c r="L1661" s="11" t="s">
        <v>1515</v>
      </c>
      <c r="M1661" s="11" t="s">
        <v>1515</v>
      </c>
      <c r="N1661" s="11" t="s">
        <v>2900</v>
      </c>
      <c r="O1661" s="11" t="s">
        <v>2854</v>
      </c>
    </row>
    <row r="1662">
      <c r="A1662" s="11">
        <v>48.8186378479003</v>
      </c>
      <c r="B1662" s="11">
        <v>-22.4744453430175</v>
      </c>
      <c r="C1662" s="11" t="s">
        <v>1515</v>
      </c>
      <c r="D1662" s="11" t="s">
        <v>1515</v>
      </c>
      <c r="E1662" s="11" t="s">
        <v>2900</v>
      </c>
      <c r="F1662" s="11" t="s">
        <v>2855</v>
      </c>
      <c r="J1662" s="11">
        <v>-60.3429718017578</v>
      </c>
      <c r="K1662" s="11">
        <v>10.2564105987548</v>
      </c>
      <c r="L1662" s="11" t="s">
        <v>1515</v>
      </c>
      <c r="M1662" s="11" t="s">
        <v>1515</v>
      </c>
      <c r="N1662" s="11" t="s">
        <v>2900</v>
      </c>
      <c r="O1662" s="11" t="s">
        <v>2855</v>
      </c>
    </row>
    <row r="1663">
      <c r="A1663" s="11">
        <v>48.95454788208</v>
      </c>
      <c r="B1663" s="11">
        <v>-23.2906875610351</v>
      </c>
      <c r="C1663" s="11" t="s">
        <v>1515</v>
      </c>
      <c r="D1663" s="11" t="s">
        <v>1515</v>
      </c>
      <c r="E1663" s="11" t="s">
        <v>2900</v>
      </c>
      <c r="F1663" s="11" t="s">
        <v>2856</v>
      </c>
      <c r="J1663" s="11">
        <v>-60.087791442871</v>
      </c>
      <c r="K1663" s="11">
        <v>9.89024353027343</v>
      </c>
      <c r="L1663" s="11" t="s">
        <v>1515</v>
      </c>
      <c r="M1663" s="11" t="s">
        <v>1515</v>
      </c>
      <c r="N1663" s="11" t="s">
        <v>2900</v>
      </c>
      <c r="O1663" s="11" t="s">
        <v>2856</v>
      </c>
    </row>
    <row r="1664">
      <c r="A1664" s="11">
        <v>48.0633850097656</v>
      </c>
      <c r="B1664" s="11">
        <v>-23.3464565277099</v>
      </c>
      <c r="C1664" s="11" t="s">
        <v>1515</v>
      </c>
      <c r="D1664" s="11" t="s">
        <v>1515</v>
      </c>
      <c r="E1664" s="11" t="s">
        <v>2900</v>
      </c>
      <c r="F1664" s="11" t="s">
        <v>2857</v>
      </c>
      <c r="J1664" s="11">
        <v>-60.7827262878418</v>
      </c>
      <c r="K1664" s="11">
        <v>9.90921592712402</v>
      </c>
      <c r="L1664" s="11" t="s">
        <v>1515</v>
      </c>
      <c r="M1664" s="11" t="s">
        <v>1515</v>
      </c>
      <c r="N1664" s="11" t="s">
        <v>2900</v>
      </c>
      <c r="O1664" s="11" t="s">
        <v>2857</v>
      </c>
    </row>
    <row r="1665">
      <c r="A1665" s="11">
        <v>48.5473098754882</v>
      </c>
      <c r="B1665" s="11">
        <v>-24.3258514404296</v>
      </c>
      <c r="C1665" s="11" t="s">
        <v>1879</v>
      </c>
      <c r="D1665" s="11" t="s">
        <v>1879</v>
      </c>
      <c r="E1665" s="11" t="s">
        <v>2900</v>
      </c>
      <c r="F1665" s="11" t="s">
        <v>2445</v>
      </c>
      <c r="J1665" s="11">
        <v>-57.806785583496</v>
      </c>
      <c r="K1665" s="11">
        <v>10.8872232437133</v>
      </c>
      <c r="L1665" s="11" t="s">
        <v>1879</v>
      </c>
      <c r="M1665" s="11" t="s">
        <v>1879</v>
      </c>
      <c r="N1665" s="11" t="s">
        <v>2900</v>
      </c>
      <c r="O1665" s="11" t="s">
        <v>2445</v>
      </c>
    </row>
    <row r="1666">
      <c r="A1666" s="11">
        <v>47.7262802124023</v>
      </c>
      <c r="B1666" s="11">
        <v>-24.4989109039306</v>
      </c>
      <c r="C1666" s="11" t="s">
        <v>1879</v>
      </c>
      <c r="D1666" s="11" t="s">
        <v>1879</v>
      </c>
      <c r="E1666" s="11" t="s">
        <v>2900</v>
      </c>
      <c r="F1666" s="11" t="s">
        <v>2446</v>
      </c>
      <c r="J1666" s="11">
        <v>-57.7886123657226</v>
      </c>
      <c r="K1666" s="11">
        <v>10.9182109832763</v>
      </c>
      <c r="L1666" s="11" t="s">
        <v>1879</v>
      </c>
      <c r="M1666" s="11" t="s">
        <v>1879</v>
      </c>
      <c r="N1666" s="11" t="s">
        <v>2900</v>
      </c>
      <c r="O1666" s="11" t="s">
        <v>2446</v>
      </c>
    </row>
    <row r="1667">
      <c r="A1667" s="11">
        <v>42.9857521057128</v>
      </c>
      <c r="B1667" s="11">
        <v>-39.9670028686523</v>
      </c>
      <c r="C1667" s="11" t="s">
        <v>1879</v>
      </c>
      <c r="D1667" s="11" t="s">
        <v>1879</v>
      </c>
      <c r="E1667" s="11" t="s">
        <v>2900</v>
      </c>
      <c r="F1667" s="11" t="s">
        <v>2471</v>
      </c>
      <c r="J1667" s="11">
        <v>-59.427017211914</v>
      </c>
      <c r="K1667" s="11">
        <v>1.44685781002044</v>
      </c>
      <c r="L1667" s="11" t="s">
        <v>1879</v>
      </c>
      <c r="M1667" s="11" t="s">
        <v>1879</v>
      </c>
      <c r="N1667" s="11" t="s">
        <v>2900</v>
      </c>
      <c r="O1667" s="11" t="s">
        <v>2471</v>
      </c>
    </row>
    <row r="1668">
      <c r="A1668" s="11">
        <v>43.3323783874511</v>
      </c>
      <c r="B1668" s="11">
        <v>-40.7923698425293</v>
      </c>
      <c r="C1668" s="11" t="s">
        <v>1879</v>
      </c>
      <c r="D1668" s="11" t="s">
        <v>1879</v>
      </c>
      <c r="E1668" s="11" t="s">
        <v>2900</v>
      </c>
      <c r="F1668" s="11" t="s">
        <v>2472</v>
      </c>
      <c r="J1668" s="11">
        <v>-59.0084800720214</v>
      </c>
      <c r="K1668" s="11">
        <v>1.30846166610717</v>
      </c>
      <c r="L1668" s="11" t="s">
        <v>1879</v>
      </c>
      <c r="M1668" s="11" t="s">
        <v>1879</v>
      </c>
      <c r="N1668" s="11" t="s">
        <v>2900</v>
      </c>
      <c r="O1668" s="11" t="s">
        <v>2472</v>
      </c>
    </row>
    <row r="1669">
      <c r="A1669" s="11">
        <v>43.9442672729492</v>
      </c>
      <c r="B1669" s="11">
        <v>-41.3278923034668</v>
      </c>
      <c r="C1669" s="11" t="s">
        <v>1879</v>
      </c>
      <c r="D1669" s="11" t="s">
        <v>1879</v>
      </c>
      <c r="E1669" s="11" t="s">
        <v>2900</v>
      </c>
      <c r="F1669" s="11" t="s">
        <v>2474</v>
      </c>
      <c r="J1669" s="11">
        <v>-58.7062721252441</v>
      </c>
      <c r="K1669" s="11">
        <v>1.7904542684555</v>
      </c>
      <c r="L1669" s="11" t="s">
        <v>1879</v>
      </c>
      <c r="M1669" s="11" t="s">
        <v>1879</v>
      </c>
      <c r="N1669" s="11" t="s">
        <v>2900</v>
      </c>
      <c r="O1669" s="11" t="s">
        <v>2474</v>
      </c>
    </row>
    <row r="1670">
      <c r="A1670" s="11">
        <v>44.8638305664062</v>
      </c>
      <c r="B1670" s="11">
        <v>-40.8736343383789</v>
      </c>
      <c r="C1670" s="11" t="s">
        <v>1879</v>
      </c>
      <c r="D1670" s="11" t="s">
        <v>1879</v>
      </c>
      <c r="E1670" s="11" t="s">
        <v>2900</v>
      </c>
      <c r="F1670" s="11" t="s">
        <v>2475</v>
      </c>
      <c r="J1670" s="11">
        <v>-58.2175483703613</v>
      </c>
      <c r="K1670" s="11">
        <v>1.42339158058166</v>
      </c>
      <c r="L1670" s="11" t="s">
        <v>1879</v>
      </c>
      <c r="M1670" s="11" t="s">
        <v>1879</v>
      </c>
      <c r="N1670" s="11" t="s">
        <v>2900</v>
      </c>
      <c r="O1670" s="11" t="s">
        <v>2475</v>
      </c>
    </row>
    <row r="1671">
      <c r="A1671" s="11">
        <v>40.6886749267578</v>
      </c>
      <c r="B1671" s="11">
        <v>-32.743854522705</v>
      </c>
      <c r="C1671" s="11" t="s">
        <v>1879</v>
      </c>
      <c r="D1671" s="11" t="s">
        <v>1879</v>
      </c>
      <c r="E1671" s="11" t="s">
        <v>2900</v>
      </c>
      <c r="F1671" s="11" t="s">
        <v>2477</v>
      </c>
      <c r="J1671" s="11">
        <v>-56.2225227355957</v>
      </c>
      <c r="K1671" s="11">
        <v>1.19112491607666</v>
      </c>
      <c r="L1671" s="11" t="s">
        <v>1879</v>
      </c>
      <c r="M1671" s="11" t="s">
        <v>1879</v>
      </c>
      <c r="N1671" s="11" t="s">
        <v>2900</v>
      </c>
      <c r="O1671" s="11" t="s">
        <v>2477</v>
      </c>
    </row>
    <row r="1672">
      <c r="A1672" s="11">
        <v>32.3994941711425</v>
      </c>
      <c r="B1672" s="11">
        <v>-50.9265022277832</v>
      </c>
      <c r="C1672" s="11" t="s">
        <v>1879</v>
      </c>
      <c r="D1672" s="11" t="s">
        <v>1879</v>
      </c>
      <c r="E1672" s="11" t="s">
        <v>2900</v>
      </c>
      <c r="F1672" s="11" t="s">
        <v>2478</v>
      </c>
      <c r="J1672" s="11">
        <v>-59.6656684875488</v>
      </c>
      <c r="K1672" s="11">
        <v>2.75833821296691</v>
      </c>
      <c r="L1672" s="11" t="s">
        <v>1879</v>
      </c>
      <c r="M1672" s="11" t="s">
        <v>1879</v>
      </c>
      <c r="N1672" s="11" t="s">
        <v>2900</v>
      </c>
      <c r="O1672" s="11" t="s">
        <v>2478</v>
      </c>
    </row>
    <row r="1673">
      <c r="A1673" s="11">
        <v>44.1485633850097</v>
      </c>
      <c r="B1673" s="11">
        <v>-40.0800094604492</v>
      </c>
      <c r="C1673" s="11" t="s">
        <v>1879</v>
      </c>
      <c r="D1673" s="11" t="s">
        <v>1879</v>
      </c>
      <c r="E1673" s="11" t="s">
        <v>2900</v>
      </c>
      <c r="F1673" s="11" t="s">
        <v>2479</v>
      </c>
      <c r="J1673" s="11">
        <v>-58.0822029113769</v>
      </c>
      <c r="K1673" s="11">
        <v>1.09644651412963</v>
      </c>
      <c r="L1673" s="11" t="s">
        <v>1879</v>
      </c>
      <c r="M1673" s="11" t="s">
        <v>1879</v>
      </c>
      <c r="N1673" s="11" t="s">
        <v>2900</v>
      </c>
      <c r="O1673" s="11" t="s">
        <v>2479</v>
      </c>
    </row>
    <row r="1674">
      <c r="A1674" s="11">
        <v>43.1784858703613</v>
      </c>
      <c r="B1674" s="11">
        <v>-43.226505279541</v>
      </c>
      <c r="C1674" s="11" t="s">
        <v>1061</v>
      </c>
      <c r="D1674" s="11" t="s">
        <v>1061</v>
      </c>
      <c r="E1674" s="11" t="s">
        <v>2900</v>
      </c>
      <c r="F1674" s="11" t="s">
        <v>1393</v>
      </c>
      <c r="J1674" s="11">
        <v>-55.8902473449707</v>
      </c>
      <c r="K1674" s="11">
        <v>-6.149751663208</v>
      </c>
      <c r="L1674" s="11" t="s">
        <v>1061</v>
      </c>
      <c r="M1674" s="11" t="s">
        <v>1061</v>
      </c>
      <c r="N1674" s="11" t="s">
        <v>2900</v>
      </c>
      <c r="O1674" s="11" t="s">
        <v>1393</v>
      </c>
    </row>
    <row r="1675">
      <c r="A1675" s="11">
        <v>44.2349967956543</v>
      </c>
      <c r="B1675" s="11">
        <v>-28.0219841003417</v>
      </c>
      <c r="C1675" s="11" t="s">
        <v>1061</v>
      </c>
      <c r="D1675" s="11" t="s">
        <v>1061</v>
      </c>
      <c r="E1675" s="11" t="s">
        <v>2900</v>
      </c>
      <c r="F1675" s="11" t="s">
        <v>1520</v>
      </c>
      <c r="J1675" s="11">
        <v>-57.0982131958007</v>
      </c>
      <c r="K1675" s="11">
        <v>5.31733226776123</v>
      </c>
      <c r="L1675" s="11" t="s">
        <v>1061</v>
      </c>
      <c r="M1675" s="11" t="s">
        <v>1061</v>
      </c>
      <c r="N1675" s="11" t="s">
        <v>2900</v>
      </c>
      <c r="O1675" s="11" t="s">
        <v>1520</v>
      </c>
    </row>
    <row r="1676">
      <c r="A1676" s="11">
        <v>37.9077110290527</v>
      </c>
      <c r="B1676" s="11">
        <v>-51.2886581420898</v>
      </c>
      <c r="C1676" s="11" t="s">
        <v>1061</v>
      </c>
      <c r="D1676" s="11" t="s">
        <v>1061</v>
      </c>
      <c r="E1676" s="11" t="s">
        <v>2900</v>
      </c>
      <c r="F1676" s="11" t="s">
        <v>1566</v>
      </c>
      <c r="J1676" s="11">
        <v>-29.0410709381103</v>
      </c>
      <c r="K1676" s="11">
        <v>-17.9279460906982</v>
      </c>
      <c r="L1676" s="11" t="s">
        <v>1061</v>
      </c>
      <c r="M1676" s="11" t="s">
        <v>1061</v>
      </c>
      <c r="N1676" s="11" t="s">
        <v>2900</v>
      </c>
      <c r="O1676" s="11" t="s">
        <v>1566</v>
      </c>
    </row>
    <row r="1677">
      <c r="A1677" s="11">
        <v>27.7064971923828</v>
      </c>
      <c r="B1677" s="11">
        <v>-45.5081977844238</v>
      </c>
      <c r="C1677" s="11" t="s">
        <v>1061</v>
      </c>
      <c r="D1677" s="11" t="s">
        <v>1061</v>
      </c>
      <c r="E1677" s="11" t="s">
        <v>2900</v>
      </c>
      <c r="F1677" s="11" t="s">
        <v>1584</v>
      </c>
      <c r="J1677" s="11">
        <v>-14.6202201843261</v>
      </c>
      <c r="K1677" s="11">
        <v>-25.5072975158691</v>
      </c>
      <c r="L1677" s="11" t="s">
        <v>1061</v>
      </c>
      <c r="M1677" s="11" t="s">
        <v>1061</v>
      </c>
      <c r="N1677" s="11" t="s">
        <v>2900</v>
      </c>
      <c r="O1677" s="11" t="s">
        <v>1584</v>
      </c>
    </row>
    <row r="1678">
      <c r="A1678" s="11">
        <v>44.3178443908691</v>
      </c>
      <c r="B1678" s="11">
        <v>-47.6804809570312</v>
      </c>
      <c r="C1678" s="11" t="s">
        <v>1061</v>
      </c>
      <c r="D1678" s="11" t="s">
        <v>1061</v>
      </c>
      <c r="E1678" s="11" t="s">
        <v>2900</v>
      </c>
      <c r="F1678" s="11" t="s">
        <v>1597</v>
      </c>
      <c r="J1678" s="11">
        <v>-57.2442398071289</v>
      </c>
      <c r="K1678" s="11">
        <v>-2.02391529083251</v>
      </c>
      <c r="L1678" s="11" t="s">
        <v>1061</v>
      </c>
      <c r="M1678" s="11" t="s">
        <v>1061</v>
      </c>
      <c r="N1678" s="11" t="s">
        <v>2900</v>
      </c>
      <c r="O1678" s="11" t="s">
        <v>1597</v>
      </c>
    </row>
    <row r="1679">
      <c r="A1679" s="11">
        <v>39.8382148742675</v>
      </c>
      <c r="B1679" s="11">
        <v>-46.4819869995117</v>
      </c>
      <c r="C1679" s="11" t="s">
        <v>1061</v>
      </c>
      <c r="D1679" s="11" t="s">
        <v>1061</v>
      </c>
      <c r="E1679" s="11" t="s">
        <v>2900</v>
      </c>
      <c r="F1679" s="11" t="s">
        <v>1626</v>
      </c>
      <c r="J1679" s="11">
        <v>-53.4032974243164</v>
      </c>
      <c r="K1679" s="11">
        <v>0.952609896659851</v>
      </c>
      <c r="L1679" s="11" t="s">
        <v>1061</v>
      </c>
      <c r="M1679" s="11" t="s">
        <v>1061</v>
      </c>
      <c r="N1679" s="11" t="s">
        <v>2900</v>
      </c>
      <c r="O1679" s="11" t="s">
        <v>1626</v>
      </c>
    </row>
    <row r="1680">
      <c r="A1680" s="11">
        <v>40.8927955627441</v>
      </c>
      <c r="B1680" s="11">
        <v>-32.4705619812011</v>
      </c>
      <c r="C1680" s="11" t="s">
        <v>1061</v>
      </c>
      <c r="D1680" s="11" t="s">
        <v>1061</v>
      </c>
      <c r="E1680" s="11" t="s">
        <v>2900</v>
      </c>
      <c r="F1680" s="11" t="s">
        <v>1638</v>
      </c>
      <c r="J1680" s="11">
        <v>-55.7642707824707</v>
      </c>
      <c r="K1680" s="11">
        <v>0.926928281784057</v>
      </c>
      <c r="L1680" s="11" t="s">
        <v>1061</v>
      </c>
      <c r="M1680" s="11" t="s">
        <v>1061</v>
      </c>
      <c r="N1680" s="11" t="s">
        <v>2900</v>
      </c>
      <c r="O1680" s="11" t="s">
        <v>1638</v>
      </c>
    </row>
    <row r="1681">
      <c r="A1681" s="11">
        <v>45.1618041992187</v>
      </c>
      <c r="B1681" s="11">
        <v>-31.4393081665039</v>
      </c>
      <c r="C1681" s="11" t="s">
        <v>1061</v>
      </c>
      <c r="D1681" s="11" t="s">
        <v>1061</v>
      </c>
      <c r="E1681" s="11" t="s">
        <v>2900</v>
      </c>
      <c r="F1681" s="11" t="s">
        <v>1721</v>
      </c>
      <c r="J1681" s="11">
        <v>-51.0162010192871</v>
      </c>
      <c r="K1681" s="11">
        <v>-0.519455850124359</v>
      </c>
      <c r="L1681" s="11" t="s">
        <v>1061</v>
      </c>
      <c r="M1681" s="11" t="s">
        <v>1061</v>
      </c>
      <c r="N1681" s="11" t="s">
        <v>2900</v>
      </c>
      <c r="O1681" s="11" t="s">
        <v>1721</v>
      </c>
    </row>
    <row r="1682">
      <c r="A1682" s="11">
        <v>44.3812103271484</v>
      </c>
      <c r="B1682" s="11">
        <v>-23.800214767456</v>
      </c>
      <c r="C1682" s="11" t="s">
        <v>1061</v>
      </c>
      <c r="D1682" s="11" t="s">
        <v>1061</v>
      </c>
      <c r="E1682" s="11" t="s">
        <v>2900</v>
      </c>
      <c r="F1682" s="11" t="s">
        <v>1726</v>
      </c>
      <c r="J1682" s="11">
        <v>-55.1619567871093</v>
      </c>
      <c r="K1682" s="11">
        <v>8.51111602783203</v>
      </c>
      <c r="L1682" s="11" t="s">
        <v>1061</v>
      </c>
      <c r="M1682" s="11" t="s">
        <v>1061</v>
      </c>
      <c r="N1682" s="11" t="s">
        <v>2900</v>
      </c>
      <c r="O1682" s="11" t="s">
        <v>1726</v>
      </c>
    </row>
    <row r="1683">
      <c r="A1683" s="11">
        <v>41.0300140380859</v>
      </c>
      <c r="B1683" s="11">
        <v>-55.4097595214843</v>
      </c>
      <c r="C1683" s="11" t="s">
        <v>1061</v>
      </c>
      <c r="D1683" s="11" t="s">
        <v>1061</v>
      </c>
      <c r="E1683" s="11" t="s">
        <v>2900</v>
      </c>
      <c r="F1683" s="11" t="s">
        <v>1782</v>
      </c>
      <c r="J1683" s="11">
        <v>-50.8609809875488</v>
      </c>
      <c r="K1683" s="11">
        <v>-3.95846390724182</v>
      </c>
      <c r="L1683" s="11" t="s">
        <v>1061</v>
      </c>
      <c r="M1683" s="11" t="s">
        <v>1061</v>
      </c>
      <c r="N1683" s="11" t="s">
        <v>2900</v>
      </c>
      <c r="O1683" s="11" t="s">
        <v>1782</v>
      </c>
    </row>
    <row r="1684">
      <c r="A1684" s="11">
        <v>55.8676452636718</v>
      </c>
      <c r="B1684" s="11">
        <v>21.107608795166</v>
      </c>
      <c r="C1684" s="11" t="s">
        <v>1061</v>
      </c>
      <c r="D1684" s="11" t="s">
        <v>1061</v>
      </c>
      <c r="E1684" s="11" t="s">
        <v>2900</v>
      </c>
      <c r="F1684" s="11" t="s">
        <v>1852</v>
      </c>
      <c r="J1684" s="11">
        <v>-42.7163772583007</v>
      </c>
      <c r="K1684" s="11">
        <v>7.48837566375732</v>
      </c>
      <c r="L1684" s="11" t="s">
        <v>1061</v>
      </c>
      <c r="M1684" s="11" t="s">
        <v>1061</v>
      </c>
      <c r="N1684" s="11" t="s">
        <v>2900</v>
      </c>
      <c r="O1684" s="11" t="s">
        <v>1852</v>
      </c>
    </row>
    <row r="1685">
      <c r="A1685" s="11">
        <v>52.2291946411132</v>
      </c>
      <c r="B1685" s="11">
        <v>-25.5189781188964</v>
      </c>
      <c r="C1685" s="11" t="s">
        <v>1061</v>
      </c>
      <c r="D1685" s="11" t="s">
        <v>1061</v>
      </c>
      <c r="E1685" s="11" t="s">
        <v>2900</v>
      </c>
      <c r="F1685" s="11" t="s">
        <v>1874</v>
      </c>
      <c r="J1685" s="11">
        <v>-45.7227249145507</v>
      </c>
      <c r="K1685" s="11">
        <v>2.92641377449035</v>
      </c>
      <c r="L1685" s="11" t="s">
        <v>1061</v>
      </c>
      <c r="M1685" s="11" t="s">
        <v>1061</v>
      </c>
      <c r="N1685" s="11" t="s">
        <v>2900</v>
      </c>
      <c r="O1685" s="11" t="s">
        <v>1874</v>
      </c>
    </row>
    <row r="1686">
      <c r="A1686" s="11">
        <v>48.2353019714355</v>
      </c>
      <c r="B1686" s="11">
        <v>-27.9724140167236</v>
      </c>
      <c r="C1686" s="11" t="s">
        <v>1061</v>
      </c>
      <c r="D1686" s="11" t="s">
        <v>1061</v>
      </c>
      <c r="E1686" s="11" t="s">
        <v>2900</v>
      </c>
      <c r="F1686" s="11" t="s">
        <v>1878</v>
      </c>
      <c r="J1686" s="11">
        <v>-52.981876373291</v>
      </c>
      <c r="K1686" s="11">
        <v>3.09535479545593</v>
      </c>
      <c r="L1686" s="11" t="s">
        <v>1061</v>
      </c>
      <c r="M1686" s="11" t="s">
        <v>1061</v>
      </c>
      <c r="N1686" s="11" t="s">
        <v>2900</v>
      </c>
      <c r="O1686" s="11" t="s">
        <v>1878</v>
      </c>
    </row>
    <row r="1687">
      <c r="A1687" s="11">
        <v>32.0809745788574</v>
      </c>
      <c r="B1687" s="11">
        <v>-50.5991096496582</v>
      </c>
      <c r="C1687" s="11" t="s">
        <v>1061</v>
      </c>
      <c r="D1687" s="11" t="s">
        <v>1061</v>
      </c>
      <c r="E1687" s="11" t="s">
        <v>2900</v>
      </c>
      <c r="F1687" s="11" t="s">
        <v>1882</v>
      </c>
      <c r="J1687" s="11">
        <v>18.3982677459716</v>
      </c>
      <c r="K1687" s="11">
        <v>2.05989813804626</v>
      </c>
      <c r="L1687" s="11" t="s">
        <v>1061</v>
      </c>
      <c r="M1687" s="11" t="s">
        <v>1061</v>
      </c>
      <c r="N1687" s="11" t="s">
        <v>2900</v>
      </c>
      <c r="O1687" s="11" t="s">
        <v>1882</v>
      </c>
    </row>
    <row r="1688">
      <c r="A1688" s="11">
        <v>39.930809020996</v>
      </c>
      <c r="B1688" s="11">
        <v>-37.0293960571289</v>
      </c>
      <c r="C1688" s="11" t="s">
        <v>1061</v>
      </c>
      <c r="D1688" s="11" t="s">
        <v>1061</v>
      </c>
      <c r="E1688" s="11" t="s">
        <v>2900</v>
      </c>
      <c r="F1688" s="11" t="s">
        <v>1911</v>
      </c>
      <c r="J1688" s="11">
        <v>-56.3337936401367</v>
      </c>
      <c r="K1688" s="11">
        <v>-0.867850542068481</v>
      </c>
      <c r="L1688" s="11" t="s">
        <v>1061</v>
      </c>
      <c r="M1688" s="11" t="s">
        <v>1061</v>
      </c>
      <c r="N1688" s="11" t="s">
        <v>2900</v>
      </c>
      <c r="O1688" s="11" t="s">
        <v>1911</v>
      </c>
    </row>
    <row r="1689">
      <c r="A1689" s="11">
        <v>37.7532577514648</v>
      </c>
      <c r="B1689" s="11">
        <v>-32.129165649414</v>
      </c>
      <c r="C1689" s="11" t="s">
        <v>1061</v>
      </c>
      <c r="D1689" s="11" t="s">
        <v>1061</v>
      </c>
      <c r="E1689" s="11" t="s">
        <v>2900</v>
      </c>
      <c r="F1689" s="11" t="s">
        <v>1924</v>
      </c>
      <c r="J1689" s="11">
        <v>-55.7037010192871</v>
      </c>
      <c r="K1689" s="11">
        <v>3.14513039588928</v>
      </c>
      <c r="L1689" s="11" t="s">
        <v>1061</v>
      </c>
      <c r="M1689" s="11" t="s">
        <v>1061</v>
      </c>
      <c r="N1689" s="11" t="s">
        <v>2900</v>
      </c>
      <c r="O1689" s="11" t="s">
        <v>1924</v>
      </c>
    </row>
    <row r="1690">
      <c r="A1690" s="11">
        <v>33.0016555786132</v>
      </c>
      <c r="B1690" s="11">
        <v>-43.2183189392089</v>
      </c>
      <c r="C1690" s="11" t="s">
        <v>1061</v>
      </c>
      <c r="D1690" s="11" t="s">
        <v>1061</v>
      </c>
      <c r="E1690" s="11" t="s">
        <v>2900</v>
      </c>
      <c r="F1690" s="11" t="s">
        <v>1964</v>
      </c>
      <c r="J1690" s="11">
        <v>-43.2051239013671</v>
      </c>
      <c r="K1690" s="11">
        <v>2.89436745643615</v>
      </c>
      <c r="L1690" s="11" t="s">
        <v>1061</v>
      </c>
      <c r="M1690" s="11" t="s">
        <v>1061</v>
      </c>
      <c r="N1690" s="11" t="s">
        <v>2900</v>
      </c>
      <c r="O1690" s="11" t="s">
        <v>1964</v>
      </c>
    </row>
    <row r="1691">
      <c r="A1691" s="11">
        <v>28.7678966522216</v>
      </c>
      <c r="B1691" s="11">
        <v>-54.0193061828613</v>
      </c>
      <c r="C1691" s="11" t="s">
        <v>1061</v>
      </c>
      <c r="D1691" s="11" t="s">
        <v>1061</v>
      </c>
      <c r="E1691" s="11" t="s">
        <v>2900</v>
      </c>
      <c r="F1691" s="11" t="s">
        <v>1971</v>
      </c>
      <c r="J1691" s="11">
        <v>-33.4607543945312</v>
      </c>
      <c r="K1691" s="11">
        <v>6.75300359725952</v>
      </c>
      <c r="L1691" s="11" t="s">
        <v>1061</v>
      </c>
      <c r="M1691" s="11" t="s">
        <v>1061</v>
      </c>
      <c r="N1691" s="11" t="s">
        <v>2900</v>
      </c>
      <c r="O1691" s="11" t="s">
        <v>1971</v>
      </c>
    </row>
    <row r="1692">
      <c r="A1692" s="11">
        <v>34.4136009216308</v>
      </c>
      <c r="B1692" s="11">
        <v>-38.3722038269043</v>
      </c>
      <c r="C1692" s="11" t="s">
        <v>1061</v>
      </c>
      <c r="D1692" s="11" t="s">
        <v>1061</v>
      </c>
      <c r="E1692" s="11" t="s">
        <v>2900</v>
      </c>
      <c r="F1692" s="11" t="s">
        <v>2079</v>
      </c>
      <c r="J1692" s="11">
        <v>-54.6242485046386</v>
      </c>
      <c r="K1692" s="11">
        <v>-1.04587423801422</v>
      </c>
      <c r="L1692" s="11" t="s">
        <v>1061</v>
      </c>
      <c r="M1692" s="11" t="s">
        <v>1061</v>
      </c>
      <c r="N1692" s="11" t="s">
        <v>2900</v>
      </c>
      <c r="O1692" s="11" t="s">
        <v>2079</v>
      </c>
    </row>
    <row r="1693">
      <c r="A1693" s="11">
        <v>35.918170928955</v>
      </c>
      <c r="B1693" s="11">
        <v>-46.9384994506835</v>
      </c>
      <c r="C1693" s="11" t="s">
        <v>1061</v>
      </c>
      <c r="D1693" s="11" t="s">
        <v>1061</v>
      </c>
      <c r="E1693" s="11" t="s">
        <v>2900</v>
      </c>
      <c r="F1693" s="11" t="s">
        <v>2120</v>
      </c>
      <c r="J1693" s="11">
        <v>-54.4712409973144</v>
      </c>
      <c r="K1693" s="11">
        <v>5.28086709976196</v>
      </c>
      <c r="L1693" s="11" t="s">
        <v>1061</v>
      </c>
      <c r="M1693" s="11" t="s">
        <v>1061</v>
      </c>
      <c r="N1693" s="11" t="s">
        <v>2900</v>
      </c>
      <c r="O1693" s="11" t="s">
        <v>2120</v>
      </c>
    </row>
    <row r="1694">
      <c r="A1694" s="11">
        <v>42.8705444335937</v>
      </c>
      <c r="B1694" s="11">
        <v>-51.4737281799316</v>
      </c>
      <c r="C1694" s="11" t="s">
        <v>1515</v>
      </c>
      <c r="D1694" s="11" t="s">
        <v>1515</v>
      </c>
      <c r="E1694" s="11" t="s">
        <v>2900</v>
      </c>
      <c r="F1694" s="11" t="s">
        <v>2256</v>
      </c>
      <c r="J1694" s="11">
        <v>-50.3555488586425</v>
      </c>
      <c r="K1694" s="11">
        <v>2.24255681037902</v>
      </c>
      <c r="L1694" s="11" t="s">
        <v>1515</v>
      </c>
      <c r="M1694" s="11" t="s">
        <v>1515</v>
      </c>
      <c r="N1694" s="11" t="s">
        <v>2900</v>
      </c>
      <c r="O1694" s="11" t="s">
        <v>2256</v>
      </c>
    </row>
    <row r="1695">
      <c r="A1695" s="11">
        <v>43.6018104553222</v>
      </c>
      <c r="B1695" s="11">
        <v>-36.4159660339355</v>
      </c>
      <c r="C1695" s="11" t="s">
        <v>1515</v>
      </c>
      <c r="D1695" s="11" t="s">
        <v>1515</v>
      </c>
      <c r="E1695" s="11" t="s">
        <v>2900</v>
      </c>
      <c r="F1695" s="11" t="s">
        <v>2306</v>
      </c>
      <c r="J1695" s="11">
        <v>-56.0475997924804</v>
      </c>
      <c r="K1695" s="11">
        <v>-4.08758783340454</v>
      </c>
      <c r="L1695" s="11" t="s">
        <v>1515</v>
      </c>
      <c r="M1695" s="11" t="s">
        <v>1515</v>
      </c>
      <c r="N1695" s="11" t="s">
        <v>2900</v>
      </c>
      <c r="O1695" s="11" t="s">
        <v>2306</v>
      </c>
    </row>
    <row r="1696">
      <c r="A1696" s="11">
        <v>41.2360649108886</v>
      </c>
      <c r="B1696" s="11">
        <v>-55.5783920288085</v>
      </c>
      <c r="C1696" s="11" t="s">
        <v>1515</v>
      </c>
      <c r="D1696" s="11" t="s">
        <v>1515</v>
      </c>
      <c r="E1696" s="11" t="s">
        <v>2900</v>
      </c>
      <c r="F1696" s="11" t="s">
        <v>2453</v>
      </c>
      <c r="J1696" s="11">
        <v>-50.8218193054199</v>
      </c>
      <c r="K1696" s="11">
        <v>-3.97597050666809</v>
      </c>
      <c r="L1696" s="11" t="s">
        <v>1515</v>
      </c>
      <c r="M1696" s="11" t="s">
        <v>1515</v>
      </c>
      <c r="N1696" s="11" t="s">
        <v>2900</v>
      </c>
      <c r="O1696" s="11" t="s">
        <v>2453</v>
      </c>
    </row>
    <row r="1697">
      <c r="A1697" s="11">
        <v>32.0471496582031</v>
      </c>
      <c r="B1697" s="11">
        <v>-50.8444595336914</v>
      </c>
      <c r="C1697" s="11" t="s">
        <v>1515</v>
      </c>
      <c r="D1697" s="11" t="s">
        <v>1515</v>
      </c>
      <c r="E1697" s="11" t="s">
        <v>2900</v>
      </c>
      <c r="F1697" s="11" t="s">
        <v>2469</v>
      </c>
      <c r="J1697" s="11">
        <v>18.3982372283935</v>
      </c>
      <c r="K1697" s="11">
        <v>2.05948781967163</v>
      </c>
      <c r="L1697" s="11" t="s">
        <v>1515</v>
      </c>
      <c r="M1697" s="11" t="s">
        <v>1515</v>
      </c>
      <c r="N1697" s="11" t="s">
        <v>2900</v>
      </c>
      <c r="O1697" s="11" t="s">
        <v>2469</v>
      </c>
    </row>
    <row r="1698">
      <c r="A1698" s="11">
        <v>48.6096649169921</v>
      </c>
      <c r="B1698" s="11">
        <v>-28.0896587371826</v>
      </c>
      <c r="C1698" s="11" t="s">
        <v>1515</v>
      </c>
      <c r="D1698" s="11" t="s">
        <v>1515</v>
      </c>
      <c r="E1698" s="11" t="s">
        <v>2900</v>
      </c>
      <c r="F1698" s="11" t="s">
        <v>2473</v>
      </c>
      <c r="J1698" s="11">
        <v>-53.0382385253906</v>
      </c>
      <c r="K1698" s="11">
        <v>3.1175410747528</v>
      </c>
      <c r="L1698" s="11" t="s">
        <v>1515</v>
      </c>
      <c r="M1698" s="11" t="s">
        <v>1515</v>
      </c>
      <c r="N1698" s="11" t="s">
        <v>2900</v>
      </c>
      <c r="O1698" s="11" t="s">
        <v>2473</v>
      </c>
    </row>
    <row r="1699">
      <c r="A1699" s="11">
        <v>37.6431884765625</v>
      </c>
      <c r="B1699" s="11">
        <v>-31.7959537506103</v>
      </c>
      <c r="C1699" s="11" t="s">
        <v>1515</v>
      </c>
      <c r="D1699" s="11" t="s">
        <v>1515</v>
      </c>
      <c r="E1699" s="11" t="s">
        <v>2900</v>
      </c>
      <c r="F1699" s="11" t="s">
        <v>2476</v>
      </c>
      <c r="J1699" s="11">
        <v>-55.7237243652343</v>
      </c>
      <c r="K1699" s="11">
        <v>3.17839574813842</v>
      </c>
      <c r="L1699" s="11" t="s">
        <v>1515</v>
      </c>
      <c r="M1699" s="11" t="s">
        <v>1515</v>
      </c>
      <c r="N1699" s="11" t="s">
        <v>2900</v>
      </c>
      <c r="O1699" s="11" t="s">
        <v>2476</v>
      </c>
    </row>
    <row r="1700">
      <c r="A1700" s="11">
        <v>43.9798202514648</v>
      </c>
      <c r="B1700" s="11">
        <v>-47.6445541381835</v>
      </c>
      <c r="C1700" s="11" t="s">
        <v>1515</v>
      </c>
      <c r="D1700" s="11" t="s">
        <v>1515</v>
      </c>
      <c r="E1700" s="11" t="s">
        <v>2900</v>
      </c>
      <c r="F1700" s="11" t="s">
        <v>2481</v>
      </c>
      <c r="J1700" s="11">
        <v>-57.4660491943359</v>
      </c>
      <c r="K1700" s="11">
        <v>-2.17009353637695</v>
      </c>
      <c r="L1700" s="11" t="s">
        <v>1515</v>
      </c>
      <c r="M1700" s="11" t="s">
        <v>1515</v>
      </c>
      <c r="N1700" s="11" t="s">
        <v>2900</v>
      </c>
      <c r="O1700" s="11" t="s">
        <v>2481</v>
      </c>
    </row>
    <row r="1701">
      <c r="A1701" s="11">
        <v>52.4942550659179</v>
      </c>
      <c r="B1701" s="11">
        <v>-25.6584930419921</v>
      </c>
      <c r="C1701" s="11" t="s">
        <v>1515</v>
      </c>
      <c r="D1701" s="11" t="s">
        <v>1515</v>
      </c>
      <c r="E1701" s="11" t="s">
        <v>2900</v>
      </c>
      <c r="F1701" s="11" t="s">
        <v>2483</v>
      </c>
      <c r="J1701" s="11">
        <v>-45.7529144287109</v>
      </c>
      <c r="K1701" s="11">
        <v>2.77124905586242</v>
      </c>
      <c r="L1701" s="11" t="s">
        <v>1515</v>
      </c>
      <c r="M1701" s="11" t="s">
        <v>1515</v>
      </c>
      <c r="N1701" s="11" t="s">
        <v>2900</v>
      </c>
      <c r="O1701" s="11" t="s">
        <v>2483</v>
      </c>
    </row>
    <row r="1702">
      <c r="A1702" s="11">
        <v>28.6593570709228</v>
      </c>
      <c r="B1702" s="11">
        <v>-53.9899215698242</v>
      </c>
      <c r="C1702" s="11" t="s">
        <v>1515</v>
      </c>
      <c r="D1702" s="11" t="s">
        <v>1515</v>
      </c>
      <c r="E1702" s="11" t="s">
        <v>2900</v>
      </c>
      <c r="F1702" s="11" t="s">
        <v>2485</v>
      </c>
      <c r="J1702" s="11">
        <v>17.1648712158203</v>
      </c>
      <c r="K1702" s="11">
        <v>-3.38913893699646</v>
      </c>
      <c r="L1702" s="11" t="s">
        <v>1515</v>
      </c>
      <c r="M1702" s="11" t="s">
        <v>1515</v>
      </c>
      <c r="N1702" s="11" t="s">
        <v>2900</v>
      </c>
      <c r="O1702" s="11" t="s">
        <v>2485</v>
      </c>
    </row>
    <row r="1703">
      <c r="A1703" s="11">
        <v>45.4352188110351</v>
      </c>
      <c r="B1703" s="11">
        <v>-31.194444656372</v>
      </c>
      <c r="C1703" s="11" t="s">
        <v>1515</v>
      </c>
      <c r="D1703" s="11" t="s">
        <v>1515</v>
      </c>
      <c r="E1703" s="11" t="s">
        <v>2900</v>
      </c>
      <c r="F1703" s="11" t="s">
        <v>2486</v>
      </c>
      <c r="J1703" s="11">
        <v>-50.9868392944335</v>
      </c>
      <c r="K1703" s="11">
        <v>-0.547193944454193</v>
      </c>
      <c r="L1703" s="11" t="s">
        <v>1515</v>
      </c>
      <c r="M1703" s="11" t="s">
        <v>1515</v>
      </c>
      <c r="N1703" s="11" t="s">
        <v>2900</v>
      </c>
      <c r="O1703" s="11" t="s">
        <v>2486</v>
      </c>
    </row>
    <row r="1704">
      <c r="A1704" s="11">
        <v>32.7263832092285</v>
      </c>
      <c r="B1704" s="11">
        <v>-26.2069873809814</v>
      </c>
      <c r="C1704" s="11" t="s">
        <v>1515</v>
      </c>
      <c r="D1704" s="11" t="s">
        <v>1515</v>
      </c>
      <c r="E1704" s="11" t="s">
        <v>2900</v>
      </c>
      <c r="F1704" s="11" t="s">
        <v>2491</v>
      </c>
      <c r="J1704" s="11">
        <v>20.4352111816406</v>
      </c>
      <c r="K1704" s="11">
        <v>6.05517578125</v>
      </c>
      <c r="L1704" s="11" t="s">
        <v>1515</v>
      </c>
      <c r="M1704" s="11" t="s">
        <v>1515</v>
      </c>
      <c r="N1704" s="11" t="s">
        <v>2900</v>
      </c>
      <c r="O1704" s="11" t="s">
        <v>2491</v>
      </c>
    </row>
    <row r="1705">
      <c r="A1705" s="11">
        <v>44.5471153259277</v>
      </c>
      <c r="B1705" s="11">
        <v>-27.8020915985107</v>
      </c>
      <c r="C1705" s="11" t="s">
        <v>1515</v>
      </c>
      <c r="D1705" s="11" t="s">
        <v>1515</v>
      </c>
      <c r="E1705" s="11" t="s">
        <v>2900</v>
      </c>
      <c r="F1705" s="11" t="s">
        <v>2492</v>
      </c>
      <c r="J1705" s="11">
        <v>-57.1238479614257</v>
      </c>
      <c r="K1705" s="11">
        <v>5.31224250793457</v>
      </c>
      <c r="L1705" s="11" t="s">
        <v>1515</v>
      </c>
      <c r="M1705" s="11" t="s">
        <v>1515</v>
      </c>
      <c r="N1705" s="11" t="s">
        <v>2900</v>
      </c>
      <c r="O1705" s="11" t="s">
        <v>2492</v>
      </c>
    </row>
    <row r="1706">
      <c r="A1706" s="11">
        <v>41.712791442871</v>
      </c>
      <c r="B1706" s="11">
        <v>-42.2605171203613</v>
      </c>
      <c r="C1706" s="11" t="s">
        <v>1515</v>
      </c>
      <c r="D1706" s="11" t="s">
        <v>1515</v>
      </c>
      <c r="E1706" s="11" t="s">
        <v>2900</v>
      </c>
      <c r="F1706" s="11" t="s">
        <v>2494</v>
      </c>
      <c r="J1706" s="11">
        <v>-59.9063491821289</v>
      </c>
      <c r="K1706" s="11">
        <v>0.04537358507514</v>
      </c>
      <c r="L1706" s="11" t="s">
        <v>1515</v>
      </c>
      <c r="M1706" s="11" t="s">
        <v>1515</v>
      </c>
      <c r="N1706" s="11" t="s">
        <v>2900</v>
      </c>
      <c r="O1706" s="11" t="s">
        <v>2494</v>
      </c>
    </row>
    <row r="1707">
      <c r="A1707" s="11">
        <v>37.6414108276367</v>
      </c>
      <c r="B1707" s="11">
        <v>-41.9808807373046</v>
      </c>
      <c r="C1707" s="11" t="s">
        <v>1515</v>
      </c>
      <c r="D1707" s="11" t="s">
        <v>1515</v>
      </c>
      <c r="E1707" s="11" t="s">
        <v>2900</v>
      </c>
      <c r="F1707" s="11" t="s">
        <v>2496</v>
      </c>
      <c r="J1707" s="11">
        <v>-51.5080261230468</v>
      </c>
      <c r="K1707" s="11">
        <v>6.29330158233642</v>
      </c>
      <c r="L1707" s="11" t="s">
        <v>1515</v>
      </c>
      <c r="M1707" s="11" t="s">
        <v>1515</v>
      </c>
      <c r="N1707" s="11" t="s">
        <v>2900</v>
      </c>
      <c r="O1707" s="11" t="s">
        <v>2496</v>
      </c>
    </row>
    <row r="1708">
      <c r="A1708" s="11">
        <v>34.3802680969238</v>
      </c>
      <c r="B1708" s="11">
        <v>-38.6341285705566</v>
      </c>
      <c r="C1708" s="11" t="s">
        <v>1515</v>
      </c>
      <c r="D1708" s="11" t="s">
        <v>1515</v>
      </c>
      <c r="E1708" s="11" t="s">
        <v>2900</v>
      </c>
      <c r="F1708" s="11" t="s">
        <v>2497</v>
      </c>
      <c r="J1708" s="11">
        <v>-54.1723251342773</v>
      </c>
      <c r="K1708" s="11">
        <v>-1.88124918937683</v>
      </c>
      <c r="L1708" s="11" t="s">
        <v>1515</v>
      </c>
      <c r="M1708" s="11" t="s">
        <v>1515</v>
      </c>
      <c r="N1708" s="11" t="s">
        <v>2900</v>
      </c>
      <c r="O1708" s="11" t="s">
        <v>2497</v>
      </c>
    </row>
    <row r="1709">
      <c r="A1709" s="11">
        <v>37.7226638793945</v>
      </c>
      <c r="B1709" s="11">
        <v>-51.0867652893066</v>
      </c>
      <c r="C1709" s="11" t="s">
        <v>1515</v>
      </c>
      <c r="D1709" s="11" t="s">
        <v>1515</v>
      </c>
      <c r="E1709" s="11" t="s">
        <v>2900</v>
      </c>
      <c r="F1709" s="11" t="s">
        <v>2498</v>
      </c>
      <c r="J1709" s="11">
        <v>-43.6670684814453</v>
      </c>
      <c r="K1709" s="11">
        <v>4.6767578125</v>
      </c>
      <c r="L1709" s="11" t="s">
        <v>1515</v>
      </c>
      <c r="M1709" s="11" t="s">
        <v>1515</v>
      </c>
      <c r="N1709" s="11" t="s">
        <v>2900</v>
      </c>
      <c r="O1709" s="11" t="s">
        <v>2498</v>
      </c>
    </row>
    <row r="1710">
      <c r="A1710" s="11">
        <v>27.4755706787109</v>
      </c>
      <c r="B1710" s="11">
        <v>-45.7821350097656</v>
      </c>
      <c r="C1710" s="11" t="s">
        <v>1515</v>
      </c>
      <c r="D1710" s="11" t="s">
        <v>1515</v>
      </c>
      <c r="E1710" s="11" t="s">
        <v>2900</v>
      </c>
      <c r="F1710" s="11" t="s">
        <v>2499</v>
      </c>
      <c r="J1710" s="11">
        <v>-14.6143589019775</v>
      </c>
      <c r="K1710" s="11">
        <v>-25.506685256958</v>
      </c>
      <c r="L1710" s="11" t="s">
        <v>1515</v>
      </c>
      <c r="M1710" s="11" t="s">
        <v>1515</v>
      </c>
      <c r="N1710" s="11" t="s">
        <v>2900</v>
      </c>
      <c r="O1710" s="11" t="s">
        <v>2499</v>
      </c>
    </row>
    <row r="1711">
      <c r="A1711" s="11">
        <v>39.6506996154785</v>
      </c>
      <c r="B1711" s="11">
        <v>-36.9795875549316</v>
      </c>
      <c r="C1711" s="11" t="s">
        <v>1515</v>
      </c>
      <c r="D1711" s="11" t="s">
        <v>1515</v>
      </c>
      <c r="E1711" s="11" t="s">
        <v>2900</v>
      </c>
      <c r="F1711" s="11" t="s">
        <v>2500</v>
      </c>
      <c r="J1711" s="11">
        <v>-33.6542701721191</v>
      </c>
      <c r="K1711" s="11">
        <v>5.75849151611328</v>
      </c>
      <c r="L1711" s="11" t="s">
        <v>1515</v>
      </c>
      <c r="M1711" s="11" t="s">
        <v>1515</v>
      </c>
      <c r="N1711" s="11" t="s">
        <v>2900</v>
      </c>
      <c r="O1711" s="11" t="s">
        <v>2500</v>
      </c>
    </row>
    <row r="1712">
      <c r="A1712" s="11">
        <v>41.5112953186035</v>
      </c>
      <c r="B1712" s="11">
        <v>-41.3831977844238</v>
      </c>
      <c r="C1712" s="11" t="s">
        <v>1515</v>
      </c>
      <c r="D1712" s="11" t="s">
        <v>1515</v>
      </c>
      <c r="E1712" s="11" t="s">
        <v>2900</v>
      </c>
      <c r="F1712" s="11" t="s">
        <v>2504</v>
      </c>
      <c r="J1712" s="11">
        <v>-60.0688781738281</v>
      </c>
      <c r="K1712" s="11">
        <v>0.149619683623313</v>
      </c>
      <c r="L1712" s="11" t="s">
        <v>1515</v>
      </c>
      <c r="M1712" s="11" t="s">
        <v>1515</v>
      </c>
      <c r="N1712" s="11" t="s">
        <v>2900</v>
      </c>
      <c r="O1712" s="11" t="s">
        <v>2504</v>
      </c>
    </row>
    <row r="1713">
      <c r="A1713" s="11">
        <v>36.1788177490234</v>
      </c>
      <c r="B1713" s="11">
        <v>-46.678482055664</v>
      </c>
      <c r="C1713" s="11" t="s">
        <v>1879</v>
      </c>
      <c r="D1713" s="11" t="s">
        <v>1879</v>
      </c>
      <c r="E1713" s="11" t="s">
        <v>2900</v>
      </c>
      <c r="F1713" s="11" t="s">
        <v>1886</v>
      </c>
      <c r="J1713" s="11">
        <v>-54.5298042297363</v>
      </c>
      <c r="K1713" s="11">
        <v>5.15557479858398</v>
      </c>
      <c r="L1713" s="11" t="s">
        <v>1879</v>
      </c>
      <c r="M1713" s="11" t="s">
        <v>1879</v>
      </c>
      <c r="N1713" s="11" t="s">
        <v>2900</v>
      </c>
      <c r="O1713" s="11" t="s">
        <v>1886</v>
      </c>
    </row>
    <row r="1714">
      <c r="A1714" s="11">
        <v>44.6355285644531</v>
      </c>
      <c r="B1714" s="11">
        <v>-28.1660900115966</v>
      </c>
      <c r="C1714" s="11" t="s">
        <v>1879</v>
      </c>
      <c r="D1714" s="11" t="s">
        <v>1879</v>
      </c>
      <c r="E1714" s="11" t="s">
        <v>2900</v>
      </c>
      <c r="F1714" s="11" t="s">
        <v>1896</v>
      </c>
      <c r="J1714" s="11">
        <v>-57.6295928955078</v>
      </c>
      <c r="K1714" s="11">
        <v>5.16875743865966</v>
      </c>
      <c r="L1714" s="11" t="s">
        <v>1879</v>
      </c>
      <c r="M1714" s="11" t="s">
        <v>1879</v>
      </c>
      <c r="N1714" s="11" t="s">
        <v>2900</v>
      </c>
      <c r="O1714" s="11" t="s">
        <v>1896</v>
      </c>
    </row>
    <row r="1715">
      <c r="A1715" s="11">
        <v>34.6809043884277</v>
      </c>
      <c r="B1715" s="11">
        <v>-38.681468963623</v>
      </c>
      <c r="C1715" s="11" t="s">
        <v>1879</v>
      </c>
      <c r="D1715" s="11" t="s">
        <v>1879</v>
      </c>
      <c r="E1715" s="11" t="s">
        <v>2900</v>
      </c>
      <c r="F1715" s="11" t="s">
        <v>1905</v>
      </c>
      <c r="J1715" s="11">
        <v>-54.7505416870117</v>
      </c>
      <c r="K1715" s="11">
        <v>-0.847335994243621</v>
      </c>
      <c r="L1715" s="11" t="s">
        <v>1879</v>
      </c>
      <c r="M1715" s="11" t="s">
        <v>1879</v>
      </c>
      <c r="N1715" s="11" t="s">
        <v>2900</v>
      </c>
      <c r="O1715" s="11" t="s">
        <v>1905</v>
      </c>
    </row>
    <row r="1716">
      <c r="A1716" s="11">
        <v>28.2715969085693</v>
      </c>
      <c r="B1716" s="11">
        <v>-53.9500732421875</v>
      </c>
      <c r="C1716" s="11" t="s">
        <v>1879</v>
      </c>
      <c r="D1716" s="11" t="s">
        <v>1879</v>
      </c>
      <c r="E1716" s="11" t="s">
        <v>2900</v>
      </c>
      <c r="F1716" s="11" t="s">
        <v>1933</v>
      </c>
      <c r="J1716" s="11">
        <v>17.1646499633789</v>
      </c>
      <c r="K1716" s="11">
        <v>-3.39016771316528</v>
      </c>
      <c r="L1716" s="11" t="s">
        <v>1879</v>
      </c>
      <c r="M1716" s="11" t="s">
        <v>1879</v>
      </c>
      <c r="N1716" s="11" t="s">
        <v>2900</v>
      </c>
      <c r="O1716" s="11" t="s">
        <v>1933</v>
      </c>
    </row>
    <row r="1717">
      <c r="A1717" s="11">
        <v>48.3081283569335</v>
      </c>
      <c r="B1717" s="11">
        <v>-28.3743152618408</v>
      </c>
      <c r="C1717" s="11" t="s">
        <v>1879</v>
      </c>
      <c r="D1717" s="11" t="s">
        <v>1879</v>
      </c>
      <c r="E1717" s="11" t="s">
        <v>2900</v>
      </c>
      <c r="F1717" s="11" t="s">
        <v>1946</v>
      </c>
      <c r="J1717" s="11">
        <v>-53.5171356201171</v>
      </c>
      <c r="K1717" s="11">
        <v>3.04399704933166</v>
      </c>
      <c r="L1717" s="11" t="s">
        <v>1879</v>
      </c>
      <c r="M1717" s="11" t="s">
        <v>1879</v>
      </c>
      <c r="N1717" s="11" t="s">
        <v>2900</v>
      </c>
      <c r="O1717" s="11" t="s">
        <v>1946</v>
      </c>
    </row>
    <row r="1718">
      <c r="A1718" s="11">
        <v>37.2096290588378</v>
      </c>
      <c r="B1718" s="11">
        <v>-41.9324417114257</v>
      </c>
      <c r="C1718" s="11" t="s">
        <v>1879</v>
      </c>
      <c r="D1718" s="11" t="s">
        <v>1879</v>
      </c>
      <c r="E1718" s="11" t="s">
        <v>2900</v>
      </c>
      <c r="F1718" s="11" t="s">
        <v>1953</v>
      </c>
      <c r="J1718" s="11">
        <v>-51.8421783447265</v>
      </c>
      <c r="K1718" s="11">
        <v>5.65662288665771</v>
      </c>
      <c r="L1718" s="11" t="s">
        <v>1879</v>
      </c>
      <c r="M1718" s="11" t="s">
        <v>1879</v>
      </c>
      <c r="N1718" s="11" t="s">
        <v>2900</v>
      </c>
      <c r="O1718" s="11" t="s">
        <v>1953</v>
      </c>
    </row>
    <row r="1719">
      <c r="A1719" s="11">
        <v>44.339729309082</v>
      </c>
      <c r="B1719" s="11">
        <v>-42.9673156738281</v>
      </c>
      <c r="C1719" s="11" t="s">
        <v>1879</v>
      </c>
      <c r="D1719" s="11" t="s">
        <v>1879</v>
      </c>
      <c r="E1719" s="11" t="s">
        <v>2900</v>
      </c>
      <c r="F1719" s="11" t="s">
        <v>1966</v>
      </c>
      <c r="J1719" s="11">
        <v>-58.4940757751464</v>
      </c>
      <c r="K1719" s="11">
        <v>0.138916239142417</v>
      </c>
      <c r="L1719" s="11" t="s">
        <v>1879</v>
      </c>
      <c r="M1719" s="11" t="s">
        <v>1879</v>
      </c>
      <c r="N1719" s="11" t="s">
        <v>2900</v>
      </c>
      <c r="O1719" s="11" t="s">
        <v>1966</v>
      </c>
    </row>
    <row r="1720">
      <c r="A1720" s="11">
        <v>47.114028930664</v>
      </c>
      <c r="B1720" s="11">
        <v>-23.7932376861572</v>
      </c>
      <c r="C1720" s="11" t="s">
        <v>1879</v>
      </c>
      <c r="D1720" s="11" t="s">
        <v>1879</v>
      </c>
      <c r="E1720" s="11" t="s">
        <v>2900</v>
      </c>
      <c r="F1720" s="11" t="s">
        <v>1979</v>
      </c>
      <c r="J1720" s="11">
        <v>-57.6642303466796</v>
      </c>
      <c r="K1720" s="11">
        <v>10.4894485473632</v>
      </c>
      <c r="L1720" s="11" t="s">
        <v>1879</v>
      </c>
      <c r="M1720" s="11" t="s">
        <v>1879</v>
      </c>
      <c r="N1720" s="11" t="s">
        <v>2900</v>
      </c>
      <c r="O1720" s="11" t="s">
        <v>1979</v>
      </c>
    </row>
    <row r="1721">
      <c r="A1721" s="11">
        <v>44.2364082336425</v>
      </c>
      <c r="B1721" s="11">
        <v>-47.3574409484863</v>
      </c>
      <c r="C1721" s="11" t="s">
        <v>1879</v>
      </c>
      <c r="D1721" s="11" t="s">
        <v>1879</v>
      </c>
      <c r="E1721" s="11" t="s">
        <v>2900</v>
      </c>
      <c r="F1721" s="11" t="s">
        <v>1988</v>
      </c>
      <c r="J1721" s="11">
        <v>-57.7302513122558</v>
      </c>
      <c r="K1721" s="11">
        <v>-2.15460395812988</v>
      </c>
      <c r="L1721" s="11" t="s">
        <v>1879</v>
      </c>
      <c r="M1721" s="11" t="s">
        <v>1879</v>
      </c>
      <c r="N1721" s="11" t="s">
        <v>2900</v>
      </c>
      <c r="O1721" s="11" t="s">
        <v>1988</v>
      </c>
    </row>
    <row r="1722">
      <c r="A1722" s="11">
        <v>42.9306259155273</v>
      </c>
      <c r="B1722" s="11">
        <v>-42.0596275329589</v>
      </c>
      <c r="C1722" s="11" t="s">
        <v>1879</v>
      </c>
      <c r="D1722" s="11" t="s">
        <v>1879</v>
      </c>
      <c r="E1722" s="11" t="s">
        <v>2900</v>
      </c>
      <c r="F1722" s="11" t="s">
        <v>2014</v>
      </c>
      <c r="J1722" s="11">
        <v>-59.0789222717285</v>
      </c>
      <c r="K1722" s="11">
        <v>0.659961700439453</v>
      </c>
      <c r="L1722" s="11" t="s">
        <v>1879</v>
      </c>
      <c r="M1722" s="11" t="s">
        <v>1879</v>
      </c>
      <c r="N1722" s="11" t="s">
        <v>2900</v>
      </c>
      <c r="O1722" s="11" t="s">
        <v>2014</v>
      </c>
    </row>
    <row r="1723">
      <c r="A1723" s="11">
        <v>32.8591918945312</v>
      </c>
      <c r="B1723" s="11">
        <v>-43.579490661621</v>
      </c>
      <c r="C1723" s="11" t="s">
        <v>1879</v>
      </c>
      <c r="D1723" s="11" t="s">
        <v>1879</v>
      </c>
      <c r="E1723" s="11" t="s">
        <v>2900</v>
      </c>
      <c r="F1723" s="11" t="s">
        <v>2039</v>
      </c>
      <c r="J1723" s="11">
        <v>24.9795455932617</v>
      </c>
      <c r="K1723" s="11">
        <v>-25.7483215332031</v>
      </c>
      <c r="L1723" s="11" t="s">
        <v>1879</v>
      </c>
      <c r="M1723" s="11" t="s">
        <v>1879</v>
      </c>
      <c r="N1723" s="11" t="s">
        <v>2900</v>
      </c>
      <c r="O1723" s="11" t="s">
        <v>2039</v>
      </c>
    </row>
    <row r="1724">
      <c r="A1724" s="11">
        <v>43.9028587341308</v>
      </c>
      <c r="B1724" s="11">
        <v>-36.5802345275878</v>
      </c>
      <c r="C1724" s="11" t="s">
        <v>1879</v>
      </c>
      <c r="D1724" s="11" t="s">
        <v>1879</v>
      </c>
      <c r="E1724" s="11" t="s">
        <v>2900</v>
      </c>
      <c r="F1724" s="11" t="s">
        <v>2101</v>
      </c>
      <c r="J1724" s="11">
        <v>-56.4524040222168</v>
      </c>
      <c r="K1724" s="11">
        <v>-4.70945310592651</v>
      </c>
      <c r="L1724" s="11" t="s">
        <v>1879</v>
      </c>
      <c r="M1724" s="11" t="s">
        <v>1879</v>
      </c>
      <c r="N1724" s="11" t="s">
        <v>2900</v>
      </c>
      <c r="O1724" s="11" t="s">
        <v>2101</v>
      </c>
    </row>
    <row r="1725">
      <c r="A1725" s="11">
        <v>43.2546691894531</v>
      </c>
      <c r="B1725" s="11">
        <v>-51.5334777832031</v>
      </c>
      <c r="C1725" s="11" t="s">
        <v>1879</v>
      </c>
      <c r="D1725" s="11" t="s">
        <v>1879</v>
      </c>
      <c r="E1725" s="11" t="s">
        <v>2900</v>
      </c>
      <c r="F1725" s="11" t="s">
        <v>2109</v>
      </c>
      <c r="J1725" s="11">
        <v>-39.9794654846191</v>
      </c>
      <c r="K1725" s="11">
        <v>16.5516109466552</v>
      </c>
      <c r="L1725" s="11" t="s">
        <v>1879</v>
      </c>
      <c r="M1725" s="11" t="s">
        <v>1879</v>
      </c>
      <c r="N1725" s="11" t="s">
        <v>2900</v>
      </c>
      <c r="O1725" s="11" t="s">
        <v>2109</v>
      </c>
    </row>
    <row r="1726">
      <c r="A1726" s="11">
        <v>32.7156524658203</v>
      </c>
      <c r="B1726" s="11">
        <v>-26.6456604003906</v>
      </c>
      <c r="C1726" s="11" t="s">
        <v>1879</v>
      </c>
      <c r="D1726" s="11" t="s">
        <v>1879</v>
      </c>
      <c r="E1726" s="11" t="s">
        <v>2900</v>
      </c>
      <c r="F1726" s="11" t="s">
        <v>2133</v>
      </c>
      <c r="J1726" s="11">
        <v>20.4347057342529</v>
      </c>
      <c r="K1726" s="11">
        <v>6.05599021911621</v>
      </c>
      <c r="L1726" s="11" t="s">
        <v>1879</v>
      </c>
      <c r="M1726" s="11" t="s">
        <v>1879</v>
      </c>
      <c r="N1726" s="11" t="s">
        <v>2900</v>
      </c>
      <c r="O1726" s="11" t="s">
        <v>2133</v>
      </c>
    </row>
    <row r="1727">
      <c r="A1727" s="11">
        <v>37.9529418945312</v>
      </c>
      <c r="B1727" s="11">
        <v>-31.7857761383056</v>
      </c>
      <c r="C1727" s="11" t="s">
        <v>1879</v>
      </c>
      <c r="D1727" s="11" t="s">
        <v>1879</v>
      </c>
      <c r="E1727" s="11" t="s">
        <v>2900</v>
      </c>
      <c r="F1727" s="11" t="s">
        <v>2143</v>
      </c>
      <c r="J1727" s="11">
        <v>-56.3416290283203</v>
      </c>
      <c r="K1727" s="11">
        <v>2.97913098335266</v>
      </c>
      <c r="L1727" s="11" t="s">
        <v>1879</v>
      </c>
      <c r="M1727" s="11" t="s">
        <v>1879</v>
      </c>
      <c r="N1727" s="11" t="s">
        <v>2900</v>
      </c>
      <c r="O1727" s="11" t="s">
        <v>2143</v>
      </c>
    </row>
    <row r="1728">
      <c r="A1728" s="11">
        <v>45.5062141418457</v>
      </c>
      <c r="B1728" s="11">
        <v>-31.5392112731933</v>
      </c>
      <c r="C1728" s="11" t="s">
        <v>1879</v>
      </c>
      <c r="D1728" s="11" t="s">
        <v>1879</v>
      </c>
      <c r="E1728" s="11" t="s">
        <v>2900</v>
      </c>
      <c r="F1728" s="11" t="s">
        <v>2160</v>
      </c>
      <c r="J1728" s="11">
        <v>-50.7042160034179</v>
      </c>
      <c r="K1728" s="11">
        <v>-0.912275075912475</v>
      </c>
      <c r="L1728" s="11" t="s">
        <v>1879</v>
      </c>
      <c r="M1728" s="11" t="s">
        <v>1879</v>
      </c>
      <c r="N1728" s="11" t="s">
        <v>2900</v>
      </c>
      <c r="O1728" s="11" t="s">
        <v>2160</v>
      </c>
    </row>
    <row r="1729">
      <c r="A1729" s="11">
        <v>44.7037734985351</v>
      </c>
      <c r="B1729" s="11">
        <v>-24.2535133361816</v>
      </c>
      <c r="C1729" s="11" t="s">
        <v>1879</v>
      </c>
      <c r="D1729" s="11" t="s">
        <v>1879</v>
      </c>
      <c r="E1729" s="11" t="s">
        <v>2900</v>
      </c>
      <c r="F1729" s="11" t="s">
        <v>2164</v>
      </c>
      <c r="J1729" s="11">
        <v>-55.8781585693359</v>
      </c>
      <c r="K1729" s="11">
        <v>9.25906562805175</v>
      </c>
      <c r="L1729" s="11" t="s">
        <v>1879</v>
      </c>
      <c r="M1729" s="11" t="s">
        <v>1879</v>
      </c>
      <c r="N1729" s="11" t="s">
        <v>2900</v>
      </c>
      <c r="O1729" s="11" t="s">
        <v>2164</v>
      </c>
    </row>
    <row r="1730">
      <c r="A1730" s="11">
        <v>39.6497001647949</v>
      </c>
      <c r="B1730" s="11">
        <v>-37.2969284057617</v>
      </c>
      <c r="C1730" s="11" t="s">
        <v>1879</v>
      </c>
      <c r="D1730" s="11" t="s">
        <v>1879</v>
      </c>
      <c r="E1730" s="11" t="s">
        <v>2900</v>
      </c>
      <c r="F1730" s="11" t="s">
        <v>2171</v>
      </c>
      <c r="J1730" s="11">
        <v>-56.4243278503418</v>
      </c>
      <c r="K1730" s="11">
        <v>-0.791891753673553</v>
      </c>
      <c r="L1730" s="11" t="s">
        <v>1879</v>
      </c>
      <c r="M1730" s="11" t="s">
        <v>1879</v>
      </c>
      <c r="N1730" s="11" t="s">
        <v>2900</v>
      </c>
      <c r="O1730" s="11" t="s">
        <v>2171</v>
      </c>
    </row>
    <row r="1731">
      <c r="A1731" s="11">
        <v>37.5297126770019</v>
      </c>
      <c r="B1731" s="11">
        <v>-51.3656692504882</v>
      </c>
      <c r="C1731" s="11" t="s">
        <v>1879</v>
      </c>
      <c r="D1731" s="11" t="s">
        <v>1879</v>
      </c>
      <c r="E1731" s="11" t="s">
        <v>2900</v>
      </c>
      <c r="F1731" s="11" t="s">
        <v>2191</v>
      </c>
      <c r="J1731" s="11">
        <v>-29.041051864624</v>
      </c>
      <c r="K1731" s="11">
        <v>-17.9244327545166</v>
      </c>
      <c r="L1731" s="11" t="s">
        <v>1879</v>
      </c>
      <c r="M1731" s="11" t="s">
        <v>1879</v>
      </c>
      <c r="N1731" s="11" t="s">
        <v>2900</v>
      </c>
      <c r="O1731" s="11" t="s">
        <v>2191</v>
      </c>
    </row>
    <row r="1732">
      <c r="A1732" s="11">
        <v>-23.8942813873291</v>
      </c>
      <c r="B1732" s="11">
        <v>12.9804315567016</v>
      </c>
      <c r="C1732" s="11" t="s">
        <v>1879</v>
      </c>
      <c r="D1732" s="11" t="s">
        <v>1879</v>
      </c>
      <c r="E1732" s="11" t="s">
        <v>2900</v>
      </c>
      <c r="F1732" s="11" t="s">
        <v>2413</v>
      </c>
      <c r="J1732" s="11">
        <v>-58.4528656005859</v>
      </c>
      <c r="K1732" s="11">
        <v>0.279713630676269</v>
      </c>
      <c r="L1732" s="11" t="s">
        <v>1879</v>
      </c>
      <c r="M1732" s="11" t="s">
        <v>1879</v>
      </c>
      <c r="N1732" s="11" t="s">
        <v>2900</v>
      </c>
      <c r="O1732" s="11" t="s">
        <v>2413</v>
      </c>
    </row>
    <row r="1733">
      <c r="A1733" s="11">
        <v>37.6640701293945</v>
      </c>
      <c r="B1733" s="11">
        <v>-41.8587112426757</v>
      </c>
      <c r="C1733" s="11" t="s">
        <v>1061</v>
      </c>
      <c r="D1733" s="11" t="s">
        <v>1061</v>
      </c>
      <c r="E1733" s="11" t="s">
        <v>2900</v>
      </c>
      <c r="F1733" s="11" t="s">
        <v>2643</v>
      </c>
      <c r="J1733" s="11">
        <v>-51.4855651855468</v>
      </c>
      <c r="K1733" s="11">
        <v>6.41257715225219</v>
      </c>
      <c r="L1733" s="11" t="s">
        <v>1061</v>
      </c>
      <c r="M1733" s="11" t="s">
        <v>1061</v>
      </c>
      <c r="N1733" s="11" t="s">
        <v>2900</v>
      </c>
      <c r="O1733" s="11" t="s">
        <v>2643</v>
      </c>
    </row>
    <row r="1734">
      <c r="A1734" s="11">
        <v>32.9407730102539</v>
      </c>
      <c r="B1734" s="11">
        <v>-26.2729244232177</v>
      </c>
      <c r="C1734" s="11" t="s">
        <v>1061</v>
      </c>
      <c r="D1734" s="11" t="s">
        <v>1061</v>
      </c>
      <c r="E1734" s="11" t="s">
        <v>2900</v>
      </c>
      <c r="F1734" s="11" t="s">
        <v>2645</v>
      </c>
      <c r="J1734" s="11">
        <v>-52.2426147460937</v>
      </c>
      <c r="K1734" s="11">
        <v>8.23396301269531</v>
      </c>
      <c r="L1734" s="11" t="s">
        <v>1061</v>
      </c>
      <c r="M1734" s="11" t="s">
        <v>1061</v>
      </c>
      <c r="N1734" s="11" t="s">
        <v>2900</v>
      </c>
      <c r="O1734" s="11" t="s">
        <v>2645</v>
      </c>
    </row>
    <row r="1735">
      <c r="A1735" s="11">
        <v>42.8945121765136</v>
      </c>
      <c r="B1735" s="11">
        <v>-51.720832824707</v>
      </c>
      <c r="C1735" s="11" t="s">
        <v>1061</v>
      </c>
      <c r="D1735" s="11" t="s">
        <v>1061</v>
      </c>
      <c r="E1735" s="11" t="s">
        <v>2900</v>
      </c>
      <c r="F1735" s="11" t="s">
        <v>2654</v>
      </c>
      <c r="J1735" s="11">
        <v>-50.367088317871</v>
      </c>
      <c r="K1735" s="11">
        <v>2.23529553413391</v>
      </c>
      <c r="L1735" s="11" t="s">
        <v>1061</v>
      </c>
      <c r="M1735" s="11" t="s">
        <v>1061</v>
      </c>
      <c r="N1735" s="11" t="s">
        <v>2900</v>
      </c>
      <c r="O1735" s="11" t="s">
        <v>2654</v>
      </c>
    </row>
    <row r="1736">
      <c r="A1736" s="11">
        <v>32.6770362854003</v>
      </c>
      <c r="B1736" s="11">
        <v>-43.3055114746093</v>
      </c>
      <c r="C1736" s="11" t="s">
        <v>1515</v>
      </c>
      <c r="D1736" s="11" t="s">
        <v>1515</v>
      </c>
      <c r="E1736" s="11" t="s">
        <v>2900</v>
      </c>
      <c r="F1736" s="11" t="s">
        <v>2704</v>
      </c>
      <c r="J1736" s="11">
        <v>24.9900150299072</v>
      </c>
      <c r="K1736" s="11">
        <v>-25.750259399414</v>
      </c>
      <c r="L1736" s="11" t="s">
        <v>1515</v>
      </c>
      <c r="M1736" s="11" t="s">
        <v>1515</v>
      </c>
      <c r="N1736" s="11" t="s">
        <v>2900</v>
      </c>
      <c r="O1736" s="11" t="s">
        <v>2704</v>
      </c>
    </row>
    <row r="1737">
      <c r="A1737" s="11">
        <v>39.5875511169433</v>
      </c>
      <c r="B1737" s="11">
        <v>-46.5383186340332</v>
      </c>
      <c r="C1737" s="11" t="s">
        <v>1515</v>
      </c>
      <c r="D1737" s="11" t="s">
        <v>1515</v>
      </c>
      <c r="E1737" s="11" t="s">
        <v>2900</v>
      </c>
      <c r="F1737" s="11" t="s">
        <v>2727</v>
      </c>
      <c r="J1737" s="11">
        <v>-53.2794303894043</v>
      </c>
      <c r="K1737" s="11">
        <v>1.01155686378479</v>
      </c>
      <c r="L1737" s="11" t="s">
        <v>1515</v>
      </c>
      <c r="M1737" s="11" t="s">
        <v>1515</v>
      </c>
      <c r="N1737" s="11" t="s">
        <v>2900</v>
      </c>
      <c r="O1737" s="11" t="s">
        <v>2727</v>
      </c>
    </row>
    <row r="1738">
      <c r="A1738" s="11">
        <v>48.0998420715332</v>
      </c>
      <c r="B1738" s="11">
        <v>-21.8442096710205</v>
      </c>
      <c r="C1738" s="11" t="s">
        <v>1515</v>
      </c>
      <c r="D1738" s="11" t="s">
        <v>1515</v>
      </c>
      <c r="E1738" s="11" t="s">
        <v>2900</v>
      </c>
      <c r="F1738" s="11" t="s">
        <v>2730</v>
      </c>
      <c r="J1738" s="11">
        <v>-60.5889587402343</v>
      </c>
      <c r="K1738" s="11">
        <v>9.49919891357421</v>
      </c>
      <c r="L1738" s="11" t="s">
        <v>1515</v>
      </c>
      <c r="M1738" s="11" t="s">
        <v>1515</v>
      </c>
      <c r="N1738" s="11" t="s">
        <v>2900</v>
      </c>
      <c r="O1738" s="11" t="s">
        <v>2730</v>
      </c>
    </row>
    <row r="1739">
      <c r="A1739" s="11">
        <v>27.805004119873</v>
      </c>
      <c r="B1739" s="11">
        <v>-45.8271484375</v>
      </c>
      <c r="C1739" s="11" t="s">
        <v>1879</v>
      </c>
      <c r="D1739" s="11" t="s">
        <v>1879</v>
      </c>
      <c r="E1739" s="11" t="s">
        <v>2900</v>
      </c>
      <c r="F1739" s="11" t="s">
        <v>2288</v>
      </c>
      <c r="J1739" s="11">
        <v>-14.6297025680542</v>
      </c>
      <c r="K1739" s="11">
        <v>-25.4987525939941</v>
      </c>
      <c r="L1739" s="11" t="s">
        <v>1879</v>
      </c>
      <c r="M1739" s="11" t="s">
        <v>1879</v>
      </c>
      <c r="N1739" s="11" t="s">
        <v>2900</v>
      </c>
      <c r="O1739" s="11" t="s">
        <v>2288</v>
      </c>
    </row>
    <row r="1740">
      <c r="A1740" s="11">
        <v>39.5243339538574</v>
      </c>
      <c r="B1740" s="11">
        <v>-46.2185707092285</v>
      </c>
      <c r="C1740" s="11" t="s">
        <v>1879</v>
      </c>
      <c r="D1740" s="11" t="s">
        <v>1879</v>
      </c>
      <c r="E1740" s="11" t="s">
        <v>2900</v>
      </c>
      <c r="F1740" s="11" t="s">
        <v>2301</v>
      </c>
      <c r="J1740" s="11">
        <v>-53.5179100036621</v>
      </c>
      <c r="K1740" s="11">
        <v>0.936950027942657</v>
      </c>
      <c r="L1740" s="11" t="s">
        <v>1879</v>
      </c>
      <c r="M1740" s="11" t="s">
        <v>1879</v>
      </c>
      <c r="N1740" s="11" t="s">
        <v>2900</v>
      </c>
      <c r="O1740" s="11" t="s">
        <v>2301</v>
      </c>
    </row>
    <row r="1741">
      <c r="A1741" s="11">
        <v>52.225170135498</v>
      </c>
      <c r="B1741" s="11">
        <v>-25.9247913360595</v>
      </c>
      <c r="C1741" s="11" t="s">
        <v>1879</v>
      </c>
      <c r="D1741" s="11" t="s">
        <v>1879</v>
      </c>
      <c r="E1741" s="11" t="s">
        <v>2900</v>
      </c>
      <c r="F1741" s="11" t="s">
        <v>2307</v>
      </c>
      <c r="J1741" s="11">
        <v>-45.7614593505859</v>
      </c>
      <c r="K1741" s="11">
        <v>2.95268130302429</v>
      </c>
      <c r="L1741" s="11" t="s">
        <v>1879</v>
      </c>
      <c r="M1741" s="11" t="s">
        <v>1879</v>
      </c>
      <c r="N1741" s="11" t="s">
        <v>2900</v>
      </c>
      <c r="O1741" s="11" t="s">
        <v>2307</v>
      </c>
    </row>
    <row r="1742">
      <c r="A1742" s="11">
        <v>47.043212890625</v>
      </c>
      <c r="B1742" s="11">
        <v>-22.0587120056152</v>
      </c>
      <c r="C1742" s="11" t="s">
        <v>1061</v>
      </c>
      <c r="D1742" s="11" t="s">
        <v>1061</v>
      </c>
      <c r="E1742" s="11" t="s">
        <v>2900</v>
      </c>
      <c r="F1742" s="11" t="s">
        <v>2762</v>
      </c>
      <c r="J1742" s="11">
        <v>-58.6583061218261</v>
      </c>
      <c r="K1742" s="11">
        <v>8.6260929107666</v>
      </c>
      <c r="L1742" s="11" t="s">
        <v>1061</v>
      </c>
      <c r="M1742" s="11" t="s">
        <v>1061</v>
      </c>
      <c r="N1742" s="11" t="s">
        <v>2900</v>
      </c>
      <c r="O1742" s="11" t="s">
        <v>2762</v>
      </c>
    </row>
    <row r="1743">
      <c r="A1743" s="11">
        <v>42.2986526489257</v>
      </c>
      <c r="B1743" s="11">
        <v>-42.9544296264648</v>
      </c>
      <c r="C1743" s="11" t="s">
        <v>1061</v>
      </c>
      <c r="D1743" s="11" t="s">
        <v>1061</v>
      </c>
      <c r="E1743" s="11" t="s">
        <v>2900</v>
      </c>
      <c r="F1743" s="11" t="s">
        <v>2770</v>
      </c>
      <c r="J1743" s="11">
        <v>-59.2473945617675</v>
      </c>
      <c r="K1743" s="11">
        <v>-0.414989978075027</v>
      </c>
      <c r="L1743" s="11" t="s">
        <v>1061</v>
      </c>
      <c r="M1743" s="11" t="s">
        <v>1061</v>
      </c>
      <c r="N1743" s="11" t="s">
        <v>2900</v>
      </c>
      <c r="O1743" s="11" t="s">
        <v>2770</v>
      </c>
    </row>
    <row r="1744">
      <c r="A1744" s="11">
        <v>43.3575439453125</v>
      </c>
      <c r="B1744" s="11">
        <v>-36.4953727722168</v>
      </c>
      <c r="C1744" s="11" t="s">
        <v>1061</v>
      </c>
      <c r="D1744" s="11" t="s">
        <v>1061</v>
      </c>
      <c r="E1744" s="11" t="s">
        <v>2900</v>
      </c>
      <c r="F1744" s="11" t="s">
        <v>2789</v>
      </c>
      <c r="J1744" s="11">
        <v>-55.9995002746582</v>
      </c>
      <c r="K1744" s="11">
        <v>-3.88483071327209</v>
      </c>
      <c r="L1744" s="11" t="s">
        <v>1061</v>
      </c>
      <c r="M1744" s="11" t="s">
        <v>1061</v>
      </c>
      <c r="N1744" s="11" t="s">
        <v>2900</v>
      </c>
      <c r="O1744" s="11" t="s">
        <v>2789</v>
      </c>
    </row>
    <row r="1745">
      <c r="A1745" s="11">
        <v>40.669563293457</v>
      </c>
      <c r="B1745" s="11">
        <v>-32.3012771606445</v>
      </c>
      <c r="C1745" s="11" t="s">
        <v>1515</v>
      </c>
      <c r="D1745" s="11" t="s">
        <v>1515</v>
      </c>
      <c r="E1745" s="11" t="s">
        <v>2900</v>
      </c>
      <c r="F1745" s="11" t="s">
        <v>2810</v>
      </c>
      <c r="J1745" s="11">
        <v>-55.7418746948242</v>
      </c>
      <c r="K1745" s="11">
        <v>0.962256371974945</v>
      </c>
      <c r="L1745" s="11" t="s">
        <v>1515</v>
      </c>
      <c r="M1745" s="11" t="s">
        <v>1515</v>
      </c>
      <c r="N1745" s="11" t="s">
        <v>2900</v>
      </c>
      <c r="O1745" s="11" t="s">
        <v>2810</v>
      </c>
    </row>
    <row r="1746">
      <c r="A1746" s="11">
        <v>44.7389183044433</v>
      </c>
      <c r="B1746" s="11">
        <v>-23.730936050415</v>
      </c>
      <c r="C1746" s="11" t="s">
        <v>1515</v>
      </c>
      <c r="D1746" s="11" t="s">
        <v>1515</v>
      </c>
      <c r="E1746" s="11" t="s">
        <v>2900</v>
      </c>
      <c r="F1746" s="11" t="s">
        <v>2826</v>
      </c>
      <c r="J1746" s="11">
        <v>-55.3379554748535</v>
      </c>
      <c r="K1746" s="11">
        <v>8.69510078430175</v>
      </c>
      <c r="L1746" s="11" t="s">
        <v>1515</v>
      </c>
      <c r="M1746" s="11" t="s">
        <v>1515</v>
      </c>
      <c r="N1746" s="11" t="s">
        <v>2900</v>
      </c>
      <c r="O1746" s="11" t="s">
        <v>2826</v>
      </c>
    </row>
    <row r="1747">
      <c r="A1747" s="11">
        <v>36.2276725769043</v>
      </c>
      <c r="B1747" s="11">
        <v>-47.029727935791</v>
      </c>
      <c r="C1747" s="11" t="s">
        <v>1515</v>
      </c>
      <c r="D1747" s="11" t="s">
        <v>1515</v>
      </c>
      <c r="E1747" s="11" t="s">
        <v>2900</v>
      </c>
      <c r="F1747" s="11" t="s">
        <v>2837</v>
      </c>
      <c r="J1747" s="11">
        <v>-43.5326919555664</v>
      </c>
      <c r="K1747" s="11">
        <v>4.52773571014404</v>
      </c>
      <c r="L1747" s="11" t="s">
        <v>1515</v>
      </c>
      <c r="M1747" s="11" t="s">
        <v>1515</v>
      </c>
      <c r="N1747" s="11" t="s">
        <v>2900</v>
      </c>
      <c r="O1747" s="11" t="s">
        <v>2837</v>
      </c>
    </row>
    <row r="1748">
      <c r="A1748" s="11">
        <v>55.7853317260742</v>
      </c>
      <c r="B1748" s="11">
        <v>21.5476531982421</v>
      </c>
      <c r="C1748" s="11" t="s">
        <v>1515</v>
      </c>
      <c r="D1748" s="11" t="s">
        <v>1515</v>
      </c>
      <c r="E1748" s="11" t="s">
        <v>2900</v>
      </c>
      <c r="F1748" s="11" t="s">
        <v>2838</v>
      </c>
      <c r="J1748" s="11">
        <v>-42.700382232666</v>
      </c>
      <c r="K1748" s="11">
        <v>7.51469850540161</v>
      </c>
      <c r="L1748" s="11" t="s">
        <v>1515</v>
      </c>
      <c r="M1748" s="11" t="s">
        <v>1515</v>
      </c>
      <c r="N1748" s="11" t="s">
        <v>2900</v>
      </c>
      <c r="O1748" s="11" t="s">
        <v>2838</v>
      </c>
    </row>
    <row r="1749">
      <c r="A1749" s="11">
        <v>41.0001144409179</v>
      </c>
      <c r="B1749" s="11">
        <v>-55.8075218200683</v>
      </c>
      <c r="C1749" s="11" t="s">
        <v>1879</v>
      </c>
      <c r="D1749" s="11" t="s">
        <v>1879</v>
      </c>
      <c r="E1749" s="11" t="s">
        <v>2900</v>
      </c>
      <c r="F1749" s="11" t="s">
        <v>2377</v>
      </c>
      <c r="J1749" s="11">
        <v>23.6957931518554</v>
      </c>
      <c r="K1749" s="11">
        <v>-10.614912033081</v>
      </c>
      <c r="L1749" s="11" t="s">
        <v>1879</v>
      </c>
      <c r="M1749" s="11" t="s">
        <v>1879</v>
      </c>
      <c r="N1749" s="11" t="s">
        <v>2900</v>
      </c>
      <c r="O1749" s="11" t="s">
        <v>2377</v>
      </c>
    </row>
    <row r="1750">
      <c r="A1750" s="11">
        <v>56.0613975524902</v>
      </c>
      <c r="B1750" s="11">
        <v>21.5292606353759</v>
      </c>
      <c r="C1750" s="11" t="s">
        <v>1879</v>
      </c>
      <c r="D1750" s="11" t="s">
        <v>1879</v>
      </c>
      <c r="E1750" s="11" t="s">
        <v>2900</v>
      </c>
      <c r="F1750" s="11" t="s">
        <v>2392</v>
      </c>
      <c r="J1750" s="11">
        <v>-42.6267776489257</v>
      </c>
      <c r="K1750" s="11">
        <v>7.66136884689331</v>
      </c>
      <c r="L1750" s="11" t="s">
        <v>1879</v>
      </c>
      <c r="M1750" s="11" t="s">
        <v>1879</v>
      </c>
      <c r="N1750" s="11" t="s">
        <v>2900</v>
      </c>
      <c r="O1750" s="11" t="s">
        <v>2392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" t="s">
        <v>1384</v>
      </c>
      <c r="B1" s="11"/>
      <c r="C1" s="11"/>
      <c r="D1" s="11"/>
      <c r="E1" s="11"/>
      <c r="F1" s="11"/>
      <c r="I1" s="11" t="s">
        <v>1386</v>
      </c>
    </row>
    <row r="2">
      <c r="A2" s="11" t="s">
        <v>1056</v>
      </c>
      <c r="B2" s="11" t="s">
        <v>1057</v>
      </c>
      <c r="C2" s="11" t="s">
        <v>1058</v>
      </c>
      <c r="D2" s="11" t="s">
        <v>551</v>
      </c>
      <c r="E2" s="11" t="s">
        <v>1387</v>
      </c>
      <c r="F2" s="11" t="s">
        <v>1060</v>
      </c>
      <c r="I2" s="11" t="s">
        <v>1056</v>
      </c>
      <c r="J2" s="11" t="s">
        <v>1057</v>
      </c>
      <c r="K2" s="11" t="s">
        <v>1058</v>
      </c>
      <c r="L2" s="11" t="s">
        <v>551</v>
      </c>
      <c r="M2" s="11" t="s">
        <v>1387</v>
      </c>
      <c r="N2" s="11" t="s">
        <v>1060</v>
      </c>
    </row>
    <row r="3">
      <c r="A3" s="11">
        <v>-5.57408380508422</v>
      </c>
      <c r="B3" s="11">
        <v>14.8029842376708</v>
      </c>
      <c r="C3" s="11">
        <v>0.0</v>
      </c>
      <c r="D3" s="11" t="s">
        <v>1061</v>
      </c>
      <c r="E3" s="11">
        <v>0.0</v>
      </c>
      <c r="F3" s="11" t="s">
        <v>1063</v>
      </c>
      <c r="I3" s="11">
        <v>-18.7741394042968</v>
      </c>
      <c r="J3" s="11">
        <v>24.9448547363281</v>
      </c>
      <c r="K3" s="11">
        <v>0.0</v>
      </c>
      <c r="L3" s="11" t="s">
        <v>1390</v>
      </c>
      <c r="M3" s="11">
        <v>0.0</v>
      </c>
      <c r="N3" s="11" t="s">
        <v>1391</v>
      </c>
    </row>
    <row r="4">
      <c r="A4" s="11">
        <v>12.6826667785644</v>
      </c>
      <c r="B4" s="11">
        <v>36.4127578735351</v>
      </c>
      <c r="C4" s="11">
        <v>2.0</v>
      </c>
      <c r="D4" s="11" t="s">
        <v>1061</v>
      </c>
      <c r="E4" s="11">
        <v>2.0</v>
      </c>
      <c r="F4" s="11" t="s">
        <v>1393</v>
      </c>
      <c r="I4" s="11">
        <v>4.50267362594604</v>
      </c>
      <c r="J4" s="11">
        <v>-29.7680263519287</v>
      </c>
      <c r="K4" s="11">
        <v>-1.0</v>
      </c>
      <c r="L4" s="11" t="s">
        <v>1390</v>
      </c>
      <c r="M4" s="11">
        <v>-1.0</v>
      </c>
      <c r="N4" s="11" t="s">
        <v>1394</v>
      </c>
    </row>
    <row r="5">
      <c r="A5" s="11">
        <v>-20.915807723999</v>
      </c>
      <c r="B5" s="11">
        <v>5.56120586395263</v>
      </c>
      <c r="C5" s="11">
        <v>0.0</v>
      </c>
      <c r="D5" s="11" t="s">
        <v>1061</v>
      </c>
      <c r="E5" s="11">
        <v>0.0</v>
      </c>
      <c r="F5" s="11" t="s">
        <v>1064</v>
      </c>
      <c r="I5" s="11">
        <v>-0.836326837539672</v>
      </c>
      <c r="J5" s="11">
        <v>-34.900951385498</v>
      </c>
      <c r="K5" s="11">
        <v>1.0</v>
      </c>
      <c r="L5" s="11" t="s">
        <v>1390</v>
      </c>
      <c r="M5" s="11">
        <v>1.0</v>
      </c>
      <c r="N5" s="11" t="s">
        <v>1397</v>
      </c>
    </row>
    <row r="6">
      <c r="A6" s="11">
        <v>91.1144561767578</v>
      </c>
      <c r="B6" s="11">
        <v>13.6685857772827</v>
      </c>
      <c r="C6" s="11">
        <v>2.0</v>
      </c>
      <c r="D6" s="11" t="s">
        <v>1061</v>
      </c>
      <c r="E6" s="11">
        <v>2.0</v>
      </c>
      <c r="F6" s="11" t="s">
        <v>1065</v>
      </c>
      <c r="I6" s="11">
        <v>14.8615703582763</v>
      </c>
      <c r="J6" s="11">
        <v>-48.8688621520996</v>
      </c>
      <c r="K6" s="11">
        <v>1.0</v>
      </c>
      <c r="L6" s="11" t="s">
        <v>1390</v>
      </c>
      <c r="M6" s="11">
        <v>1.0</v>
      </c>
      <c r="N6" s="11" t="s">
        <v>1399</v>
      </c>
    </row>
    <row r="7">
      <c r="A7" s="11">
        <v>-19.1450786590576</v>
      </c>
      <c r="B7" s="11">
        <v>25.6266651153564</v>
      </c>
      <c r="C7" s="11">
        <v>-1.0</v>
      </c>
      <c r="D7" s="11" t="s">
        <v>1061</v>
      </c>
      <c r="E7" s="11">
        <v>-1.0</v>
      </c>
      <c r="F7" s="11" t="s">
        <v>1066</v>
      </c>
      <c r="I7" s="11">
        <v>73.3981857299804</v>
      </c>
      <c r="J7" s="11">
        <v>21.4613037109375</v>
      </c>
      <c r="K7" s="11">
        <v>1.0</v>
      </c>
      <c r="L7" s="11" t="s">
        <v>1390</v>
      </c>
      <c r="M7" s="11">
        <v>1.0</v>
      </c>
      <c r="N7" s="11" t="s">
        <v>1401</v>
      </c>
    </row>
    <row r="8">
      <c r="A8" s="11">
        <v>18.2522201538085</v>
      </c>
      <c r="B8" s="11">
        <v>-33.7293739318847</v>
      </c>
      <c r="C8" s="11">
        <v>-1.0</v>
      </c>
      <c r="D8" s="11" t="s">
        <v>1061</v>
      </c>
      <c r="E8" s="11">
        <v>-1.0</v>
      </c>
      <c r="F8" s="11" t="s">
        <v>1067</v>
      </c>
      <c r="I8" s="11">
        <v>-18.9727249145507</v>
      </c>
      <c r="J8" s="11">
        <v>22.4770565032959</v>
      </c>
      <c r="K8" s="11">
        <v>0.0</v>
      </c>
      <c r="L8" s="11" t="s">
        <v>1390</v>
      </c>
      <c r="M8" s="11">
        <v>0.0</v>
      </c>
      <c r="N8" s="11" t="s">
        <v>1403</v>
      </c>
    </row>
    <row r="9">
      <c r="A9" s="11">
        <v>90.3052673339843</v>
      </c>
      <c r="B9" s="11">
        <v>14.8869228363037</v>
      </c>
      <c r="C9" s="11">
        <v>2.0</v>
      </c>
      <c r="D9" s="11" t="s">
        <v>1061</v>
      </c>
      <c r="E9" s="11">
        <v>2.0</v>
      </c>
      <c r="F9" s="11" t="s">
        <v>1068</v>
      </c>
      <c r="I9" s="11">
        <v>26.6790790557861</v>
      </c>
      <c r="J9" s="11">
        <v>-7.91552019119262</v>
      </c>
      <c r="K9" s="11">
        <v>0.0</v>
      </c>
      <c r="L9" s="11" t="s">
        <v>1390</v>
      </c>
      <c r="M9" s="11">
        <v>0.0</v>
      </c>
      <c r="N9" s="11" t="s">
        <v>1405</v>
      </c>
    </row>
    <row r="10">
      <c r="A10" s="11">
        <v>4.64520215988159</v>
      </c>
      <c r="B10" s="11">
        <v>-20.7635612487792</v>
      </c>
      <c r="C10" s="11">
        <v>0.0</v>
      </c>
      <c r="D10" s="11" t="s">
        <v>1061</v>
      </c>
      <c r="E10" s="11">
        <v>0.0</v>
      </c>
      <c r="F10" s="11" t="s">
        <v>1069</v>
      </c>
      <c r="I10" s="11">
        <v>-12.1343917846679</v>
      </c>
      <c r="J10" s="11">
        <v>-4.97333812713623</v>
      </c>
      <c r="K10" s="11">
        <v>0.0</v>
      </c>
      <c r="L10" s="11" t="s">
        <v>1390</v>
      </c>
      <c r="M10" s="11">
        <v>0.0</v>
      </c>
      <c r="N10" s="11" t="s">
        <v>1407</v>
      </c>
    </row>
    <row r="11">
      <c r="A11" s="11">
        <v>0.274451613426208</v>
      </c>
      <c r="B11" s="11">
        <v>-0.978133261203765</v>
      </c>
      <c r="C11" s="11">
        <v>0.0</v>
      </c>
      <c r="D11" s="11" t="s">
        <v>1061</v>
      </c>
      <c r="E11" s="11">
        <v>0.0</v>
      </c>
      <c r="F11" s="11" t="s">
        <v>1070</v>
      </c>
      <c r="I11" s="11">
        <v>38.4423294067382</v>
      </c>
      <c r="J11" s="11">
        <v>-29.0588684082031</v>
      </c>
      <c r="K11" s="11">
        <v>0.0</v>
      </c>
      <c r="L11" s="11" t="s">
        <v>1390</v>
      </c>
      <c r="M11" s="11">
        <v>0.0</v>
      </c>
      <c r="N11" s="11" t="s">
        <v>1409</v>
      </c>
    </row>
    <row r="12">
      <c r="A12" s="11">
        <v>-43.2601280212402</v>
      </c>
      <c r="B12" s="11">
        <v>37.528938293457</v>
      </c>
      <c r="C12" s="11">
        <v>-1.0</v>
      </c>
      <c r="D12" s="11" t="s">
        <v>1061</v>
      </c>
      <c r="E12" s="11">
        <v>-1.0</v>
      </c>
      <c r="F12" s="11" t="s">
        <v>1071</v>
      </c>
      <c r="I12" s="11">
        <v>-4.56126737594604</v>
      </c>
      <c r="J12" s="11">
        <v>-15.357566833496</v>
      </c>
      <c r="K12" s="11">
        <v>0.0</v>
      </c>
      <c r="L12" s="11" t="s">
        <v>1390</v>
      </c>
      <c r="M12" s="11">
        <v>0.0</v>
      </c>
      <c r="N12" s="11" t="s">
        <v>1411</v>
      </c>
    </row>
    <row r="13">
      <c r="A13" s="11">
        <v>-57.633617401123</v>
      </c>
      <c r="B13" s="11">
        <v>15.0608730316162</v>
      </c>
      <c r="C13" s="11">
        <v>0.0</v>
      </c>
      <c r="D13" s="11" t="s">
        <v>1061</v>
      </c>
      <c r="E13" s="11">
        <v>0.0</v>
      </c>
      <c r="F13" s="11" t="s">
        <v>1072</v>
      </c>
      <c r="I13" s="11">
        <v>-8.59643936157226</v>
      </c>
      <c r="J13" s="11">
        <v>-37.2477874755859</v>
      </c>
      <c r="K13" s="11">
        <v>-1.0</v>
      </c>
      <c r="L13" s="11" t="s">
        <v>1390</v>
      </c>
      <c r="M13" s="11">
        <v>-1.0</v>
      </c>
      <c r="N13" s="11" t="s">
        <v>1414</v>
      </c>
    </row>
    <row r="14">
      <c r="A14" s="11">
        <v>-45.0345420837402</v>
      </c>
      <c r="B14" s="11">
        <v>37.5887260437011</v>
      </c>
      <c r="C14" s="11">
        <v>0.0</v>
      </c>
      <c r="D14" s="11" t="s">
        <v>1061</v>
      </c>
      <c r="E14" s="11">
        <v>0.0</v>
      </c>
      <c r="F14" s="11" t="s">
        <v>1073</v>
      </c>
      <c r="I14" s="11">
        <v>74.6778259277343</v>
      </c>
      <c r="J14" s="11">
        <v>-12.1923494338989</v>
      </c>
      <c r="K14" s="11">
        <v>0.0</v>
      </c>
      <c r="L14" s="11" t="s">
        <v>1390</v>
      </c>
      <c r="M14" s="11">
        <v>0.0</v>
      </c>
      <c r="N14" s="11" t="s">
        <v>1416</v>
      </c>
    </row>
    <row r="15">
      <c r="A15" s="11">
        <v>9.1345682144165</v>
      </c>
      <c r="B15" s="11">
        <v>27.2905731201171</v>
      </c>
      <c r="C15" s="11">
        <v>0.0</v>
      </c>
      <c r="D15" s="11" t="s">
        <v>1061</v>
      </c>
      <c r="E15" s="11">
        <v>0.0</v>
      </c>
      <c r="F15" s="11" t="s">
        <v>1074</v>
      </c>
      <c r="I15" s="11">
        <v>1.11989414691925</v>
      </c>
      <c r="J15" s="11">
        <v>-13.9027853012084</v>
      </c>
      <c r="K15" s="11">
        <v>0.0</v>
      </c>
      <c r="L15" s="11" t="s">
        <v>1390</v>
      </c>
      <c r="M15" s="11">
        <v>0.0</v>
      </c>
      <c r="N15" s="11" t="s">
        <v>1418</v>
      </c>
    </row>
    <row r="16">
      <c r="A16" s="11">
        <v>57.0751991271972</v>
      </c>
      <c r="B16" s="11">
        <v>-2.44856905937194</v>
      </c>
      <c r="C16" s="11">
        <v>2.0</v>
      </c>
      <c r="D16" s="11" t="s">
        <v>1061</v>
      </c>
      <c r="E16" s="11">
        <v>2.0</v>
      </c>
      <c r="F16" s="11" t="s">
        <v>1075</v>
      </c>
      <c r="I16" s="11">
        <v>73.1897964477539</v>
      </c>
      <c r="J16" s="11">
        <v>24.7562999725341</v>
      </c>
      <c r="K16" s="11">
        <v>1.0</v>
      </c>
      <c r="L16" s="11" t="s">
        <v>1390</v>
      </c>
      <c r="M16" s="11">
        <v>1.0</v>
      </c>
      <c r="N16" s="11" t="s">
        <v>1420</v>
      </c>
    </row>
    <row r="17">
      <c r="A17" s="11">
        <v>-0.200415208935737</v>
      </c>
      <c r="B17" s="11">
        <v>0.673319041728973</v>
      </c>
      <c r="C17" s="11">
        <v>0.0</v>
      </c>
      <c r="D17" s="11" t="s">
        <v>1061</v>
      </c>
      <c r="E17" s="11">
        <v>0.0</v>
      </c>
      <c r="F17" s="11" t="s">
        <v>1076</v>
      </c>
      <c r="I17" s="11">
        <v>43.7958793640136</v>
      </c>
      <c r="J17" s="11">
        <v>9.03479385375976</v>
      </c>
      <c r="K17" s="11">
        <v>-2.0</v>
      </c>
      <c r="L17" s="11" t="s">
        <v>1390</v>
      </c>
      <c r="M17" s="11">
        <v>-2.0</v>
      </c>
      <c r="N17" s="11" t="s">
        <v>1422</v>
      </c>
    </row>
    <row r="18">
      <c r="A18" s="11">
        <v>35.1542587280273</v>
      </c>
      <c r="B18" s="11">
        <v>33.1545181274414</v>
      </c>
      <c r="C18" s="11">
        <v>0.0</v>
      </c>
      <c r="D18" s="11" t="s">
        <v>1061</v>
      </c>
      <c r="E18" s="11">
        <v>0.0</v>
      </c>
      <c r="F18" s="11" t="s">
        <v>1077</v>
      </c>
      <c r="I18" s="11">
        <v>34.9105491638183</v>
      </c>
      <c r="J18" s="11">
        <v>8.81243324279785</v>
      </c>
      <c r="K18" s="11">
        <v>0.0</v>
      </c>
      <c r="L18" s="11" t="s">
        <v>1390</v>
      </c>
      <c r="M18" s="11">
        <v>0.0</v>
      </c>
      <c r="N18" s="11" t="s">
        <v>1424</v>
      </c>
    </row>
    <row r="19">
      <c r="A19" s="11">
        <v>31.5762958526611</v>
      </c>
      <c r="B19" s="11">
        <v>-28.1850547790527</v>
      </c>
      <c r="C19" s="11">
        <v>-2.0</v>
      </c>
      <c r="D19" s="11" t="s">
        <v>1061</v>
      </c>
      <c r="E19" s="11">
        <v>-2.0</v>
      </c>
      <c r="F19" s="11" t="s">
        <v>1078</v>
      </c>
      <c r="I19" s="11">
        <v>12.2383422851562</v>
      </c>
      <c r="J19" s="11">
        <v>-5.75081253051757</v>
      </c>
      <c r="K19" s="11">
        <v>0.0</v>
      </c>
      <c r="L19" s="11" t="s">
        <v>1390</v>
      </c>
      <c r="M19" s="11">
        <v>0.0</v>
      </c>
      <c r="N19" s="11" t="s">
        <v>1427</v>
      </c>
    </row>
    <row r="20">
      <c r="A20" s="11">
        <v>-8.74641036987304</v>
      </c>
      <c r="B20" s="11">
        <v>32.1061286926269</v>
      </c>
      <c r="C20" s="11">
        <v>-1.0</v>
      </c>
      <c r="D20" s="11" t="s">
        <v>1061</v>
      </c>
      <c r="E20" s="11">
        <v>-1.0</v>
      </c>
      <c r="F20" s="11" t="s">
        <v>1079</v>
      </c>
      <c r="I20" s="11">
        <v>3.62099289894104</v>
      </c>
      <c r="J20" s="11">
        <v>-42.8619155883789</v>
      </c>
      <c r="K20" s="11">
        <v>-1.0</v>
      </c>
      <c r="L20" s="11" t="s">
        <v>1390</v>
      </c>
      <c r="M20" s="11">
        <v>-1.0</v>
      </c>
      <c r="N20" s="11" t="s">
        <v>1429</v>
      </c>
    </row>
    <row r="21">
      <c r="A21" s="11">
        <v>-17.3591804504394</v>
      </c>
      <c r="B21" s="11">
        <v>38.3477935791015</v>
      </c>
      <c r="C21" s="11">
        <v>0.0</v>
      </c>
      <c r="D21" s="11" t="s">
        <v>1061</v>
      </c>
      <c r="E21" s="11">
        <v>0.0</v>
      </c>
      <c r="F21" s="11" t="s">
        <v>1080</v>
      </c>
      <c r="I21" s="11">
        <v>45.9601287841796</v>
      </c>
      <c r="J21" s="11">
        <v>-1.20322370529174</v>
      </c>
      <c r="K21" s="11">
        <v>0.0</v>
      </c>
      <c r="L21" s="11" t="s">
        <v>1390</v>
      </c>
      <c r="M21" s="11">
        <v>0.0</v>
      </c>
      <c r="N21" s="11" t="s">
        <v>1431</v>
      </c>
    </row>
    <row r="22">
      <c r="A22" s="11">
        <v>-53.8496627807617</v>
      </c>
      <c r="B22" s="11">
        <v>-43.142765045166</v>
      </c>
      <c r="C22" s="11">
        <v>0.0</v>
      </c>
      <c r="D22" s="11" t="s">
        <v>1061</v>
      </c>
      <c r="E22" s="11">
        <v>0.0</v>
      </c>
      <c r="F22" s="11" t="s">
        <v>1081</v>
      </c>
      <c r="I22" s="11">
        <v>10.421817779541</v>
      </c>
      <c r="J22" s="11">
        <v>-3.23777556419372</v>
      </c>
      <c r="K22" s="11">
        <v>0.0</v>
      </c>
      <c r="L22" s="11" t="s">
        <v>1390</v>
      </c>
      <c r="M22" s="11">
        <v>0.0</v>
      </c>
      <c r="N22" s="11" t="s">
        <v>1433</v>
      </c>
    </row>
    <row r="23">
      <c r="A23" s="11">
        <v>-25.8163452148437</v>
      </c>
      <c r="B23" s="11">
        <v>1.72483158111572</v>
      </c>
      <c r="C23" s="11">
        <v>0.0</v>
      </c>
      <c r="D23" s="11" t="s">
        <v>1061</v>
      </c>
      <c r="E23" s="11">
        <v>0.0</v>
      </c>
      <c r="F23" s="11" t="s">
        <v>1082</v>
      </c>
      <c r="I23" s="11">
        <v>25.3221454620361</v>
      </c>
      <c r="J23" s="11">
        <v>-35.3357238769531</v>
      </c>
      <c r="K23" s="11">
        <v>2.0</v>
      </c>
      <c r="L23" s="11" t="s">
        <v>1390</v>
      </c>
      <c r="M23" s="11">
        <v>2.0</v>
      </c>
      <c r="N23" s="11" t="s">
        <v>1435</v>
      </c>
    </row>
    <row r="24">
      <c r="A24" s="11">
        <v>-27.3065891265869</v>
      </c>
      <c r="B24" s="11">
        <v>8.88734340667724</v>
      </c>
      <c r="C24" s="11">
        <v>0.0</v>
      </c>
      <c r="D24" s="11" t="s">
        <v>1061</v>
      </c>
      <c r="E24" s="11">
        <v>0.0</v>
      </c>
      <c r="F24" s="11" t="s">
        <v>1083</v>
      </c>
      <c r="I24" s="11">
        <v>14.6628351211547</v>
      </c>
      <c r="J24" s="11">
        <v>-22.4440937042236</v>
      </c>
      <c r="K24" s="11">
        <v>1.0</v>
      </c>
      <c r="L24" s="11" t="s">
        <v>1390</v>
      </c>
      <c r="M24" s="11">
        <v>1.0</v>
      </c>
      <c r="N24" s="11" t="s">
        <v>1437</v>
      </c>
    </row>
    <row r="25">
      <c r="A25" s="11">
        <v>86.5896072387695</v>
      </c>
      <c r="B25" s="11">
        <v>13.105954170227</v>
      </c>
      <c r="C25" s="11">
        <v>2.0</v>
      </c>
      <c r="D25" s="11" t="s">
        <v>1061</v>
      </c>
      <c r="E25" s="11">
        <v>2.0</v>
      </c>
      <c r="F25" s="11" t="s">
        <v>1084</v>
      </c>
      <c r="I25" s="11">
        <v>-9.92785549163818</v>
      </c>
      <c r="J25" s="11">
        <v>-19.276647567749</v>
      </c>
      <c r="K25" s="11">
        <v>-1.0</v>
      </c>
      <c r="L25" s="11" t="s">
        <v>1390</v>
      </c>
      <c r="M25" s="11">
        <v>-1.0</v>
      </c>
      <c r="N25" s="11" t="s">
        <v>1440</v>
      </c>
    </row>
    <row r="26">
      <c r="A26" s="11">
        <v>8.33668231964111</v>
      </c>
      <c r="B26" s="11">
        <v>4.16871261596679</v>
      </c>
      <c r="C26" s="11">
        <v>0.0</v>
      </c>
      <c r="D26" s="11" t="s">
        <v>1061</v>
      </c>
      <c r="E26" s="11">
        <v>0.0</v>
      </c>
      <c r="F26" s="11" t="s">
        <v>1085</v>
      </c>
      <c r="I26" s="11">
        <v>73.3981857299804</v>
      </c>
      <c r="J26" s="11">
        <v>21.4613037109375</v>
      </c>
      <c r="K26" s="11">
        <v>1.0</v>
      </c>
      <c r="L26" s="11" t="s">
        <v>1390</v>
      </c>
      <c r="M26" s="11">
        <v>1.0</v>
      </c>
      <c r="N26" s="11" t="s">
        <v>1443</v>
      </c>
    </row>
    <row r="27">
      <c r="A27" s="11">
        <v>-66.2051925659179</v>
      </c>
      <c r="B27" s="11">
        <v>25.5567111968994</v>
      </c>
      <c r="C27" s="11">
        <v>0.0</v>
      </c>
      <c r="D27" s="11" t="s">
        <v>1061</v>
      </c>
      <c r="E27" s="11">
        <v>0.0</v>
      </c>
      <c r="F27" s="11" t="s">
        <v>1086</v>
      </c>
      <c r="I27" s="11">
        <v>76.7818756103515</v>
      </c>
      <c r="J27" s="11">
        <v>-10.8552541732788</v>
      </c>
      <c r="K27" s="11">
        <v>0.0</v>
      </c>
      <c r="L27" s="11" t="s">
        <v>1390</v>
      </c>
      <c r="M27" s="11">
        <v>0.0</v>
      </c>
      <c r="N27" s="11" t="s">
        <v>1444</v>
      </c>
    </row>
    <row r="28">
      <c r="A28" s="11">
        <v>-2.60567116737365</v>
      </c>
      <c r="B28" s="11">
        <v>14.4786319732666</v>
      </c>
      <c r="C28" s="11">
        <v>0.0</v>
      </c>
      <c r="D28" s="11" t="s">
        <v>1061</v>
      </c>
      <c r="E28" s="11">
        <v>0.0</v>
      </c>
      <c r="F28" s="11" t="s">
        <v>1087</v>
      </c>
      <c r="I28" s="11">
        <v>46.1580162048339</v>
      </c>
      <c r="J28" s="11">
        <v>-3.93341708183288</v>
      </c>
      <c r="K28" s="11">
        <v>0.0</v>
      </c>
      <c r="L28" s="11" t="s">
        <v>1390</v>
      </c>
      <c r="M28" s="11">
        <v>0.0</v>
      </c>
      <c r="N28" s="11" t="s">
        <v>1449</v>
      </c>
    </row>
    <row r="29">
      <c r="A29" s="11">
        <v>33.0088310241699</v>
      </c>
      <c r="B29" s="11">
        <v>11.9517555236816</v>
      </c>
      <c r="C29" s="11">
        <v>0.0</v>
      </c>
      <c r="D29" s="11" t="s">
        <v>1061</v>
      </c>
      <c r="E29" s="11">
        <v>0.0</v>
      </c>
      <c r="F29" s="11" t="s">
        <v>1088</v>
      </c>
      <c r="I29" s="11">
        <v>-11.5095863342285</v>
      </c>
      <c r="J29" s="11">
        <v>5.7033348083496</v>
      </c>
      <c r="K29" s="11">
        <v>1.0</v>
      </c>
      <c r="L29" s="11" t="s">
        <v>1390</v>
      </c>
      <c r="M29" s="11">
        <v>1.0</v>
      </c>
      <c r="N29" s="11" t="s">
        <v>1451</v>
      </c>
    </row>
    <row r="30">
      <c r="A30" s="11">
        <v>-10.1759433746337</v>
      </c>
      <c r="B30" s="11">
        <v>-2.17713499069213</v>
      </c>
      <c r="C30" s="11">
        <v>1.0</v>
      </c>
      <c r="D30" s="11" t="s">
        <v>1061</v>
      </c>
      <c r="E30" s="11">
        <v>1.0</v>
      </c>
      <c r="F30" s="11" t="s">
        <v>1089</v>
      </c>
      <c r="I30" s="11">
        <v>4.9465856552124</v>
      </c>
      <c r="J30" s="11">
        <v>10.1742277145385</v>
      </c>
      <c r="K30" s="11">
        <v>0.0</v>
      </c>
      <c r="L30" s="11" t="s">
        <v>1390</v>
      </c>
      <c r="M30" s="11">
        <v>0.0</v>
      </c>
      <c r="N30" s="11" t="s">
        <v>1454</v>
      </c>
    </row>
    <row r="31">
      <c r="A31" s="11">
        <v>-25.8751163482666</v>
      </c>
      <c r="B31" s="11">
        <v>38.2537193298339</v>
      </c>
      <c r="C31" s="11">
        <v>0.0</v>
      </c>
      <c r="D31" s="11" t="s">
        <v>1061</v>
      </c>
      <c r="E31" s="11">
        <v>0.0</v>
      </c>
      <c r="F31" s="11" t="s">
        <v>1090</v>
      </c>
      <c r="I31" s="11">
        <v>79.5727081298828</v>
      </c>
      <c r="J31" s="11">
        <v>12.1136045455932</v>
      </c>
      <c r="K31" s="11">
        <v>0.0</v>
      </c>
      <c r="L31" s="11" t="s">
        <v>1390</v>
      </c>
      <c r="M31" s="11">
        <v>0.0</v>
      </c>
      <c r="N31" s="11" t="s">
        <v>1456</v>
      </c>
    </row>
    <row r="32">
      <c r="A32" s="11">
        <v>-41.8708000183105</v>
      </c>
      <c r="B32" s="11">
        <v>18.5141277313232</v>
      </c>
      <c r="C32" s="11">
        <v>0.0</v>
      </c>
      <c r="D32" s="11" t="s">
        <v>1061</v>
      </c>
      <c r="E32" s="11">
        <v>0.0</v>
      </c>
      <c r="F32" s="11" t="s">
        <v>1091</v>
      </c>
      <c r="I32" s="11">
        <v>27.3380889892578</v>
      </c>
      <c r="J32" s="11">
        <v>-47.9789428710937</v>
      </c>
      <c r="K32" s="11">
        <v>0.0</v>
      </c>
      <c r="L32" s="11" t="s">
        <v>1390</v>
      </c>
      <c r="M32" s="11">
        <v>0.0</v>
      </c>
      <c r="N32" s="11" t="s">
        <v>1458</v>
      </c>
    </row>
    <row r="33">
      <c r="A33" s="11">
        <v>37.842185974121</v>
      </c>
      <c r="B33" s="11">
        <v>14.8860082626342</v>
      </c>
      <c r="C33" s="11">
        <v>0.0</v>
      </c>
      <c r="D33" s="11" t="s">
        <v>1061</v>
      </c>
      <c r="E33" s="11">
        <v>0.0</v>
      </c>
      <c r="F33" s="11" t="s">
        <v>1092</v>
      </c>
      <c r="I33" s="11">
        <v>31.138442993164</v>
      </c>
      <c r="J33" s="11">
        <v>-7.82713794708251</v>
      </c>
      <c r="K33" s="11">
        <v>0.0</v>
      </c>
      <c r="L33" s="11" t="s">
        <v>1390</v>
      </c>
      <c r="M33" s="11">
        <v>0.0</v>
      </c>
      <c r="N33" s="11" t="s">
        <v>1460</v>
      </c>
    </row>
    <row r="34">
      <c r="A34" s="11">
        <v>9.10786056518554</v>
      </c>
      <c r="B34" s="11">
        <v>20.6443080902099</v>
      </c>
      <c r="C34" s="11">
        <v>-2.0</v>
      </c>
      <c r="D34" s="11" t="s">
        <v>1061</v>
      </c>
      <c r="E34" s="11">
        <v>-2.0</v>
      </c>
      <c r="F34" s="11" t="s">
        <v>1093</v>
      </c>
      <c r="I34" s="11">
        <v>82.4779205322265</v>
      </c>
      <c r="J34" s="11">
        <v>-19.0872936248779</v>
      </c>
      <c r="K34" s="11">
        <v>1.0</v>
      </c>
      <c r="L34" s="11" t="s">
        <v>1390</v>
      </c>
      <c r="M34" s="11">
        <v>1.0</v>
      </c>
      <c r="N34" s="11" t="s">
        <v>1462</v>
      </c>
    </row>
    <row r="35">
      <c r="A35" s="11">
        <v>88.9441528320312</v>
      </c>
      <c r="B35" s="11">
        <v>12.9317216873168</v>
      </c>
      <c r="C35" s="11">
        <v>2.0</v>
      </c>
      <c r="D35" s="11" t="s">
        <v>1061</v>
      </c>
      <c r="E35" s="11">
        <v>2.0</v>
      </c>
      <c r="F35" s="11" t="s">
        <v>1094</v>
      </c>
      <c r="I35" s="11">
        <v>-16.6634216308593</v>
      </c>
      <c r="J35" s="11">
        <v>21.1919956207275</v>
      </c>
      <c r="K35" s="11">
        <v>0.0</v>
      </c>
      <c r="L35" s="11" t="s">
        <v>1390</v>
      </c>
      <c r="M35" s="11">
        <v>0.0</v>
      </c>
      <c r="N35" s="11" t="s">
        <v>1464</v>
      </c>
    </row>
    <row r="36">
      <c r="A36" s="11">
        <v>-43.8902053833007</v>
      </c>
      <c r="B36" s="11">
        <v>36.6035346984863</v>
      </c>
      <c r="C36" s="11">
        <v>-1.0</v>
      </c>
      <c r="D36" s="11" t="s">
        <v>1061</v>
      </c>
      <c r="E36" s="11">
        <v>-1.0</v>
      </c>
      <c r="F36" s="11" t="s">
        <v>1095</v>
      </c>
      <c r="I36" s="11">
        <v>42.8120765686035</v>
      </c>
      <c r="J36" s="11">
        <v>-19.7171192169189</v>
      </c>
      <c r="K36" s="11">
        <v>2.0</v>
      </c>
      <c r="L36" s="11" t="s">
        <v>1390</v>
      </c>
      <c r="M36" s="11">
        <v>2.0</v>
      </c>
      <c r="N36" s="11" t="s">
        <v>1467</v>
      </c>
    </row>
    <row r="37">
      <c r="A37" s="11">
        <v>2.5420069694519</v>
      </c>
      <c r="B37" s="11">
        <v>-15.1075916290283</v>
      </c>
      <c r="C37" s="11">
        <v>-1.0</v>
      </c>
      <c r="D37" s="11" t="s">
        <v>1061</v>
      </c>
      <c r="E37" s="11">
        <v>-1.0</v>
      </c>
      <c r="F37" s="11" t="s">
        <v>1096</v>
      </c>
      <c r="I37" s="11">
        <v>-12.7276592254638</v>
      </c>
      <c r="J37" s="11">
        <v>18.9774055480957</v>
      </c>
      <c r="K37" s="11">
        <v>1.0</v>
      </c>
      <c r="L37" s="11" t="s">
        <v>1390</v>
      </c>
      <c r="M37" s="11">
        <v>1.0</v>
      </c>
      <c r="N37" s="11" t="s">
        <v>1469</v>
      </c>
    </row>
    <row r="38">
      <c r="A38" s="11">
        <v>2.5420069694519</v>
      </c>
      <c r="B38" s="11">
        <v>-15.1075916290283</v>
      </c>
      <c r="C38" s="11">
        <v>-1.0</v>
      </c>
      <c r="D38" s="11" t="s">
        <v>1061</v>
      </c>
      <c r="E38" s="11">
        <v>-1.0</v>
      </c>
      <c r="F38" s="11" t="s">
        <v>1097</v>
      </c>
      <c r="I38" s="11">
        <v>29.9339389801025</v>
      </c>
      <c r="J38" s="11">
        <v>21.7798194885253</v>
      </c>
      <c r="K38" s="11">
        <v>0.0</v>
      </c>
      <c r="L38" s="11" t="s">
        <v>1390</v>
      </c>
      <c r="M38" s="11">
        <v>0.0</v>
      </c>
      <c r="N38" s="11" t="s">
        <v>1471</v>
      </c>
    </row>
    <row r="39">
      <c r="A39" s="11">
        <v>91.1034774780273</v>
      </c>
      <c r="B39" s="11">
        <v>16.0632228851318</v>
      </c>
      <c r="C39" s="11">
        <v>2.0</v>
      </c>
      <c r="D39" s="11" t="s">
        <v>1061</v>
      </c>
      <c r="E39" s="11">
        <v>2.0</v>
      </c>
      <c r="F39" s="11" t="s">
        <v>1098</v>
      </c>
      <c r="I39" s="11">
        <v>36.4373207092285</v>
      </c>
      <c r="J39" s="11">
        <v>3.50213289260864</v>
      </c>
      <c r="K39" s="11">
        <v>0.0</v>
      </c>
      <c r="L39" s="11" t="s">
        <v>1390</v>
      </c>
      <c r="M39" s="11">
        <v>0.0</v>
      </c>
      <c r="N39" s="11" t="s">
        <v>1473</v>
      </c>
    </row>
    <row r="40">
      <c r="A40" s="11">
        <v>-4.4465308189392</v>
      </c>
      <c r="B40" s="11">
        <v>11.2302160263061</v>
      </c>
      <c r="C40" s="11">
        <v>-1.0</v>
      </c>
      <c r="D40" s="11" t="s">
        <v>1061</v>
      </c>
      <c r="E40" s="11">
        <v>-1.0</v>
      </c>
      <c r="F40" s="11" t="s">
        <v>1099</v>
      </c>
      <c r="I40" s="11">
        <v>4.50267362594604</v>
      </c>
      <c r="J40" s="11">
        <v>-29.7680263519287</v>
      </c>
      <c r="K40" s="11">
        <v>0.0</v>
      </c>
      <c r="L40" s="11" t="s">
        <v>1390</v>
      </c>
      <c r="M40" s="11">
        <v>0.0</v>
      </c>
      <c r="N40" s="11" t="s">
        <v>1475</v>
      </c>
    </row>
    <row r="41">
      <c r="A41" s="11">
        <v>4.79774236679077</v>
      </c>
      <c r="B41" s="11">
        <v>32.3154258728027</v>
      </c>
      <c r="C41" s="11">
        <v>0.0</v>
      </c>
      <c r="D41" s="11" t="s">
        <v>1061</v>
      </c>
      <c r="E41" s="11">
        <v>0.0</v>
      </c>
      <c r="F41" s="11" t="s">
        <v>1100</v>
      </c>
      <c r="I41" s="11">
        <v>-0.295800238847732</v>
      </c>
      <c r="J41" s="11">
        <v>-19.2108306884765</v>
      </c>
      <c r="K41" s="11">
        <v>0.0</v>
      </c>
      <c r="L41" s="11" t="s">
        <v>1390</v>
      </c>
      <c r="M41" s="11">
        <v>0.0</v>
      </c>
      <c r="N41" s="11" t="s">
        <v>1477</v>
      </c>
    </row>
    <row r="42">
      <c r="A42" s="11">
        <v>-25.9414825439453</v>
      </c>
      <c r="B42" s="11">
        <v>38.379653930664</v>
      </c>
      <c r="C42" s="11">
        <v>0.0</v>
      </c>
      <c r="D42" s="11" t="s">
        <v>1061</v>
      </c>
      <c r="E42" s="11">
        <v>0.0</v>
      </c>
      <c r="F42" s="11" t="s">
        <v>1101</v>
      </c>
      <c r="I42" s="11">
        <v>20.5287857055664</v>
      </c>
      <c r="J42" s="11">
        <v>-8.24552249908447</v>
      </c>
      <c r="K42" s="11">
        <v>0.0</v>
      </c>
      <c r="L42" s="11" t="s">
        <v>1390</v>
      </c>
      <c r="M42" s="11">
        <v>0.0</v>
      </c>
      <c r="N42" s="11" t="s">
        <v>1480</v>
      </c>
    </row>
    <row r="43">
      <c r="A43" s="11">
        <v>-66.2051925659179</v>
      </c>
      <c r="B43" s="11">
        <v>25.5567111968994</v>
      </c>
      <c r="C43" s="11">
        <v>0.0</v>
      </c>
      <c r="D43" s="11" t="s">
        <v>1061</v>
      </c>
      <c r="E43" s="11">
        <v>0.0</v>
      </c>
      <c r="F43" s="11" t="s">
        <v>1102</v>
      </c>
      <c r="I43" s="11">
        <v>54.6419296264648</v>
      </c>
      <c r="J43" s="11">
        <v>-29.7032413482666</v>
      </c>
      <c r="K43" s="11">
        <v>0.0</v>
      </c>
      <c r="L43" s="11" t="s">
        <v>1390</v>
      </c>
      <c r="M43" s="11">
        <v>0.0</v>
      </c>
      <c r="N43" s="11" t="s">
        <v>1482</v>
      </c>
    </row>
    <row r="44">
      <c r="A44" s="11">
        <v>-51.0314559936523</v>
      </c>
      <c r="B44" s="11">
        <v>25.7786560058593</v>
      </c>
      <c r="C44" s="11">
        <v>0.0</v>
      </c>
      <c r="D44" s="11" t="s">
        <v>1061</v>
      </c>
      <c r="E44" s="11">
        <v>0.0</v>
      </c>
      <c r="F44" s="11" t="s">
        <v>1103</v>
      </c>
      <c r="I44" s="11">
        <v>18.5115051269531</v>
      </c>
      <c r="J44" s="11">
        <v>17.2180347442626</v>
      </c>
      <c r="K44" s="11">
        <v>0.0</v>
      </c>
      <c r="L44" s="11" t="s">
        <v>1390</v>
      </c>
      <c r="M44" s="11">
        <v>0.0</v>
      </c>
      <c r="N44" s="11" t="s">
        <v>1485</v>
      </c>
    </row>
    <row r="45">
      <c r="A45" s="11">
        <v>-40.3741760253906</v>
      </c>
      <c r="B45" s="11">
        <v>14.8088817596435</v>
      </c>
      <c r="C45" s="11">
        <v>0.0</v>
      </c>
      <c r="D45" s="11" t="s">
        <v>1061</v>
      </c>
      <c r="E45" s="11">
        <v>0.0</v>
      </c>
      <c r="F45" s="11" t="s">
        <v>1104</v>
      </c>
      <c r="I45" s="11">
        <v>37.5415840148925</v>
      </c>
      <c r="J45" s="11">
        <v>1.33539903163909</v>
      </c>
      <c r="K45" s="11">
        <v>0.0</v>
      </c>
      <c r="L45" s="11" t="s">
        <v>1390</v>
      </c>
      <c r="M45" s="11">
        <v>0.0</v>
      </c>
      <c r="N45" s="11" t="s">
        <v>1487</v>
      </c>
    </row>
    <row r="46">
      <c r="A46" s="11">
        <v>-8.74641036987304</v>
      </c>
      <c r="B46" s="11">
        <v>32.1061286926269</v>
      </c>
      <c r="C46" s="11">
        <v>-1.0</v>
      </c>
      <c r="D46" s="11" t="s">
        <v>1061</v>
      </c>
      <c r="E46" s="11">
        <v>-1.0</v>
      </c>
      <c r="F46" s="11" t="s">
        <v>1105</v>
      </c>
      <c r="I46" s="11">
        <v>-2.20072078704834</v>
      </c>
      <c r="J46" s="11">
        <v>12.9367208480834</v>
      </c>
      <c r="K46" s="11">
        <v>0.0</v>
      </c>
      <c r="L46" s="11" t="s">
        <v>1390</v>
      </c>
      <c r="M46" s="11">
        <v>0.0</v>
      </c>
      <c r="N46" s="11" t="s">
        <v>1489</v>
      </c>
    </row>
    <row r="47">
      <c r="A47" s="11">
        <v>7.30815887451171</v>
      </c>
      <c r="B47" s="11">
        <v>16.0066013336181</v>
      </c>
      <c r="C47" s="11">
        <v>-2.0</v>
      </c>
      <c r="D47" s="11" t="s">
        <v>1061</v>
      </c>
      <c r="E47" s="11">
        <v>-2.0</v>
      </c>
      <c r="F47" s="11" t="s">
        <v>1106</v>
      </c>
      <c r="I47" s="11">
        <v>3.88348484039306</v>
      </c>
      <c r="J47" s="11">
        <v>24.3903827667236</v>
      </c>
      <c r="K47" s="11">
        <v>0.0</v>
      </c>
      <c r="L47" s="11" t="s">
        <v>1390</v>
      </c>
      <c r="M47" s="11">
        <v>0.0</v>
      </c>
      <c r="N47" s="11" t="s">
        <v>1491</v>
      </c>
    </row>
    <row r="48">
      <c r="A48" s="11">
        <v>-52.2630882263183</v>
      </c>
      <c r="B48" s="11">
        <v>-43.4711189270019</v>
      </c>
      <c r="C48" s="11">
        <v>0.0</v>
      </c>
      <c r="D48" s="11" t="s">
        <v>1061</v>
      </c>
      <c r="E48" s="11">
        <v>0.0</v>
      </c>
      <c r="F48" s="11" t="s">
        <v>1107</v>
      </c>
      <c r="I48" s="11">
        <v>81.760025024414</v>
      </c>
      <c r="J48" s="11">
        <v>10.3772087097167</v>
      </c>
      <c r="K48" s="11">
        <v>0.0</v>
      </c>
      <c r="L48" s="11" t="s">
        <v>1390</v>
      </c>
      <c r="M48" s="11">
        <v>0.0</v>
      </c>
      <c r="N48" s="11" t="s">
        <v>1493</v>
      </c>
    </row>
    <row r="49">
      <c r="A49" s="11">
        <v>14.8744421005249</v>
      </c>
      <c r="B49" s="11">
        <v>-44.9247703552246</v>
      </c>
      <c r="C49" s="11">
        <v>0.0</v>
      </c>
      <c r="D49" s="11" t="s">
        <v>1061</v>
      </c>
      <c r="E49" s="11">
        <v>0.0</v>
      </c>
      <c r="F49" s="11" t="s">
        <v>1108</v>
      </c>
      <c r="I49" s="11">
        <v>3.33198714256286</v>
      </c>
      <c r="J49" s="11">
        <v>10.654803276062</v>
      </c>
      <c r="K49" s="11">
        <v>0.0</v>
      </c>
      <c r="L49" s="11" t="s">
        <v>1390</v>
      </c>
      <c r="M49" s="11">
        <v>0.0</v>
      </c>
      <c r="N49" s="11" t="s">
        <v>1496</v>
      </c>
    </row>
    <row r="50">
      <c r="A50" s="11">
        <v>-25.5532703399658</v>
      </c>
      <c r="B50" s="11">
        <v>2.63609409332275</v>
      </c>
      <c r="C50" s="11">
        <v>0.0</v>
      </c>
      <c r="D50" s="11" t="s">
        <v>1061</v>
      </c>
      <c r="E50" s="11">
        <v>0.0</v>
      </c>
      <c r="F50" s="11" t="s">
        <v>1109</v>
      </c>
      <c r="I50" s="11">
        <v>2.94616436958313</v>
      </c>
      <c r="J50" s="11">
        <v>-12.609787940979</v>
      </c>
      <c r="K50" s="11">
        <v>-1.0</v>
      </c>
      <c r="L50" s="11" t="s">
        <v>1390</v>
      </c>
      <c r="M50" s="11">
        <v>-1.0</v>
      </c>
      <c r="N50" s="11" t="s">
        <v>1497</v>
      </c>
    </row>
    <row r="51">
      <c r="A51" s="11">
        <v>18.2522201538085</v>
      </c>
      <c r="B51" s="11">
        <v>-33.7293739318847</v>
      </c>
      <c r="C51" s="11">
        <v>-1.0</v>
      </c>
      <c r="D51" s="11" t="s">
        <v>1061</v>
      </c>
      <c r="E51" s="11">
        <v>-1.0</v>
      </c>
      <c r="F51" s="11" t="s">
        <v>1110</v>
      </c>
      <c r="I51" s="11">
        <v>-14.3028898239135</v>
      </c>
      <c r="J51" s="11">
        <v>25.4203510284423</v>
      </c>
      <c r="K51" s="11">
        <v>0.0</v>
      </c>
      <c r="L51" s="11" t="s">
        <v>1390</v>
      </c>
      <c r="M51" s="11">
        <v>0.0</v>
      </c>
      <c r="N51" s="11" t="s">
        <v>1499</v>
      </c>
    </row>
    <row r="52">
      <c r="A52" s="11">
        <v>77.7104721069336</v>
      </c>
      <c r="B52" s="11">
        <v>19.9969654083251</v>
      </c>
      <c r="C52" s="11">
        <v>2.0</v>
      </c>
      <c r="D52" s="11" t="s">
        <v>1061</v>
      </c>
      <c r="E52" s="11">
        <v>2.0</v>
      </c>
      <c r="F52" s="11" t="s">
        <v>1111</v>
      </c>
      <c r="I52" s="11">
        <v>-3.59316110610961</v>
      </c>
      <c r="J52" s="11">
        <v>29.2052116394042</v>
      </c>
      <c r="K52" s="11">
        <v>0.0</v>
      </c>
      <c r="L52" s="11" t="s">
        <v>1390</v>
      </c>
      <c r="M52" s="11">
        <v>0.0</v>
      </c>
      <c r="N52" s="11" t="s">
        <v>1502</v>
      </c>
    </row>
    <row r="53">
      <c r="A53" s="11">
        <v>77.7104721069336</v>
      </c>
      <c r="B53" s="11">
        <v>19.9969654083251</v>
      </c>
      <c r="C53" s="11">
        <v>2.0</v>
      </c>
      <c r="D53" s="11" t="s">
        <v>1061</v>
      </c>
      <c r="E53" s="11">
        <v>2.0</v>
      </c>
      <c r="F53" s="11" t="s">
        <v>1112</v>
      </c>
      <c r="I53" s="11">
        <v>51.6349334716796</v>
      </c>
      <c r="J53" s="11">
        <v>-45.971939086914</v>
      </c>
      <c r="K53" s="11">
        <v>0.0</v>
      </c>
      <c r="L53" s="11" t="s">
        <v>1390</v>
      </c>
      <c r="M53" s="11">
        <v>0.0</v>
      </c>
      <c r="N53" s="11" t="s">
        <v>1504</v>
      </c>
    </row>
    <row r="54">
      <c r="A54" s="11">
        <v>-1.99559473991394</v>
      </c>
      <c r="B54" s="11">
        <v>6.36602163314819</v>
      </c>
      <c r="C54" s="11">
        <v>0.0</v>
      </c>
      <c r="D54" s="11" t="s">
        <v>1061</v>
      </c>
      <c r="E54" s="11">
        <v>0.0</v>
      </c>
      <c r="F54" s="11" t="s">
        <v>1113</v>
      </c>
      <c r="I54" s="11">
        <v>-18.3083515167236</v>
      </c>
      <c r="J54" s="11">
        <v>-14.3399944305419</v>
      </c>
      <c r="K54" s="11">
        <v>0.0</v>
      </c>
      <c r="L54" s="11" t="s">
        <v>1390</v>
      </c>
      <c r="M54" s="11">
        <v>0.0</v>
      </c>
      <c r="N54" s="11" t="s">
        <v>1507</v>
      </c>
    </row>
    <row r="55">
      <c r="A55" s="11">
        <v>-19.7309303283691</v>
      </c>
      <c r="B55" s="11">
        <v>6.92033243179321</v>
      </c>
      <c r="C55" s="11">
        <v>0.0</v>
      </c>
      <c r="D55" s="11" t="s">
        <v>1061</v>
      </c>
      <c r="E55" s="11">
        <v>0.0</v>
      </c>
      <c r="F55" s="11" t="s">
        <v>1114</v>
      </c>
      <c r="I55" s="11">
        <v>49.1066551208496</v>
      </c>
      <c r="J55" s="11">
        <v>-4.92304229736328</v>
      </c>
      <c r="K55" s="11">
        <v>0.0</v>
      </c>
      <c r="L55" s="11" t="s">
        <v>1390</v>
      </c>
      <c r="M55" s="11">
        <v>0.0</v>
      </c>
      <c r="N55" s="11" t="s">
        <v>1509</v>
      </c>
    </row>
    <row r="56">
      <c r="A56" s="11">
        <v>3.06845784187316</v>
      </c>
      <c r="B56" s="11">
        <v>-10.7194538116455</v>
      </c>
      <c r="C56" s="11">
        <v>-1.0</v>
      </c>
      <c r="D56" s="11" t="s">
        <v>1061</v>
      </c>
      <c r="E56" s="11">
        <v>-1.0</v>
      </c>
      <c r="F56" s="11" t="s">
        <v>1510</v>
      </c>
      <c r="I56" s="11">
        <v>42.1705856323242</v>
      </c>
      <c r="J56" s="11">
        <v>-10.1474828720092</v>
      </c>
      <c r="K56" s="11">
        <v>0.0</v>
      </c>
      <c r="L56" s="11" t="s">
        <v>1390</v>
      </c>
      <c r="M56" s="11">
        <v>0.0</v>
      </c>
      <c r="N56" s="11" t="s">
        <v>1512</v>
      </c>
    </row>
    <row r="57">
      <c r="A57" s="11">
        <v>35.1542587280273</v>
      </c>
      <c r="B57" s="11">
        <v>33.1545181274414</v>
      </c>
      <c r="C57" s="11">
        <v>0.0</v>
      </c>
      <c r="D57" s="11" t="s">
        <v>1061</v>
      </c>
      <c r="E57" s="11">
        <v>0.0</v>
      </c>
      <c r="F57" s="11" t="s">
        <v>1115</v>
      </c>
      <c r="I57" s="11">
        <v>-9.82840824127197</v>
      </c>
      <c r="J57" s="11">
        <v>3.57728314399719</v>
      </c>
      <c r="K57" s="11">
        <v>1.0</v>
      </c>
      <c r="L57" s="11" t="s">
        <v>1390</v>
      </c>
      <c r="M57" s="11">
        <v>1.0</v>
      </c>
      <c r="N57" s="11" t="s">
        <v>1514</v>
      </c>
    </row>
    <row r="58">
      <c r="A58" s="11">
        <v>26.6265106201171</v>
      </c>
      <c r="B58" s="11">
        <v>51.2280120849609</v>
      </c>
      <c r="C58" s="11">
        <v>0.0</v>
      </c>
      <c r="D58" s="11" t="s">
        <v>1061</v>
      </c>
      <c r="E58" s="11">
        <v>0.0</v>
      </c>
      <c r="F58" s="11" t="s">
        <v>1116</v>
      </c>
      <c r="I58" s="11">
        <v>79.2703857421875</v>
      </c>
      <c r="J58" s="11">
        <v>-10.6162357330322</v>
      </c>
      <c r="K58" s="11">
        <v>0.0</v>
      </c>
      <c r="L58" s="11" t="s">
        <v>1390</v>
      </c>
      <c r="M58" s="11">
        <v>0.0</v>
      </c>
      <c r="N58" s="11" t="s">
        <v>1516</v>
      </c>
    </row>
    <row r="59">
      <c r="A59" s="11">
        <v>-39.8983268737793</v>
      </c>
      <c r="B59" s="11">
        <v>16.211534500122</v>
      </c>
      <c r="C59" s="11">
        <v>0.0</v>
      </c>
      <c r="D59" s="11" t="s">
        <v>1061</v>
      </c>
      <c r="E59" s="11">
        <v>0.0</v>
      </c>
      <c r="F59" s="11" t="s">
        <v>1117</v>
      </c>
      <c r="I59" s="11">
        <v>81.5885772705078</v>
      </c>
      <c r="J59" s="11">
        <v>13.8840723037719</v>
      </c>
      <c r="K59" s="11">
        <v>0.0</v>
      </c>
      <c r="L59" s="11" t="s">
        <v>1390</v>
      </c>
      <c r="M59" s="11">
        <v>0.0</v>
      </c>
      <c r="N59" s="11" t="s">
        <v>1518</v>
      </c>
    </row>
    <row r="60">
      <c r="A60" s="11">
        <v>46.1702766418457</v>
      </c>
      <c r="B60" s="11">
        <v>-20.6142711639404</v>
      </c>
      <c r="C60" s="11">
        <v>2.0</v>
      </c>
      <c r="D60" s="11" t="s">
        <v>1061</v>
      </c>
      <c r="E60" s="11">
        <v>2.0</v>
      </c>
      <c r="F60" s="11" t="s">
        <v>1520</v>
      </c>
      <c r="I60" s="11">
        <v>77.7593154907226</v>
      </c>
      <c r="J60" s="11">
        <v>-8.57128143310546</v>
      </c>
      <c r="K60" s="11">
        <v>0.0</v>
      </c>
      <c r="L60" s="11" t="s">
        <v>1390</v>
      </c>
      <c r="M60" s="11">
        <v>0.0</v>
      </c>
      <c r="N60" s="11" t="s">
        <v>1521</v>
      </c>
    </row>
    <row r="61">
      <c r="A61" s="11">
        <v>-17.3591804504394</v>
      </c>
      <c r="B61" s="11">
        <v>38.3477935791015</v>
      </c>
      <c r="C61" s="11">
        <v>0.0</v>
      </c>
      <c r="D61" s="11" t="s">
        <v>1061</v>
      </c>
      <c r="E61" s="11">
        <v>0.0</v>
      </c>
      <c r="F61" s="11" t="s">
        <v>1118</v>
      </c>
      <c r="I61" s="11">
        <v>5.20831394195556</v>
      </c>
      <c r="J61" s="11">
        <v>-41.6834411621093</v>
      </c>
      <c r="K61" s="11">
        <v>-1.0</v>
      </c>
      <c r="L61" s="11" t="s">
        <v>1390</v>
      </c>
      <c r="M61" s="11">
        <v>-1.0</v>
      </c>
      <c r="N61" s="11" t="s">
        <v>1523</v>
      </c>
    </row>
    <row r="62">
      <c r="A62" s="11">
        <v>37.7373924255371</v>
      </c>
      <c r="B62" s="11">
        <v>-22.7949829101562</v>
      </c>
      <c r="C62" s="11">
        <v>0.0</v>
      </c>
      <c r="D62" s="11" t="s">
        <v>1061</v>
      </c>
      <c r="E62" s="11">
        <v>0.0</v>
      </c>
      <c r="F62" s="11" t="s">
        <v>1119</v>
      </c>
      <c r="I62" s="11">
        <v>11.9655179977417</v>
      </c>
      <c r="J62" s="11">
        <v>1.34654712677001</v>
      </c>
      <c r="K62" s="11">
        <v>0.0</v>
      </c>
      <c r="L62" s="11" t="s">
        <v>1390</v>
      </c>
      <c r="M62" s="11">
        <v>0.0</v>
      </c>
      <c r="N62" s="11" t="s">
        <v>1525</v>
      </c>
    </row>
    <row r="63">
      <c r="A63" s="11">
        <v>-30.3544769287109</v>
      </c>
      <c r="B63" s="11">
        <v>14.2812395095825</v>
      </c>
      <c r="C63" s="11">
        <v>0.0</v>
      </c>
      <c r="D63" s="11" t="s">
        <v>1061</v>
      </c>
      <c r="E63" s="11">
        <v>0.0</v>
      </c>
      <c r="F63" s="11" t="s">
        <v>1120</v>
      </c>
      <c r="I63" s="11">
        <v>17.0128383636474</v>
      </c>
      <c r="J63" s="11">
        <v>-49.3463249206543</v>
      </c>
      <c r="K63" s="11">
        <v>1.0</v>
      </c>
      <c r="L63" s="11" t="s">
        <v>1390</v>
      </c>
      <c r="M63" s="11">
        <v>1.0</v>
      </c>
      <c r="N63" s="11" t="s">
        <v>1527</v>
      </c>
    </row>
    <row r="64">
      <c r="A64" s="11">
        <v>-19.0428314208984</v>
      </c>
      <c r="B64" s="11">
        <v>60.1443481445312</v>
      </c>
      <c r="C64" s="11">
        <v>0.0</v>
      </c>
      <c r="D64" s="11" t="s">
        <v>1061</v>
      </c>
      <c r="E64" s="11">
        <v>0.0</v>
      </c>
      <c r="F64" s="11" t="s">
        <v>1121</v>
      </c>
      <c r="I64" s="11">
        <v>6.25441932678222</v>
      </c>
      <c r="J64" s="11">
        <v>-10.1788053512573</v>
      </c>
      <c r="K64" s="11">
        <v>-1.0</v>
      </c>
      <c r="L64" s="11" t="s">
        <v>1390</v>
      </c>
      <c r="M64" s="11">
        <v>-1.0</v>
      </c>
      <c r="N64" s="11" t="s">
        <v>1529</v>
      </c>
    </row>
    <row r="65">
      <c r="A65" s="11">
        <v>-2.49134516716003</v>
      </c>
      <c r="B65" s="11">
        <v>10.8914546966552</v>
      </c>
      <c r="C65" s="11">
        <v>0.0</v>
      </c>
      <c r="D65" s="11" t="s">
        <v>1061</v>
      </c>
      <c r="E65" s="11">
        <v>0.0</v>
      </c>
      <c r="F65" s="11" t="s">
        <v>1122</v>
      </c>
      <c r="I65" s="11">
        <v>37.3211212158203</v>
      </c>
      <c r="J65" s="11">
        <v>-1.05353474617004</v>
      </c>
      <c r="K65" s="11">
        <v>0.0</v>
      </c>
      <c r="L65" s="11" t="s">
        <v>1390</v>
      </c>
      <c r="M65" s="11">
        <v>0.0</v>
      </c>
      <c r="N65" s="11" t="s">
        <v>1531</v>
      </c>
    </row>
    <row r="66">
      <c r="A66" s="11">
        <v>-17.7179298400878</v>
      </c>
      <c r="B66" s="11">
        <v>20.3880825042724</v>
      </c>
      <c r="C66" s="11">
        <v>0.0</v>
      </c>
      <c r="D66" s="11" t="s">
        <v>1061</v>
      </c>
      <c r="E66" s="11">
        <v>0.0</v>
      </c>
      <c r="F66" s="11" t="s">
        <v>1123</v>
      </c>
      <c r="I66" s="11">
        <v>45.9601287841796</v>
      </c>
      <c r="J66" s="11">
        <v>-1.20322370529174</v>
      </c>
      <c r="K66" s="11">
        <v>0.0</v>
      </c>
      <c r="L66" s="11" t="s">
        <v>1390</v>
      </c>
      <c r="M66" s="11">
        <v>0.0</v>
      </c>
      <c r="N66" s="11" t="s">
        <v>1533</v>
      </c>
    </row>
    <row r="67">
      <c r="A67" s="11">
        <v>-57.0447616577148</v>
      </c>
      <c r="B67" s="11">
        <v>13.4327402114868</v>
      </c>
      <c r="C67" s="11">
        <v>0.0</v>
      </c>
      <c r="D67" s="11" t="s">
        <v>1061</v>
      </c>
      <c r="E67" s="11">
        <v>0.0</v>
      </c>
      <c r="F67" s="11" t="s">
        <v>1124</v>
      </c>
      <c r="I67" s="11">
        <v>55.1696319580078</v>
      </c>
      <c r="J67" s="11">
        <v>3.66778659820556</v>
      </c>
      <c r="K67" s="11">
        <v>1.0</v>
      </c>
      <c r="L67" s="11" t="s">
        <v>1390</v>
      </c>
      <c r="M67" s="11">
        <v>1.0</v>
      </c>
      <c r="N67" s="11" t="s">
        <v>1535</v>
      </c>
    </row>
    <row r="68">
      <c r="A68" s="11">
        <v>-51.0314559936523</v>
      </c>
      <c r="B68" s="11">
        <v>25.7786560058593</v>
      </c>
      <c r="C68" s="11">
        <v>0.0</v>
      </c>
      <c r="D68" s="11" t="s">
        <v>1061</v>
      </c>
      <c r="E68" s="11">
        <v>0.0</v>
      </c>
      <c r="F68" s="11" t="s">
        <v>1125</v>
      </c>
      <c r="I68" s="11">
        <v>-11.0578327178955</v>
      </c>
      <c r="J68" s="11">
        <v>-18.6768245697021</v>
      </c>
      <c r="K68" s="11">
        <v>-1.0</v>
      </c>
      <c r="L68" s="11" t="s">
        <v>1390</v>
      </c>
      <c r="M68" s="11">
        <v>-1.0</v>
      </c>
      <c r="N68" s="11" t="s">
        <v>1539</v>
      </c>
    </row>
    <row r="69">
      <c r="A69" s="11">
        <v>16.5179080963134</v>
      </c>
      <c r="B69" s="11">
        <v>18.2623348236084</v>
      </c>
      <c r="C69" s="11">
        <v>0.0</v>
      </c>
      <c r="D69" s="11" t="s">
        <v>1061</v>
      </c>
      <c r="E69" s="11">
        <v>0.0</v>
      </c>
      <c r="F69" s="11" t="s">
        <v>1126</v>
      </c>
      <c r="I69" s="11">
        <v>7.52349424362182</v>
      </c>
      <c r="J69" s="11">
        <v>-6.88658571243286</v>
      </c>
      <c r="K69" s="11">
        <v>-1.0</v>
      </c>
      <c r="L69" s="11" t="s">
        <v>1390</v>
      </c>
      <c r="M69" s="11">
        <v>-1.0</v>
      </c>
      <c r="N69" s="11" t="s">
        <v>1541</v>
      </c>
    </row>
    <row r="70">
      <c r="A70" s="11">
        <v>-45.4461555480957</v>
      </c>
      <c r="B70" s="11">
        <v>36.3541412353515</v>
      </c>
      <c r="C70" s="11">
        <v>0.0</v>
      </c>
      <c r="D70" s="11" t="s">
        <v>1061</v>
      </c>
      <c r="E70" s="11">
        <v>0.0</v>
      </c>
      <c r="F70" s="11" t="s">
        <v>1127</v>
      </c>
      <c r="I70" s="11">
        <v>52.8862152099609</v>
      </c>
      <c r="J70" s="11">
        <v>-20.9292888641357</v>
      </c>
      <c r="K70" s="11">
        <v>1.0</v>
      </c>
      <c r="L70" s="11" t="s">
        <v>1390</v>
      </c>
      <c r="M70" s="11">
        <v>1.0</v>
      </c>
      <c r="N70" s="11" t="s">
        <v>1542</v>
      </c>
    </row>
    <row r="71">
      <c r="A71" s="11">
        <v>-5.82860088348388</v>
      </c>
      <c r="B71" s="11">
        <v>22.5071144104003</v>
      </c>
      <c r="C71" s="11">
        <v>-1.0</v>
      </c>
      <c r="D71" s="11" t="s">
        <v>1061</v>
      </c>
      <c r="E71" s="11">
        <v>-1.0</v>
      </c>
      <c r="F71" s="11" t="s">
        <v>1128</v>
      </c>
      <c r="I71" s="11">
        <v>1.82838022708892</v>
      </c>
      <c r="J71" s="11">
        <v>-44.3344421386718</v>
      </c>
      <c r="K71" s="11">
        <v>0.0</v>
      </c>
      <c r="L71" s="11" t="s">
        <v>1390</v>
      </c>
      <c r="M71" s="11">
        <v>0.0</v>
      </c>
      <c r="N71" s="11" t="s">
        <v>1544</v>
      </c>
    </row>
    <row r="72">
      <c r="A72" s="11">
        <v>-8.90802383422851</v>
      </c>
      <c r="B72" s="11">
        <v>-38.4536018371582</v>
      </c>
      <c r="C72" s="11">
        <v>0.0</v>
      </c>
      <c r="D72" s="11" t="s">
        <v>1061</v>
      </c>
      <c r="E72" s="11">
        <v>0.0</v>
      </c>
      <c r="F72" s="11" t="s">
        <v>1129</v>
      </c>
      <c r="I72" s="11">
        <v>6.35734510421752</v>
      </c>
      <c r="J72" s="11">
        <v>-43.9302902221679</v>
      </c>
      <c r="K72" s="11">
        <v>-1.0</v>
      </c>
      <c r="L72" s="11" t="s">
        <v>1390</v>
      </c>
      <c r="M72" s="11">
        <v>-1.0</v>
      </c>
      <c r="N72" s="11" t="s">
        <v>1546</v>
      </c>
    </row>
    <row r="73">
      <c r="A73" s="11">
        <v>3.0412254333496</v>
      </c>
      <c r="B73" s="11">
        <v>4.69716358184814</v>
      </c>
      <c r="C73" s="11">
        <v>0.0</v>
      </c>
      <c r="D73" s="11" t="s">
        <v>1061</v>
      </c>
      <c r="E73" s="11">
        <v>0.0</v>
      </c>
      <c r="F73" s="11" t="s">
        <v>1130</v>
      </c>
      <c r="I73" s="11">
        <v>15.0010442733764</v>
      </c>
      <c r="J73" s="11">
        <v>-30.4465522766113</v>
      </c>
      <c r="K73" s="11">
        <v>1.0</v>
      </c>
      <c r="L73" s="11" t="s">
        <v>1390</v>
      </c>
      <c r="M73" s="11">
        <v>1.0</v>
      </c>
      <c r="N73" s="11" t="s">
        <v>1548</v>
      </c>
    </row>
    <row r="74">
      <c r="A74" s="11">
        <v>37.8187828063964</v>
      </c>
      <c r="B74" s="11">
        <v>-24.2411766052246</v>
      </c>
      <c r="C74" s="11">
        <v>0.0</v>
      </c>
      <c r="D74" s="11" t="s">
        <v>1061</v>
      </c>
      <c r="E74" s="11">
        <v>0.0</v>
      </c>
      <c r="F74" s="11" t="s">
        <v>1131</v>
      </c>
      <c r="I74" s="11">
        <v>22.3383922576904</v>
      </c>
      <c r="J74" s="11">
        <v>-4.61486625671386</v>
      </c>
      <c r="K74" s="11">
        <v>0.0</v>
      </c>
      <c r="L74" s="11" t="s">
        <v>1390</v>
      </c>
      <c r="M74" s="11">
        <v>0.0</v>
      </c>
      <c r="N74" s="11" t="s">
        <v>1550</v>
      </c>
    </row>
    <row r="75">
      <c r="A75" s="11">
        <v>-13.9268884658813</v>
      </c>
      <c r="B75" s="11">
        <v>20.5233325958251</v>
      </c>
      <c r="C75" s="11">
        <v>0.0</v>
      </c>
      <c r="D75" s="11" t="s">
        <v>1061</v>
      </c>
      <c r="E75" s="11">
        <v>0.0</v>
      </c>
      <c r="F75" s="11" t="s">
        <v>1132</v>
      </c>
      <c r="I75" s="11">
        <v>-1.72626304626464</v>
      </c>
      <c r="J75" s="11">
        <v>-33.983642578125</v>
      </c>
      <c r="K75" s="11">
        <v>1.0</v>
      </c>
      <c r="L75" s="11" t="s">
        <v>1390</v>
      </c>
      <c r="M75" s="11">
        <v>1.0</v>
      </c>
      <c r="N75" s="11" t="s">
        <v>1552</v>
      </c>
    </row>
    <row r="76">
      <c r="A76" s="11">
        <v>6.64027166366577</v>
      </c>
      <c r="B76" s="11">
        <v>15.3779535293579</v>
      </c>
      <c r="C76" s="11">
        <v>-2.0</v>
      </c>
      <c r="D76" s="11" t="s">
        <v>1061</v>
      </c>
      <c r="E76" s="11">
        <v>-2.0</v>
      </c>
      <c r="F76" s="11" t="s">
        <v>1133</v>
      </c>
      <c r="I76" s="11">
        <v>13.3532342910766</v>
      </c>
      <c r="J76" s="11">
        <v>12.8348598480224</v>
      </c>
      <c r="K76" s="11">
        <v>0.0</v>
      </c>
      <c r="L76" s="11" t="s">
        <v>1390</v>
      </c>
      <c r="M76" s="11">
        <v>0.0</v>
      </c>
      <c r="N76" s="11" t="s">
        <v>1555</v>
      </c>
    </row>
    <row r="77">
      <c r="A77" s="11">
        <v>-45.0345420837402</v>
      </c>
      <c r="B77" s="11">
        <v>37.5887260437011</v>
      </c>
      <c r="C77" s="11">
        <v>0.0</v>
      </c>
      <c r="D77" s="11" t="s">
        <v>1061</v>
      </c>
      <c r="E77" s="11">
        <v>0.0</v>
      </c>
      <c r="F77" s="11" t="s">
        <v>1134</v>
      </c>
      <c r="I77" s="11">
        <v>19.8346633911132</v>
      </c>
      <c r="J77" s="11">
        <v>-1.89179348945617</v>
      </c>
      <c r="K77" s="11">
        <v>0.0</v>
      </c>
      <c r="L77" s="11" t="s">
        <v>1390</v>
      </c>
      <c r="M77" s="11">
        <v>0.0</v>
      </c>
      <c r="N77" s="11" t="s">
        <v>1557</v>
      </c>
    </row>
    <row r="78">
      <c r="A78" s="11">
        <v>-50.3342933654785</v>
      </c>
      <c r="B78" s="11">
        <v>27.2485733032226</v>
      </c>
      <c r="C78" s="11">
        <v>0.0</v>
      </c>
      <c r="D78" s="11" t="s">
        <v>1061</v>
      </c>
      <c r="E78" s="11">
        <v>0.0</v>
      </c>
      <c r="F78" s="11" t="s">
        <v>1135</v>
      </c>
      <c r="I78" s="11">
        <v>73.1897964477539</v>
      </c>
      <c r="J78" s="11">
        <v>24.7562999725341</v>
      </c>
      <c r="K78" s="11">
        <v>1.0</v>
      </c>
      <c r="L78" s="11" t="s">
        <v>1390</v>
      </c>
      <c r="M78" s="11">
        <v>1.0</v>
      </c>
      <c r="N78" s="11" t="s">
        <v>1560</v>
      </c>
    </row>
    <row r="79">
      <c r="A79" s="11">
        <v>49.7596473693847</v>
      </c>
      <c r="B79" s="11">
        <v>-5.57555437088012</v>
      </c>
      <c r="C79" s="11">
        <v>0.0</v>
      </c>
      <c r="D79" s="11" t="s">
        <v>1061</v>
      </c>
      <c r="E79" s="11">
        <v>0.0</v>
      </c>
      <c r="F79" s="11" t="s">
        <v>1136</v>
      </c>
      <c r="I79" s="11">
        <v>52.8147048950195</v>
      </c>
      <c r="J79" s="11">
        <v>-28.4638233184814</v>
      </c>
      <c r="K79" s="11">
        <v>0.0</v>
      </c>
      <c r="L79" s="11" t="s">
        <v>1390</v>
      </c>
      <c r="M79" s="11">
        <v>0.0</v>
      </c>
      <c r="N79" s="11" t="s">
        <v>1562</v>
      </c>
    </row>
    <row r="80">
      <c r="A80" s="11">
        <v>-2.81278109550476</v>
      </c>
      <c r="B80" s="11">
        <v>14.3958082199096</v>
      </c>
      <c r="C80" s="11">
        <v>0.0</v>
      </c>
      <c r="D80" s="11" t="s">
        <v>1061</v>
      </c>
      <c r="E80" s="11">
        <v>0.0</v>
      </c>
      <c r="F80" s="11" t="s">
        <v>1137</v>
      </c>
      <c r="I80" s="11">
        <v>36.0342216491699</v>
      </c>
      <c r="J80" s="11">
        <v>-22.1705646514892</v>
      </c>
      <c r="K80" s="11">
        <v>-2.0</v>
      </c>
      <c r="L80" s="11" t="s">
        <v>1390</v>
      </c>
      <c r="M80" s="11">
        <v>-2.0</v>
      </c>
      <c r="N80" s="11" t="s">
        <v>1564</v>
      </c>
    </row>
    <row r="81">
      <c r="A81" s="11">
        <v>23.0825214385986</v>
      </c>
      <c r="B81" s="11">
        <v>33.4398002624511</v>
      </c>
      <c r="C81" s="11">
        <v>2.0</v>
      </c>
      <c r="D81" s="11" t="s">
        <v>1061</v>
      </c>
      <c r="E81" s="11">
        <v>2.0</v>
      </c>
      <c r="F81" s="11" t="s">
        <v>1566</v>
      </c>
      <c r="I81" s="11">
        <v>17.0128383636474</v>
      </c>
      <c r="J81" s="11">
        <v>-49.3463249206543</v>
      </c>
      <c r="K81" s="11">
        <v>1.0</v>
      </c>
      <c r="L81" s="11" t="s">
        <v>1390</v>
      </c>
      <c r="M81" s="11">
        <v>1.0</v>
      </c>
      <c r="N81" s="11" t="s">
        <v>1568</v>
      </c>
    </row>
    <row r="82">
      <c r="A82" s="11">
        <v>15.2587642669677</v>
      </c>
      <c r="B82" s="11">
        <v>17.9264450073242</v>
      </c>
      <c r="C82" s="11">
        <v>0.0</v>
      </c>
      <c r="D82" s="11" t="s">
        <v>1061</v>
      </c>
      <c r="E82" s="11">
        <v>0.0</v>
      </c>
      <c r="F82" s="11" t="s">
        <v>1138</v>
      </c>
      <c r="I82" s="11">
        <v>20.1819705963134</v>
      </c>
      <c r="J82" s="11">
        <v>-20.8658638000488</v>
      </c>
      <c r="K82" s="11">
        <v>-1.0</v>
      </c>
      <c r="L82" s="11" t="s">
        <v>1390</v>
      </c>
      <c r="M82" s="11">
        <v>-1.0</v>
      </c>
      <c r="N82" s="11" t="s">
        <v>1570</v>
      </c>
    </row>
    <row r="83">
      <c r="A83" s="11">
        <v>-66.6212844848632</v>
      </c>
      <c r="B83" s="11">
        <v>23.8240814208984</v>
      </c>
      <c r="C83" s="11">
        <v>0.0</v>
      </c>
      <c r="D83" s="11" t="s">
        <v>1061</v>
      </c>
      <c r="E83" s="11">
        <v>0.0</v>
      </c>
      <c r="F83" s="11" t="s">
        <v>1139</v>
      </c>
      <c r="I83" s="11">
        <v>5.52356052398681</v>
      </c>
      <c r="J83" s="11">
        <v>22.774580001831</v>
      </c>
      <c r="K83" s="11">
        <v>0.0</v>
      </c>
      <c r="L83" s="11" t="s">
        <v>1390</v>
      </c>
      <c r="M83" s="11">
        <v>0.0</v>
      </c>
      <c r="N83" s="11" t="s">
        <v>1572</v>
      </c>
    </row>
    <row r="84">
      <c r="A84" s="11">
        <v>-23.8440322875976</v>
      </c>
      <c r="B84" s="11">
        <v>11.9867658615112</v>
      </c>
      <c r="C84" s="11">
        <v>0.0</v>
      </c>
      <c r="D84" s="11" t="s">
        <v>1061</v>
      </c>
      <c r="E84" s="11">
        <v>0.0</v>
      </c>
      <c r="F84" s="11" t="s">
        <v>1140</v>
      </c>
      <c r="I84" s="11">
        <v>-8.91149616241455</v>
      </c>
      <c r="J84" s="11">
        <v>-11.6654052734375</v>
      </c>
      <c r="K84" s="11">
        <v>0.0</v>
      </c>
      <c r="L84" s="11" t="s">
        <v>1390</v>
      </c>
      <c r="M84" s="11">
        <v>0.0</v>
      </c>
      <c r="N84" s="11" t="s">
        <v>1573</v>
      </c>
    </row>
    <row r="85">
      <c r="A85" s="11">
        <v>-12.9563694000244</v>
      </c>
      <c r="B85" s="11">
        <v>-48.3176803588867</v>
      </c>
      <c r="C85" s="11">
        <v>0.0</v>
      </c>
      <c r="D85" s="11" t="s">
        <v>1061</v>
      </c>
      <c r="E85" s="11">
        <v>0.0</v>
      </c>
      <c r="F85" s="11" t="s">
        <v>1141</v>
      </c>
      <c r="I85" s="11">
        <v>17.1128749847412</v>
      </c>
      <c r="J85" s="11">
        <v>-16.3199920654296</v>
      </c>
      <c r="K85" s="11">
        <v>1.0</v>
      </c>
      <c r="L85" s="11" t="s">
        <v>1390</v>
      </c>
      <c r="M85" s="11">
        <v>1.0</v>
      </c>
      <c r="N85" s="11" t="s">
        <v>1575</v>
      </c>
    </row>
    <row r="86">
      <c r="A86" s="11">
        <v>-55.5773239135742</v>
      </c>
      <c r="B86" s="11">
        <v>13.2588214874267</v>
      </c>
      <c r="C86" s="11">
        <v>0.0</v>
      </c>
      <c r="D86" s="11" t="s">
        <v>1061</v>
      </c>
      <c r="E86" s="11">
        <v>0.0</v>
      </c>
      <c r="F86" s="11" t="s">
        <v>1142</v>
      </c>
      <c r="I86" s="11">
        <v>8.30336856842041</v>
      </c>
      <c r="J86" s="11">
        <v>-28.6852855682373</v>
      </c>
      <c r="K86" s="11">
        <v>0.0</v>
      </c>
      <c r="L86" s="11" t="s">
        <v>1390</v>
      </c>
      <c r="M86" s="11">
        <v>0.0</v>
      </c>
      <c r="N86" s="11" t="s">
        <v>1577</v>
      </c>
    </row>
    <row r="87">
      <c r="A87" s="11">
        <v>56.8287849426269</v>
      </c>
      <c r="B87" s="11">
        <v>-1.51916790008544</v>
      </c>
      <c r="C87" s="11">
        <v>2.0</v>
      </c>
      <c r="D87" s="11" t="s">
        <v>1061</v>
      </c>
      <c r="E87" s="11">
        <v>2.0</v>
      </c>
      <c r="F87" s="11" t="s">
        <v>1143</v>
      </c>
      <c r="I87" s="11">
        <v>17.6557788848876</v>
      </c>
      <c r="J87" s="11">
        <v>-1.87373483180999</v>
      </c>
      <c r="K87" s="11">
        <v>0.0</v>
      </c>
      <c r="L87" s="11" t="s">
        <v>1390</v>
      </c>
      <c r="M87" s="11">
        <v>0.0</v>
      </c>
      <c r="N87" s="11" t="s">
        <v>1579</v>
      </c>
    </row>
    <row r="88">
      <c r="A88" s="11">
        <v>29.2116775512695</v>
      </c>
      <c r="B88" s="11">
        <v>-22.0105094909667</v>
      </c>
      <c r="C88" s="11">
        <v>-2.0</v>
      </c>
      <c r="D88" s="11" t="s">
        <v>1061</v>
      </c>
      <c r="E88" s="11">
        <v>-2.0</v>
      </c>
      <c r="F88" s="11" t="s">
        <v>1144</v>
      </c>
      <c r="I88" s="11">
        <v>54.8253326416015</v>
      </c>
      <c r="J88" s="11">
        <v>-27.4976997375488</v>
      </c>
      <c r="K88" s="11">
        <v>0.0</v>
      </c>
      <c r="L88" s="11" t="s">
        <v>1390</v>
      </c>
      <c r="M88" s="11">
        <v>0.0</v>
      </c>
      <c r="N88" s="11" t="s">
        <v>1581</v>
      </c>
    </row>
    <row r="89">
      <c r="A89" s="11">
        <v>-1.95557880401611</v>
      </c>
      <c r="B89" s="11">
        <v>30.5201053619384</v>
      </c>
      <c r="C89" s="11">
        <v>0.0</v>
      </c>
      <c r="D89" s="11" t="s">
        <v>1061</v>
      </c>
      <c r="E89" s="11">
        <v>0.0</v>
      </c>
      <c r="F89" s="11" t="s">
        <v>1145</v>
      </c>
      <c r="I89" s="11">
        <v>13.2617626190185</v>
      </c>
      <c r="J89" s="11">
        <v>-31.025011062622</v>
      </c>
      <c r="K89" s="11">
        <v>1.0</v>
      </c>
      <c r="L89" s="11" t="s">
        <v>1390</v>
      </c>
      <c r="M89" s="11">
        <v>1.0</v>
      </c>
      <c r="N89" s="11" t="s">
        <v>1583</v>
      </c>
    </row>
    <row r="90">
      <c r="A90" s="11">
        <v>23.7676086425781</v>
      </c>
      <c r="B90" s="11">
        <v>28.4761028289794</v>
      </c>
      <c r="C90" s="11">
        <v>2.0</v>
      </c>
      <c r="D90" s="11" t="s">
        <v>1061</v>
      </c>
      <c r="E90" s="11">
        <v>2.0</v>
      </c>
      <c r="F90" s="11" t="s">
        <v>1584</v>
      </c>
      <c r="I90" s="11">
        <v>18.5115051269531</v>
      </c>
      <c r="J90" s="11">
        <v>17.2180347442626</v>
      </c>
      <c r="K90" s="11">
        <v>0.0</v>
      </c>
      <c r="L90" s="11" t="s">
        <v>1390</v>
      </c>
      <c r="M90" s="11">
        <v>0.0</v>
      </c>
      <c r="N90" s="11" t="s">
        <v>1586</v>
      </c>
    </row>
    <row r="91">
      <c r="A91" s="11">
        <v>-3.94960188865661</v>
      </c>
      <c r="B91" s="11">
        <v>2.80567073822021</v>
      </c>
      <c r="C91" s="11">
        <v>0.0</v>
      </c>
      <c r="D91" s="11" t="s">
        <v>1061</v>
      </c>
      <c r="E91" s="11">
        <v>0.0</v>
      </c>
      <c r="F91" s="11" t="s">
        <v>1146</v>
      </c>
      <c r="I91" s="11">
        <v>78.2880630493164</v>
      </c>
      <c r="J91" s="11">
        <v>-12.8159379959106</v>
      </c>
      <c r="K91" s="11">
        <v>0.0</v>
      </c>
      <c r="L91" s="11" t="s">
        <v>1390</v>
      </c>
      <c r="M91" s="11">
        <v>0.0</v>
      </c>
      <c r="N91" s="11" t="s">
        <v>1588</v>
      </c>
    </row>
    <row r="92">
      <c r="A92" s="11">
        <v>-18.7784519195556</v>
      </c>
      <c r="B92" s="11">
        <v>10.8369359970092</v>
      </c>
      <c r="C92" s="11">
        <v>0.0</v>
      </c>
      <c r="D92" s="11" t="s">
        <v>1061</v>
      </c>
      <c r="E92" s="11">
        <v>0.0</v>
      </c>
      <c r="F92" s="11" t="s">
        <v>1147</v>
      </c>
      <c r="I92" s="11">
        <v>16.02903175354</v>
      </c>
      <c r="J92" s="11">
        <v>1.52732074260711</v>
      </c>
      <c r="K92" s="11">
        <v>1.0</v>
      </c>
      <c r="L92" s="11" t="s">
        <v>1390</v>
      </c>
      <c r="M92" s="11">
        <v>1.0</v>
      </c>
      <c r="N92" s="11" t="s">
        <v>1590</v>
      </c>
    </row>
    <row r="93">
      <c r="A93" s="11">
        <v>-48.5730819702148</v>
      </c>
      <c r="B93" s="11">
        <v>24.358585357666</v>
      </c>
      <c r="C93" s="11">
        <v>0.0</v>
      </c>
      <c r="D93" s="11" t="s">
        <v>1061</v>
      </c>
      <c r="E93" s="11">
        <v>0.0</v>
      </c>
      <c r="F93" s="11" t="s">
        <v>1148</v>
      </c>
      <c r="I93" s="11">
        <v>11.3838367462158</v>
      </c>
      <c r="J93" s="11">
        <v>7.6076955795288</v>
      </c>
      <c r="K93" s="11">
        <v>0.0</v>
      </c>
      <c r="L93" s="11" t="s">
        <v>1390</v>
      </c>
      <c r="M93" s="11">
        <v>0.0</v>
      </c>
      <c r="N93" s="11" t="s">
        <v>1592</v>
      </c>
    </row>
    <row r="94">
      <c r="A94" s="11">
        <v>-5.56608390808105</v>
      </c>
      <c r="B94" s="11">
        <v>57.3565521240234</v>
      </c>
      <c r="C94" s="11">
        <v>1.0</v>
      </c>
      <c r="D94" s="11" t="s">
        <v>1061</v>
      </c>
      <c r="E94" s="11">
        <v>1.0</v>
      </c>
      <c r="F94" s="11" t="s">
        <v>1149</v>
      </c>
      <c r="I94" s="11">
        <v>-14.2210483551025</v>
      </c>
      <c r="J94" s="11">
        <v>22.7789669036865</v>
      </c>
      <c r="K94" s="11">
        <v>0.0</v>
      </c>
      <c r="L94" s="11" t="s">
        <v>1390</v>
      </c>
      <c r="M94" s="11">
        <v>0.0</v>
      </c>
      <c r="N94" s="11" t="s">
        <v>1594</v>
      </c>
    </row>
    <row r="95">
      <c r="A95" s="11">
        <v>31.5762958526611</v>
      </c>
      <c r="B95" s="11">
        <v>-28.1850547790527</v>
      </c>
      <c r="C95" s="11">
        <v>-2.0</v>
      </c>
      <c r="D95" s="11" t="s">
        <v>1061</v>
      </c>
      <c r="E95" s="11">
        <v>-2.0</v>
      </c>
      <c r="F95" s="11" t="s">
        <v>1150</v>
      </c>
      <c r="I95" s="11">
        <v>35.2550926208496</v>
      </c>
      <c r="J95" s="11">
        <v>-0.184348583221435</v>
      </c>
      <c r="K95" s="11">
        <v>0.0</v>
      </c>
      <c r="L95" s="11" t="s">
        <v>1390</v>
      </c>
      <c r="M95" s="11">
        <v>0.0</v>
      </c>
      <c r="N95" s="11" t="s">
        <v>1596</v>
      </c>
    </row>
    <row r="96">
      <c r="A96" s="11">
        <v>17.8644580841064</v>
      </c>
      <c r="B96" s="11">
        <v>40.9120407104492</v>
      </c>
      <c r="C96" s="11">
        <v>2.0</v>
      </c>
      <c r="D96" s="11" t="s">
        <v>1061</v>
      </c>
      <c r="E96" s="11">
        <v>2.0</v>
      </c>
      <c r="F96" s="11" t="s">
        <v>1597</v>
      </c>
      <c r="I96" s="11">
        <v>37.5415840148925</v>
      </c>
      <c r="J96" s="11">
        <v>1.33539903163909</v>
      </c>
      <c r="K96" s="11">
        <v>0.0</v>
      </c>
      <c r="L96" s="11" t="s">
        <v>1390</v>
      </c>
      <c r="M96" s="11">
        <v>0.0</v>
      </c>
      <c r="N96" s="11" t="s">
        <v>1599</v>
      </c>
    </row>
    <row r="97">
      <c r="A97" s="11">
        <v>-12.6621847152709</v>
      </c>
      <c r="B97" s="11">
        <v>4.97491645812988</v>
      </c>
      <c r="C97" s="11">
        <v>0.0</v>
      </c>
      <c r="D97" s="11" t="s">
        <v>1061</v>
      </c>
      <c r="E97" s="11">
        <v>0.0</v>
      </c>
      <c r="F97" s="11" t="s">
        <v>1151</v>
      </c>
      <c r="I97" s="11">
        <v>22.4346466064453</v>
      </c>
      <c r="J97" s="11">
        <v>11.2791938781738</v>
      </c>
      <c r="K97" s="11">
        <v>2.0</v>
      </c>
      <c r="L97" s="11" t="s">
        <v>1390</v>
      </c>
      <c r="M97" s="11">
        <v>2.0</v>
      </c>
      <c r="N97" s="11" t="s">
        <v>1601</v>
      </c>
    </row>
    <row r="98">
      <c r="A98" s="11">
        <v>-2.06164598464965</v>
      </c>
      <c r="B98" s="11">
        <v>4.17648601531982</v>
      </c>
      <c r="C98" s="11">
        <v>0.0</v>
      </c>
      <c r="D98" s="11" t="s">
        <v>1061</v>
      </c>
      <c r="E98" s="11">
        <v>0.0</v>
      </c>
      <c r="F98" s="11" t="s">
        <v>1152</v>
      </c>
      <c r="I98" s="11">
        <v>84.2698974609375</v>
      </c>
      <c r="J98" s="11">
        <v>12.0317106246948</v>
      </c>
      <c r="K98" s="11">
        <v>0.0</v>
      </c>
      <c r="L98" s="11" t="s">
        <v>1390</v>
      </c>
      <c r="M98" s="11">
        <v>0.0</v>
      </c>
      <c r="N98" s="11" t="s">
        <v>1603</v>
      </c>
    </row>
    <row r="99">
      <c r="A99" s="11">
        <v>-26.9018688201904</v>
      </c>
      <c r="B99" s="11">
        <v>-10.6552257537841</v>
      </c>
      <c r="C99" s="11">
        <v>0.0</v>
      </c>
      <c r="D99" s="11" t="s">
        <v>1061</v>
      </c>
      <c r="E99" s="11">
        <v>0.0</v>
      </c>
      <c r="F99" s="11" t="s">
        <v>1153</v>
      </c>
      <c r="I99" s="11">
        <v>5.19272518157959</v>
      </c>
      <c r="J99" s="11">
        <v>-21.9148693084716</v>
      </c>
      <c r="K99" s="11">
        <v>0.0</v>
      </c>
      <c r="L99" s="11" t="s">
        <v>1390</v>
      </c>
      <c r="M99" s="11">
        <v>0.0</v>
      </c>
      <c r="N99" s="11" t="s">
        <v>1605</v>
      </c>
    </row>
    <row r="100">
      <c r="A100" s="11">
        <v>-5.49186277389526</v>
      </c>
      <c r="B100" s="11">
        <v>7.79757070541381</v>
      </c>
      <c r="C100" s="11">
        <v>0.0</v>
      </c>
      <c r="D100" s="11" t="s">
        <v>1061</v>
      </c>
      <c r="E100" s="11">
        <v>0.0</v>
      </c>
      <c r="F100" s="11" t="s">
        <v>1154</v>
      </c>
      <c r="I100" s="11">
        <v>84.1584777832031</v>
      </c>
      <c r="J100" s="11">
        <v>15.0216360092163</v>
      </c>
      <c r="K100" s="11">
        <v>0.0</v>
      </c>
      <c r="L100" s="11" t="s">
        <v>1390</v>
      </c>
      <c r="M100" s="11">
        <v>0.0</v>
      </c>
      <c r="N100" s="11" t="s">
        <v>1607</v>
      </c>
    </row>
    <row r="101">
      <c r="A101" s="11">
        <v>0.69851678609848</v>
      </c>
      <c r="B101" s="11">
        <v>1.03152108192443</v>
      </c>
      <c r="C101" s="11">
        <v>0.0</v>
      </c>
      <c r="D101" s="11" t="s">
        <v>1061</v>
      </c>
      <c r="E101" s="11">
        <v>0.0</v>
      </c>
      <c r="F101" s="11" t="s">
        <v>1155</v>
      </c>
      <c r="I101" s="11">
        <v>50.1706314086914</v>
      </c>
      <c r="J101" s="11">
        <v>-11.2837553024292</v>
      </c>
      <c r="K101" s="11">
        <v>0.0</v>
      </c>
      <c r="L101" s="11" t="s">
        <v>1390</v>
      </c>
      <c r="M101" s="11">
        <v>0.0</v>
      </c>
      <c r="N101" s="11" t="s">
        <v>1609</v>
      </c>
    </row>
    <row r="102">
      <c r="A102" s="11">
        <v>-19.0428314208984</v>
      </c>
      <c r="B102" s="11">
        <v>60.1443481445312</v>
      </c>
      <c r="C102" s="11">
        <v>0.0</v>
      </c>
      <c r="D102" s="11" t="s">
        <v>1061</v>
      </c>
      <c r="E102" s="11">
        <v>0.0</v>
      </c>
      <c r="F102" s="11" t="s">
        <v>1156</v>
      </c>
      <c r="I102" s="11">
        <v>26.085485458374</v>
      </c>
      <c r="J102" s="11">
        <v>-16.6884708404541</v>
      </c>
      <c r="K102" s="11">
        <v>-2.0</v>
      </c>
      <c r="L102" s="11" t="s">
        <v>1390</v>
      </c>
      <c r="M102" s="11">
        <v>-2.0</v>
      </c>
      <c r="N102" s="11" t="s">
        <v>1611</v>
      </c>
    </row>
    <row r="103">
      <c r="A103" s="11">
        <v>6.65159702301025</v>
      </c>
      <c r="B103" s="11">
        <v>22.0261116027832</v>
      </c>
      <c r="C103" s="11">
        <v>0.0</v>
      </c>
      <c r="D103" s="11" t="s">
        <v>1061</v>
      </c>
      <c r="E103" s="11">
        <v>0.0</v>
      </c>
      <c r="F103" s="11" t="s">
        <v>1157</v>
      </c>
      <c r="I103" s="11">
        <v>18.6002044677734</v>
      </c>
      <c r="J103" s="11">
        <v>-11.8668756484985</v>
      </c>
      <c r="K103" s="11">
        <v>0.0</v>
      </c>
      <c r="L103" s="11" t="s">
        <v>1390</v>
      </c>
      <c r="M103" s="11">
        <v>0.0</v>
      </c>
      <c r="N103" s="11" t="s">
        <v>1613</v>
      </c>
    </row>
    <row r="104">
      <c r="A104" s="11">
        <v>32.2828559875488</v>
      </c>
      <c r="B104" s="11">
        <v>12.5924682617187</v>
      </c>
      <c r="C104" s="11">
        <v>-1.0</v>
      </c>
      <c r="D104" s="11" t="s">
        <v>1061</v>
      </c>
      <c r="E104" s="11">
        <v>-1.0</v>
      </c>
      <c r="F104" s="11" t="s">
        <v>1158</v>
      </c>
      <c r="I104" s="11">
        <v>13.7885246276855</v>
      </c>
      <c r="J104" s="11">
        <v>-20.6551723480224</v>
      </c>
      <c r="K104" s="11">
        <v>1.0</v>
      </c>
      <c r="L104" s="11" t="s">
        <v>1390</v>
      </c>
      <c r="M104" s="11">
        <v>1.0</v>
      </c>
      <c r="N104" s="11" t="s">
        <v>1615</v>
      </c>
    </row>
    <row r="105">
      <c r="A105" s="11">
        <v>-18.9138317108154</v>
      </c>
      <c r="B105" s="11">
        <v>4.9705901145935</v>
      </c>
      <c r="C105" s="11">
        <v>0.0</v>
      </c>
      <c r="D105" s="11" t="s">
        <v>1061</v>
      </c>
      <c r="E105" s="11">
        <v>0.0</v>
      </c>
      <c r="F105" s="11" t="s">
        <v>1159</v>
      </c>
      <c r="I105" s="11">
        <v>13.596694946289</v>
      </c>
      <c r="J105" s="11">
        <v>-7.0054030418396</v>
      </c>
      <c r="K105" s="11">
        <v>0.0</v>
      </c>
      <c r="L105" s="11" t="s">
        <v>1390</v>
      </c>
      <c r="M105" s="11">
        <v>0.0</v>
      </c>
      <c r="N105" s="11" t="s">
        <v>1617</v>
      </c>
    </row>
    <row r="106">
      <c r="A106" s="11">
        <v>4.64520215988159</v>
      </c>
      <c r="B106" s="11">
        <v>-20.7635612487792</v>
      </c>
      <c r="C106" s="11">
        <v>0.0</v>
      </c>
      <c r="D106" s="11" t="s">
        <v>1061</v>
      </c>
      <c r="E106" s="11">
        <v>0.0</v>
      </c>
      <c r="F106" s="11" t="s">
        <v>1160</v>
      </c>
      <c r="I106" s="11">
        <v>-16.6377773284912</v>
      </c>
      <c r="J106" s="11">
        <v>23.9062480926513</v>
      </c>
      <c r="K106" s="11">
        <v>0.0</v>
      </c>
      <c r="L106" s="11" t="s">
        <v>1390</v>
      </c>
      <c r="M106" s="11">
        <v>0.0</v>
      </c>
      <c r="N106" s="11" t="s">
        <v>1619</v>
      </c>
    </row>
    <row r="107">
      <c r="A107" s="11">
        <v>-46.5141639709472</v>
      </c>
      <c r="B107" s="11">
        <v>1.58820211887359</v>
      </c>
      <c r="C107" s="11">
        <v>0.0</v>
      </c>
      <c r="D107" s="11" t="s">
        <v>1061</v>
      </c>
      <c r="E107" s="11">
        <v>0.0</v>
      </c>
      <c r="F107" s="11" t="s">
        <v>1161</v>
      </c>
      <c r="I107" s="11">
        <v>11.919602394104</v>
      </c>
      <c r="J107" s="11">
        <v>-20.0699787139892</v>
      </c>
      <c r="K107" s="11">
        <v>1.0</v>
      </c>
      <c r="L107" s="11" t="s">
        <v>1390</v>
      </c>
      <c r="M107" s="11">
        <v>1.0</v>
      </c>
      <c r="N107" s="11" t="s">
        <v>1621</v>
      </c>
    </row>
    <row r="108">
      <c r="A108" s="11">
        <v>29.2116775512695</v>
      </c>
      <c r="B108" s="11">
        <v>-22.0105094909667</v>
      </c>
      <c r="C108" s="11">
        <v>-2.0</v>
      </c>
      <c r="D108" s="11" t="s">
        <v>1061</v>
      </c>
      <c r="E108" s="11">
        <v>-2.0</v>
      </c>
      <c r="F108" s="11" t="s">
        <v>1162</v>
      </c>
      <c r="I108" s="11">
        <v>0.475814342498779</v>
      </c>
      <c r="J108" s="11">
        <v>-8.60908412933349</v>
      </c>
      <c r="K108" s="11">
        <v>0.0</v>
      </c>
      <c r="L108" s="11" t="s">
        <v>1390</v>
      </c>
      <c r="M108" s="11">
        <v>0.0</v>
      </c>
      <c r="N108" s="11" t="s">
        <v>1623</v>
      </c>
    </row>
    <row r="109">
      <c r="A109" s="11">
        <v>-0.127950325608253</v>
      </c>
      <c r="B109" s="11">
        <v>-43.6379089355468</v>
      </c>
      <c r="C109" s="11">
        <v>0.0</v>
      </c>
      <c r="D109" s="11" t="s">
        <v>1061</v>
      </c>
      <c r="E109" s="11">
        <v>0.0</v>
      </c>
      <c r="F109" s="11" t="s">
        <v>1163</v>
      </c>
      <c r="I109" s="11">
        <v>4.31983661651611</v>
      </c>
      <c r="J109" s="11">
        <v>-45.2224769592285</v>
      </c>
      <c r="K109" s="11">
        <v>0.0</v>
      </c>
      <c r="L109" s="11" t="s">
        <v>1390</v>
      </c>
      <c r="M109" s="11">
        <v>0.0</v>
      </c>
      <c r="N109" s="11" t="s">
        <v>1625</v>
      </c>
    </row>
    <row r="110">
      <c r="A110" s="11">
        <v>19.138479232788</v>
      </c>
      <c r="B110" s="11">
        <v>36.6442947387695</v>
      </c>
      <c r="C110" s="11">
        <v>2.0</v>
      </c>
      <c r="D110" s="11" t="s">
        <v>1061</v>
      </c>
      <c r="E110" s="11">
        <v>2.0</v>
      </c>
      <c r="F110" s="11" t="s">
        <v>1626</v>
      </c>
      <c r="I110" s="11">
        <v>51.6349334716796</v>
      </c>
      <c r="J110" s="11">
        <v>-45.971939086914</v>
      </c>
      <c r="K110" s="11">
        <v>0.0</v>
      </c>
      <c r="L110" s="11" t="s">
        <v>1390</v>
      </c>
      <c r="M110" s="11">
        <v>0.0</v>
      </c>
      <c r="N110" s="11" t="s">
        <v>1628</v>
      </c>
    </row>
    <row r="111">
      <c r="A111" s="11">
        <v>30.2801856994628</v>
      </c>
      <c r="B111" s="11">
        <v>-14.5330772399902</v>
      </c>
      <c r="C111" s="11">
        <v>0.0</v>
      </c>
      <c r="D111" s="11" t="s">
        <v>1061</v>
      </c>
      <c r="E111" s="11">
        <v>0.0</v>
      </c>
      <c r="F111" s="11" t="s">
        <v>1164</v>
      </c>
      <c r="I111" s="11">
        <v>22.5659446716308</v>
      </c>
      <c r="J111" s="11">
        <v>-12.7826509475708</v>
      </c>
      <c r="K111" s="11">
        <v>0.0</v>
      </c>
      <c r="L111" s="11" t="s">
        <v>1390</v>
      </c>
      <c r="M111" s="11">
        <v>0.0</v>
      </c>
      <c r="N111" s="11" t="s">
        <v>1630</v>
      </c>
    </row>
    <row r="112">
      <c r="A112" s="11">
        <v>92.6834030151367</v>
      </c>
      <c r="B112" s="11">
        <v>13.3407382965087</v>
      </c>
      <c r="C112" s="11">
        <v>2.0</v>
      </c>
      <c r="D112" s="11" t="s">
        <v>1061</v>
      </c>
      <c r="E112" s="11">
        <v>2.0</v>
      </c>
      <c r="F112" s="11" t="s">
        <v>1165</v>
      </c>
      <c r="I112" s="11">
        <v>17.1895809173584</v>
      </c>
      <c r="J112" s="11">
        <v>-8.10558414459228</v>
      </c>
      <c r="K112" s="11">
        <v>1.0</v>
      </c>
      <c r="L112" s="11" t="s">
        <v>1390</v>
      </c>
      <c r="M112" s="11">
        <v>1.0</v>
      </c>
      <c r="N112" s="11" t="s">
        <v>1632</v>
      </c>
    </row>
    <row r="113">
      <c r="A113" s="11">
        <v>6.1206932067871</v>
      </c>
      <c r="B113" s="11">
        <v>25.3919677734375</v>
      </c>
      <c r="C113" s="11">
        <v>0.0</v>
      </c>
      <c r="D113" s="11" t="s">
        <v>1061</v>
      </c>
      <c r="E113" s="11">
        <v>0.0</v>
      </c>
      <c r="F113" s="11" t="s">
        <v>1166</v>
      </c>
      <c r="I113" s="11">
        <v>10.3464174270629</v>
      </c>
      <c r="J113" s="11">
        <v>-13.1545753479003</v>
      </c>
      <c r="K113" s="11">
        <v>-2.0</v>
      </c>
      <c r="L113" s="11" t="s">
        <v>1390</v>
      </c>
      <c r="M113" s="11">
        <v>-2.0</v>
      </c>
      <c r="N113" s="11" t="s">
        <v>1634</v>
      </c>
    </row>
    <row r="114">
      <c r="A114" s="11">
        <v>-19.3206710815429</v>
      </c>
      <c r="B114" s="11">
        <v>9.13393878936767</v>
      </c>
      <c r="C114" s="11">
        <v>0.0</v>
      </c>
      <c r="D114" s="11" t="s">
        <v>1061</v>
      </c>
      <c r="E114" s="11">
        <v>0.0</v>
      </c>
      <c r="F114" s="11" t="s">
        <v>1167</v>
      </c>
      <c r="I114" s="11">
        <v>15.4892492294311</v>
      </c>
      <c r="J114" s="11">
        <v>3.52391552925109</v>
      </c>
      <c r="K114" s="11">
        <v>0.0</v>
      </c>
      <c r="L114" s="11" t="s">
        <v>1390</v>
      </c>
      <c r="M114" s="11">
        <v>0.0</v>
      </c>
      <c r="N114" s="11" t="s">
        <v>1635</v>
      </c>
    </row>
    <row r="115">
      <c r="A115" s="11">
        <v>7.6495566368103</v>
      </c>
      <c r="B115" s="11">
        <v>-12.1711492538452</v>
      </c>
      <c r="C115" s="11">
        <v>0.0</v>
      </c>
      <c r="D115" s="11" t="s">
        <v>1061</v>
      </c>
      <c r="E115" s="11">
        <v>0.0</v>
      </c>
      <c r="F115" s="11" t="s">
        <v>1168</v>
      </c>
      <c r="I115" s="11">
        <v>7.51531791687011</v>
      </c>
      <c r="J115" s="11">
        <v>-41.6509094238281</v>
      </c>
      <c r="K115" s="11">
        <v>0.0</v>
      </c>
      <c r="L115" s="11" t="s">
        <v>1390</v>
      </c>
      <c r="M115" s="11">
        <v>0.0</v>
      </c>
      <c r="N115" s="11" t="s">
        <v>1637</v>
      </c>
    </row>
    <row r="116">
      <c r="A116" s="11">
        <v>13.2307844161987</v>
      </c>
      <c r="B116" s="11">
        <v>46.021369934082</v>
      </c>
      <c r="C116" s="11">
        <v>2.0</v>
      </c>
      <c r="D116" s="11" t="s">
        <v>1061</v>
      </c>
      <c r="E116" s="11">
        <v>2.0</v>
      </c>
      <c r="F116" s="11" t="s">
        <v>1638</v>
      </c>
      <c r="I116" s="11">
        <v>82.4779205322265</v>
      </c>
      <c r="J116" s="11">
        <v>-19.0872936248779</v>
      </c>
      <c r="K116" s="11">
        <v>1.0</v>
      </c>
      <c r="L116" s="11" t="s">
        <v>1390</v>
      </c>
      <c r="M116" s="11">
        <v>1.0</v>
      </c>
      <c r="N116" s="11" t="s">
        <v>1640</v>
      </c>
    </row>
    <row r="117">
      <c r="A117" s="11">
        <v>6.38089275360107</v>
      </c>
      <c r="B117" s="11">
        <v>22.9011459350585</v>
      </c>
      <c r="C117" s="11">
        <v>0.0</v>
      </c>
      <c r="D117" s="11" t="s">
        <v>1061</v>
      </c>
      <c r="E117" s="11">
        <v>0.0</v>
      </c>
      <c r="F117" s="11" t="s">
        <v>1169</v>
      </c>
      <c r="I117" s="11">
        <v>7.3056035041809</v>
      </c>
      <c r="J117" s="11">
        <v>56.1438941955566</v>
      </c>
      <c r="K117" s="11">
        <v>0.0</v>
      </c>
      <c r="L117" s="11" t="s">
        <v>1390</v>
      </c>
      <c r="M117" s="11">
        <v>0.0</v>
      </c>
      <c r="N117" s="11" t="s">
        <v>1642</v>
      </c>
    </row>
    <row r="118">
      <c r="A118" s="11">
        <v>5.52120304107666</v>
      </c>
      <c r="B118" s="11">
        <v>22.7460994720459</v>
      </c>
      <c r="C118" s="11">
        <v>0.0</v>
      </c>
      <c r="D118" s="11" t="s">
        <v>1061</v>
      </c>
      <c r="E118" s="11">
        <v>0.0</v>
      </c>
      <c r="F118" s="11" t="s">
        <v>1170</v>
      </c>
      <c r="I118" s="11">
        <v>73.3981857299804</v>
      </c>
      <c r="J118" s="11">
        <v>21.4613037109375</v>
      </c>
      <c r="K118" s="11">
        <v>1.0</v>
      </c>
      <c r="L118" s="11" t="s">
        <v>1390</v>
      </c>
      <c r="M118" s="11">
        <v>1.0</v>
      </c>
      <c r="N118" s="11" t="s">
        <v>1643</v>
      </c>
    </row>
    <row r="119">
      <c r="A119" s="11">
        <v>-4.74811840057373</v>
      </c>
      <c r="B119" s="11">
        <v>4.03556013107299</v>
      </c>
      <c r="C119" s="11">
        <v>0.0</v>
      </c>
      <c r="D119" s="11" t="s">
        <v>1061</v>
      </c>
      <c r="E119" s="11">
        <v>0.0</v>
      </c>
      <c r="F119" s="11" t="s">
        <v>1171</v>
      </c>
      <c r="I119" s="11">
        <v>44.525032043457</v>
      </c>
      <c r="J119" s="11">
        <v>-19.6303558349609</v>
      </c>
      <c r="K119" s="11">
        <v>2.0</v>
      </c>
      <c r="L119" s="11" t="s">
        <v>1390</v>
      </c>
      <c r="M119" s="11">
        <v>2.0</v>
      </c>
      <c r="N119" s="11" t="s">
        <v>1645</v>
      </c>
    </row>
    <row r="120">
      <c r="A120" s="11">
        <v>3.05722212791442</v>
      </c>
      <c r="B120" s="11">
        <v>-10.7272148132324</v>
      </c>
      <c r="C120" s="11">
        <v>-1.0</v>
      </c>
      <c r="D120" s="11" t="s">
        <v>1061</v>
      </c>
      <c r="E120" s="11">
        <v>-1.0</v>
      </c>
      <c r="F120" s="11" t="s">
        <v>1646</v>
      </c>
      <c r="I120" s="11">
        <v>31.5484447479248</v>
      </c>
      <c r="J120" s="11">
        <v>-26.8945980072021</v>
      </c>
      <c r="K120" s="11">
        <v>-2.0</v>
      </c>
      <c r="L120" s="11" t="s">
        <v>1390</v>
      </c>
      <c r="M120" s="11">
        <v>-2.0</v>
      </c>
      <c r="N120" s="11" t="s">
        <v>1647</v>
      </c>
    </row>
    <row r="121">
      <c r="A121" s="11">
        <v>3.76930975914001</v>
      </c>
      <c r="B121" s="11">
        <v>-19.5081825256347</v>
      </c>
      <c r="C121" s="11">
        <v>0.0</v>
      </c>
      <c r="D121" s="11" t="s">
        <v>1061</v>
      </c>
      <c r="E121" s="11">
        <v>0.0</v>
      </c>
      <c r="F121" s="11" t="s">
        <v>1172</v>
      </c>
      <c r="I121" s="11">
        <v>-8.85390758514404</v>
      </c>
      <c r="J121" s="11">
        <v>6.14012289047241</v>
      </c>
      <c r="K121" s="11">
        <v>1.0</v>
      </c>
      <c r="L121" s="11" t="s">
        <v>1390</v>
      </c>
      <c r="M121" s="11">
        <v>1.0</v>
      </c>
      <c r="N121" s="11" t="s">
        <v>1649</v>
      </c>
    </row>
    <row r="122">
      <c r="A122" s="11">
        <v>18.2522201538085</v>
      </c>
      <c r="B122" s="11">
        <v>-33.7293739318847</v>
      </c>
      <c r="C122" s="11">
        <v>-1.0</v>
      </c>
      <c r="D122" s="11" t="s">
        <v>1061</v>
      </c>
      <c r="E122" s="11">
        <v>-1.0</v>
      </c>
      <c r="F122" s="11" t="s">
        <v>1173</v>
      </c>
      <c r="I122" s="11">
        <v>18.3818759918212</v>
      </c>
      <c r="J122" s="11">
        <v>-16.3286190032959</v>
      </c>
      <c r="K122" s="11">
        <v>0.0</v>
      </c>
      <c r="L122" s="11" t="s">
        <v>1390</v>
      </c>
      <c r="M122" s="11">
        <v>0.0</v>
      </c>
      <c r="N122" s="11" t="s">
        <v>1650</v>
      </c>
    </row>
    <row r="123">
      <c r="A123" s="11">
        <v>-42.0656814575195</v>
      </c>
      <c r="B123" s="11">
        <v>9.35639286041259</v>
      </c>
      <c r="C123" s="11">
        <v>0.0</v>
      </c>
      <c r="D123" s="11" t="s">
        <v>1061</v>
      </c>
      <c r="E123" s="11">
        <v>0.0</v>
      </c>
      <c r="F123" s="11" t="s">
        <v>1174</v>
      </c>
      <c r="I123" s="11">
        <v>3.274582862854</v>
      </c>
      <c r="J123" s="11">
        <v>-40.0495491027832</v>
      </c>
      <c r="K123" s="11">
        <v>0.0</v>
      </c>
      <c r="L123" s="11" t="s">
        <v>1390</v>
      </c>
      <c r="M123" s="11">
        <v>0.0</v>
      </c>
      <c r="N123" s="11" t="s">
        <v>1653</v>
      </c>
    </row>
    <row r="124">
      <c r="A124" s="11">
        <v>-9.34880065917968</v>
      </c>
      <c r="B124" s="11">
        <v>43.5342597961425</v>
      </c>
      <c r="C124" s="11">
        <v>0.0</v>
      </c>
      <c r="D124" s="11" t="s">
        <v>1061</v>
      </c>
      <c r="E124" s="11">
        <v>0.0</v>
      </c>
      <c r="F124" s="11" t="s">
        <v>1175</v>
      </c>
      <c r="I124" s="11">
        <v>84.2698974609375</v>
      </c>
      <c r="J124" s="11">
        <v>12.0317106246948</v>
      </c>
      <c r="K124" s="11">
        <v>0.0</v>
      </c>
      <c r="L124" s="11" t="s">
        <v>1390</v>
      </c>
      <c r="M124" s="11">
        <v>0.0</v>
      </c>
      <c r="N124" s="11" t="s">
        <v>1655</v>
      </c>
    </row>
    <row r="125">
      <c r="A125" s="11">
        <v>-11.9636373519897</v>
      </c>
      <c r="B125" s="11">
        <v>0.548387050628662</v>
      </c>
      <c r="C125" s="11">
        <v>0.0</v>
      </c>
      <c r="D125" s="11" t="s">
        <v>1061</v>
      </c>
      <c r="E125" s="11">
        <v>0.0</v>
      </c>
      <c r="F125" s="11" t="s">
        <v>1176</v>
      </c>
      <c r="I125" s="11">
        <v>22.1652469635009</v>
      </c>
      <c r="J125" s="11">
        <v>0.437585026025772</v>
      </c>
      <c r="K125" s="11">
        <v>0.0</v>
      </c>
      <c r="L125" s="11" t="s">
        <v>1390</v>
      </c>
      <c r="M125" s="11">
        <v>0.0</v>
      </c>
      <c r="N125" s="11" t="s">
        <v>1657</v>
      </c>
    </row>
    <row r="126">
      <c r="A126" s="11">
        <v>-59.9157943725585</v>
      </c>
      <c r="B126" s="11">
        <v>37.6758003234863</v>
      </c>
      <c r="C126" s="11">
        <v>0.0</v>
      </c>
      <c r="D126" s="11" t="s">
        <v>1061</v>
      </c>
      <c r="E126" s="11">
        <v>0.0</v>
      </c>
      <c r="F126" s="11" t="s">
        <v>1177</v>
      </c>
      <c r="I126" s="11">
        <v>50.0169334411621</v>
      </c>
      <c r="J126" s="11">
        <v>-14.0527944564819</v>
      </c>
      <c r="K126" s="11">
        <v>0.0</v>
      </c>
      <c r="L126" s="11" t="s">
        <v>1390</v>
      </c>
      <c r="M126" s="11">
        <v>0.0</v>
      </c>
      <c r="N126" s="11" t="s">
        <v>1659</v>
      </c>
    </row>
    <row r="127">
      <c r="A127" s="11">
        <v>-0.923457622528076</v>
      </c>
      <c r="B127" s="11">
        <v>5.82285165786743</v>
      </c>
      <c r="C127" s="11">
        <v>0.0</v>
      </c>
      <c r="D127" s="11" t="s">
        <v>1061</v>
      </c>
      <c r="E127" s="11">
        <v>0.0</v>
      </c>
      <c r="F127" s="11" t="s">
        <v>1178</v>
      </c>
      <c r="I127" s="11">
        <v>52.8862152099609</v>
      </c>
      <c r="J127" s="11">
        <v>-20.9292888641357</v>
      </c>
      <c r="K127" s="11">
        <v>1.0</v>
      </c>
      <c r="L127" s="11" t="s">
        <v>1390</v>
      </c>
      <c r="M127" s="11">
        <v>1.0</v>
      </c>
      <c r="N127" s="11" t="s">
        <v>1661</v>
      </c>
    </row>
    <row r="128">
      <c r="A128" s="11">
        <v>86.791763305664</v>
      </c>
      <c r="B128" s="11">
        <v>14.6705894470214</v>
      </c>
      <c r="C128" s="11">
        <v>2.0</v>
      </c>
      <c r="D128" s="11" t="s">
        <v>1061</v>
      </c>
      <c r="E128" s="11">
        <v>2.0</v>
      </c>
      <c r="F128" s="11" t="s">
        <v>1179</v>
      </c>
      <c r="I128" s="11">
        <v>-15.8345489501953</v>
      </c>
      <c r="J128" s="11">
        <v>-13.6768169403076</v>
      </c>
      <c r="K128" s="11">
        <v>0.0</v>
      </c>
      <c r="L128" s="11" t="s">
        <v>1390</v>
      </c>
      <c r="M128" s="11">
        <v>0.0</v>
      </c>
      <c r="N128" s="11" t="s">
        <v>1663</v>
      </c>
    </row>
    <row r="129">
      <c r="A129" s="11">
        <v>-44.0007781982421</v>
      </c>
      <c r="B129" s="11">
        <v>35.5644264221191</v>
      </c>
      <c r="C129" s="11">
        <v>0.0</v>
      </c>
      <c r="D129" s="11" t="s">
        <v>1061</v>
      </c>
      <c r="E129" s="11">
        <v>0.0</v>
      </c>
      <c r="F129" s="11" t="s">
        <v>1180</v>
      </c>
      <c r="I129" s="11">
        <v>18.8297901153564</v>
      </c>
      <c r="J129" s="11">
        <v>-4.01333379745483</v>
      </c>
      <c r="K129" s="11">
        <v>0.0</v>
      </c>
      <c r="L129" s="11" t="s">
        <v>1390</v>
      </c>
      <c r="M129" s="11">
        <v>0.0</v>
      </c>
      <c r="N129" s="11" t="s">
        <v>1665</v>
      </c>
    </row>
    <row r="130">
      <c r="A130" s="11">
        <v>16.549087524414</v>
      </c>
      <c r="B130" s="11">
        <v>19.5774345397949</v>
      </c>
      <c r="C130" s="11">
        <v>0.0</v>
      </c>
      <c r="D130" s="11" t="s">
        <v>1061</v>
      </c>
      <c r="E130" s="11">
        <v>0.0</v>
      </c>
      <c r="F130" s="11" t="s">
        <v>1181</v>
      </c>
      <c r="I130" s="11">
        <v>2.37875652313232</v>
      </c>
      <c r="J130" s="11">
        <v>-58.137035369873</v>
      </c>
      <c r="K130" s="11">
        <v>0.0</v>
      </c>
      <c r="L130" s="11" t="s">
        <v>1390</v>
      </c>
      <c r="M130" s="11">
        <v>0.0</v>
      </c>
      <c r="N130" s="11" t="s">
        <v>1667</v>
      </c>
    </row>
    <row r="131">
      <c r="A131" s="11">
        <v>78.9607238769531</v>
      </c>
      <c r="B131" s="11">
        <v>19.79221534729</v>
      </c>
      <c r="C131" s="11">
        <v>2.0</v>
      </c>
      <c r="D131" s="11" t="s">
        <v>1061</v>
      </c>
      <c r="E131" s="11">
        <v>2.0</v>
      </c>
      <c r="F131" s="11" t="s">
        <v>1182</v>
      </c>
      <c r="I131" s="11">
        <v>49.1066551208496</v>
      </c>
      <c r="J131" s="11">
        <v>-4.92304229736328</v>
      </c>
      <c r="K131" s="11">
        <v>0.0</v>
      </c>
      <c r="L131" s="11" t="s">
        <v>1390</v>
      </c>
      <c r="M131" s="11">
        <v>0.0</v>
      </c>
      <c r="N131" s="11" t="s">
        <v>1668</v>
      </c>
    </row>
    <row r="132">
      <c r="A132" s="11">
        <v>-19.0428314208984</v>
      </c>
      <c r="B132" s="11">
        <v>60.1443481445312</v>
      </c>
      <c r="C132" s="11">
        <v>0.0</v>
      </c>
      <c r="D132" s="11" t="s">
        <v>1061</v>
      </c>
      <c r="E132" s="11">
        <v>0.0</v>
      </c>
      <c r="F132" s="11" t="s">
        <v>1183</v>
      </c>
      <c r="I132" s="11">
        <v>5.87119817733764</v>
      </c>
      <c r="J132" s="11">
        <v>-15.3142833709716</v>
      </c>
      <c r="K132" s="11">
        <v>1.0</v>
      </c>
      <c r="L132" s="11" t="s">
        <v>1390</v>
      </c>
      <c r="M132" s="11">
        <v>1.0</v>
      </c>
      <c r="N132" s="11" t="s">
        <v>1670</v>
      </c>
    </row>
    <row r="133">
      <c r="A133" s="11">
        <v>-1.151624917984</v>
      </c>
      <c r="B133" s="11">
        <v>-23.7219772338867</v>
      </c>
      <c r="C133" s="11">
        <v>1.0</v>
      </c>
      <c r="D133" s="11" t="s">
        <v>1061</v>
      </c>
      <c r="E133" s="11">
        <v>1.0</v>
      </c>
      <c r="F133" s="11" t="s">
        <v>1184</v>
      </c>
      <c r="I133" s="11">
        <v>-1.40636110305786</v>
      </c>
      <c r="J133" s="11">
        <v>-19.8297271728515</v>
      </c>
      <c r="K133" s="11">
        <v>0.0</v>
      </c>
      <c r="L133" s="11" t="s">
        <v>1390</v>
      </c>
      <c r="M133" s="11">
        <v>0.0</v>
      </c>
      <c r="N133" s="11" t="s">
        <v>1672</v>
      </c>
    </row>
    <row r="134">
      <c r="A134" s="11">
        <v>-18.7253341674804</v>
      </c>
      <c r="B134" s="11">
        <v>18.3446464538574</v>
      </c>
      <c r="C134" s="11">
        <v>0.0</v>
      </c>
      <c r="D134" s="11" t="s">
        <v>1061</v>
      </c>
      <c r="E134" s="11">
        <v>0.0</v>
      </c>
      <c r="F134" s="11" t="s">
        <v>1185</v>
      </c>
      <c r="I134" s="11">
        <v>44.4499969482421</v>
      </c>
      <c r="J134" s="11">
        <v>-22.5130538940429</v>
      </c>
      <c r="K134" s="11">
        <v>0.0</v>
      </c>
      <c r="L134" s="11" t="s">
        <v>1390</v>
      </c>
      <c r="M134" s="11">
        <v>0.0</v>
      </c>
      <c r="N134" s="11" t="s">
        <v>1674</v>
      </c>
    </row>
    <row r="135">
      <c r="A135" s="11">
        <v>-0.705664873123169</v>
      </c>
      <c r="B135" s="11">
        <v>-42.6471405029296</v>
      </c>
      <c r="C135" s="11">
        <v>0.0</v>
      </c>
      <c r="D135" s="11" t="s">
        <v>1061</v>
      </c>
      <c r="E135" s="11">
        <v>0.0</v>
      </c>
      <c r="F135" s="11" t="s">
        <v>1186</v>
      </c>
      <c r="I135" s="11">
        <v>2.37875652313232</v>
      </c>
      <c r="J135" s="11">
        <v>-58.137035369873</v>
      </c>
      <c r="K135" s="11">
        <v>0.0</v>
      </c>
      <c r="L135" s="11" t="s">
        <v>1390</v>
      </c>
      <c r="M135" s="11">
        <v>0.0</v>
      </c>
      <c r="N135" s="11" t="s">
        <v>1676</v>
      </c>
    </row>
    <row r="136">
      <c r="A136" s="11">
        <v>59.5531349182128</v>
      </c>
      <c r="B136" s="11">
        <v>-8.33835315704345</v>
      </c>
      <c r="C136" s="11">
        <v>0.0</v>
      </c>
      <c r="D136" s="11" t="s">
        <v>1061</v>
      </c>
      <c r="E136" s="11">
        <v>0.0</v>
      </c>
      <c r="F136" s="11" t="s">
        <v>1187</v>
      </c>
      <c r="I136" s="11">
        <v>-16.6196670532226</v>
      </c>
      <c r="J136" s="11">
        <v>26.2891063690185</v>
      </c>
      <c r="K136" s="11">
        <v>0.0</v>
      </c>
      <c r="L136" s="11" t="s">
        <v>1390</v>
      </c>
      <c r="M136" s="11">
        <v>0.0</v>
      </c>
      <c r="N136" s="11" t="s">
        <v>1678</v>
      </c>
    </row>
    <row r="137">
      <c r="A137" s="11">
        <v>-38.0843887329101</v>
      </c>
      <c r="B137" s="11">
        <v>24.2750606536865</v>
      </c>
      <c r="C137" s="11">
        <v>0.0</v>
      </c>
      <c r="D137" s="11" t="s">
        <v>1061</v>
      </c>
      <c r="E137" s="11">
        <v>0.0</v>
      </c>
      <c r="F137" s="11" t="s">
        <v>1188</v>
      </c>
      <c r="I137" s="11">
        <v>11.7438325881958</v>
      </c>
      <c r="J137" s="11">
        <v>-8.70280265808105</v>
      </c>
      <c r="K137" s="11">
        <v>0.0</v>
      </c>
      <c r="L137" s="11" t="s">
        <v>1390</v>
      </c>
      <c r="M137" s="11">
        <v>0.0</v>
      </c>
      <c r="N137" s="11" t="s">
        <v>1680</v>
      </c>
    </row>
    <row r="138">
      <c r="A138" s="11">
        <v>5.76922416687011</v>
      </c>
      <c r="B138" s="11">
        <v>21.8078250885009</v>
      </c>
      <c r="C138" s="11">
        <v>0.0</v>
      </c>
      <c r="D138" s="11" t="s">
        <v>1061</v>
      </c>
      <c r="E138" s="11">
        <v>0.0</v>
      </c>
      <c r="F138" s="11" t="s">
        <v>1189</v>
      </c>
      <c r="I138" s="11">
        <v>6.86154270172119</v>
      </c>
      <c r="J138" s="11">
        <v>-11.2771883010864</v>
      </c>
      <c r="K138" s="11">
        <v>-1.0</v>
      </c>
      <c r="L138" s="11" t="s">
        <v>1390</v>
      </c>
      <c r="M138" s="11">
        <v>-1.0</v>
      </c>
      <c r="N138" s="11" t="s">
        <v>1681</v>
      </c>
    </row>
    <row r="139">
      <c r="A139" s="11">
        <v>87.87548828125</v>
      </c>
      <c r="B139" s="11">
        <v>15.8551549911499</v>
      </c>
      <c r="C139" s="11">
        <v>2.0</v>
      </c>
      <c r="D139" s="11" t="s">
        <v>1061</v>
      </c>
      <c r="E139" s="11">
        <v>2.0</v>
      </c>
      <c r="F139" s="11" t="s">
        <v>1190</v>
      </c>
      <c r="I139" s="11">
        <v>6.9943356513977</v>
      </c>
      <c r="J139" s="11">
        <v>37.6108512878418</v>
      </c>
      <c r="K139" s="11">
        <v>0.0</v>
      </c>
      <c r="L139" s="11" t="s">
        <v>1390</v>
      </c>
      <c r="M139" s="11">
        <v>0.0</v>
      </c>
      <c r="N139" s="11" t="s">
        <v>1683</v>
      </c>
    </row>
    <row r="140">
      <c r="A140" s="11">
        <v>-35.6260681152343</v>
      </c>
      <c r="B140" s="11">
        <v>14.8441019058227</v>
      </c>
      <c r="C140" s="11">
        <v>0.0</v>
      </c>
      <c r="D140" s="11" t="s">
        <v>1061</v>
      </c>
      <c r="E140" s="11">
        <v>0.0</v>
      </c>
      <c r="F140" s="11" t="s">
        <v>1191</v>
      </c>
      <c r="I140" s="11">
        <v>25.4351959228515</v>
      </c>
      <c r="J140" s="11">
        <v>-17.7463340759277</v>
      </c>
      <c r="K140" s="11">
        <v>-2.0</v>
      </c>
      <c r="L140" s="11" t="s">
        <v>1390</v>
      </c>
      <c r="M140" s="11">
        <v>-2.0</v>
      </c>
      <c r="N140" s="11" t="s">
        <v>1685</v>
      </c>
    </row>
    <row r="141">
      <c r="A141" s="11">
        <v>-22.6543159484863</v>
      </c>
      <c r="B141" s="11">
        <v>7.91495513916015</v>
      </c>
      <c r="C141" s="11">
        <v>0.0</v>
      </c>
      <c r="D141" s="11" t="s">
        <v>1061</v>
      </c>
      <c r="E141" s="11">
        <v>0.0</v>
      </c>
      <c r="F141" s="11" t="s">
        <v>1192</v>
      </c>
      <c r="I141" s="11">
        <v>7.533371925354</v>
      </c>
      <c r="J141" s="11">
        <v>-3.11013579368591</v>
      </c>
      <c r="K141" s="11">
        <v>0.0</v>
      </c>
      <c r="L141" s="11" t="s">
        <v>1390</v>
      </c>
      <c r="M141" s="11">
        <v>0.0</v>
      </c>
      <c r="N141" s="11" t="s">
        <v>1687</v>
      </c>
    </row>
    <row r="142">
      <c r="A142" s="11">
        <v>44.1874160766601</v>
      </c>
      <c r="B142" s="11">
        <v>9.55304145812988</v>
      </c>
      <c r="C142" s="11">
        <v>2.0</v>
      </c>
      <c r="D142" s="11" t="s">
        <v>1061</v>
      </c>
      <c r="E142" s="11">
        <v>2.0</v>
      </c>
      <c r="F142" s="11" t="s">
        <v>1193</v>
      </c>
      <c r="I142" s="11">
        <v>23.2762928009033</v>
      </c>
      <c r="J142" s="11">
        <v>-10.6156854629516</v>
      </c>
      <c r="K142" s="11">
        <v>0.0</v>
      </c>
      <c r="L142" s="11" t="s">
        <v>1390</v>
      </c>
      <c r="M142" s="11">
        <v>0.0</v>
      </c>
      <c r="N142" s="11" t="s">
        <v>1689</v>
      </c>
    </row>
    <row r="143">
      <c r="A143" s="11">
        <v>-35.6260681152343</v>
      </c>
      <c r="B143" s="11">
        <v>14.8441019058227</v>
      </c>
      <c r="C143" s="11">
        <v>0.0</v>
      </c>
      <c r="D143" s="11" t="s">
        <v>1061</v>
      </c>
      <c r="E143" s="11">
        <v>0.0</v>
      </c>
      <c r="F143" s="11" t="s">
        <v>1194</v>
      </c>
      <c r="I143" s="11">
        <v>75.3581619262695</v>
      </c>
      <c r="J143" s="11">
        <v>-8.82663440704345</v>
      </c>
      <c r="K143" s="11">
        <v>0.0</v>
      </c>
      <c r="L143" s="11" t="s">
        <v>1390</v>
      </c>
      <c r="M143" s="11">
        <v>0.0</v>
      </c>
      <c r="N143" s="11" t="s">
        <v>1691</v>
      </c>
    </row>
    <row r="144">
      <c r="A144" s="11">
        <v>-15.6233682632446</v>
      </c>
      <c r="B144" s="11">
        <v>4.31549549102783</v>
      </c>
      <c r="C144" s="11">
        <v>0.0</v>
      </c>
      <c r="D144" s="11" t="s">
        <v>1061</v>
      </c>
      <c r="E144" s="11">
        <v>0.0</v>
      </c>
      <c r="F144" s="11" t="s">
        <v>1195</v>
      </c>
      <c r="I144" s="11">
        <v>5.73746633529663</v>
      </c>
      <c r="J144" s="11">
        <v>-39.4341773986816</v>
      </c>
      <c r="K144" s="11">
        <v>-1.0</v>
      </c>
      <c r="L144" s="11" t="s">
        <v>1390</v>
      </c>
      <c r="M144" s="11">
        <v>-1.0</v>
      </c>
      <c r="N144" s="11" t="s">
        <v>1693</v>
      </c>
    </row>
    <row r="145">
      <c r="A145" s="11">
        <v>-4.50022888183593</v>
      </c>
      <c r="B145" s="11">
        <v>-0.446764111518859</v>
      </c>
      <c r="C145" s="11">
        <v>0.0</v>
      </c>
      <c r="D145" s="11" t="s">
        <v>1061</v>
      </c>
      <c r="E145" s="11">
        <v>0.0</v>
      </c>
      <c r="F145" s="11" t="s">
        <v>1196</v>
      </c>
      <c r="I145" s="11">
        <v>81.760025024414</v>
      </c>
      <c r="J145" s="11">
        <v>10.3772087097167</v>
      </c>
      <c r="K145" s="11">
        <v>0.0</v>
      </c>
      <c r="L145" s="11" t="s">
        <v>1390</v>
      </c>
      <c r="M145" s="11">
        <v>0.0</v>
      </c>
      <c r="N145" s="11" t="s">
        <v>1695</v>
      </c>
    </row>
    <row r="146">
      <c r="A146" s="11">
        <v>-36.886245727539</v>
      </c>
      <c r="B146" s="11">
        <v>23.7510643005371</v>
      </c>
      <c r="C146" s="11">
        <v>0.0</v>
      </c>
      <c r="D146" s="11" t="s">
        <v>1061</v>
      </c>
      <c r="E146" s="11">
        <v>0.0</v>
      </c>
      <c r="F146" s="11" t="s">
        <v>1197</v>
      </c>
      <c r="I146" s="11">
        <v>46.1580162048339</v>
      </c>
      <c r="J146" s="11">
        <v>-3.93341708183288</v>
      </c>
      <c r="K146" s="11">
        <v>0.0</v>
      </c>
      <c r="L146" s="11" t="s">
        <v>1390</v>
      </c>
      <c r="M146" s="11">
        <v>0.0</v>
      </c>
      <c r="N146" s="11" t="s">
        <v>1697</v>
      </c>
    </row>
    <row r="147">
      <c r="A147" s="11">
        <v>31.5762958526611</v>
      </c>
      <c r="B147" s="11">
        <v>-28.1850547790527</v>
      </c>
      <c r="C147" s="11">
        <v>-2.0</v>
      </c>
      <c r="D147" s="11" t="s">
        <v>1061</v>
      </c>
      <c r="E147" s="11">
        <v>-2.0</v>
      </c>
      <c r="F147" s="11" t="s">
        <v>1198</v>
      </c>
      <c r="I147" s="11">
        <v>58.1793899536132</v>
      </c>
      <c r="J147" s="11">
        <v>-15.5827379226684</v>
      </c>
      <c r="K147" s="11">
        <v>0.0</v>
      </c>
      <c r="L147" s="11" t="s">
        <v>1390</v>
      </c>
      <c r="M147" s="11">
        <v>0.0</v>
      </c>
      <c r="N147" s="11" t="s">
        <v>1699</v>
      </c>
    </row>
    <row r="148">
      <c r="A148" s="11">
        <v>42.9763603210449</v>
      </c>
      <c r="B148" s="11">
        <v>-9.35474872589111</v>
      </c>
      <c r="C148" s="11">
        <v>0.0</v>
      </c>
      <c r="D148" s="11" t="s">
        <v>1061</v>
      </c>
      <c r="E148" s="11">
        <v>0.0</v>
      </c>
      <c r="F148" s="11" t="s">
        <v>1199</v>
      </c>
      <c r="I148" s="11">
        <v>6.9943356513977</v>
      </c>
      <c r="J148" s="11">
        <v>37.6108512878418</v>
      </c>
      <c r="K148" s="11">
        <v>0.0</v>
      </c>
      <c r="L148" s="11" t="s">
        <v>1390</v>
      </c>
      <c r="M148" s="11">
        <v>0.0</v>
      </c>
      <c r="N148" s="11" t="s">
        <v>1701</v>
      </c>
    </row>
    <row r="149">
      <c r="A149" s="11">
        <v>7.91585350036621</v>
      </c>
      <c r="B149" s="11">
        <v>5.10548496246337</v>
      </c>
      <c r="C149" s="11">
        <v>0.0</v>
      </c>
      <c r="D149" s="11" t="s">
        <v>1061</v>
      </c>
      <c r="E149" s="11">
        <v>0.0</v>
      </c>
      <c r="F149" s="11" t="s">
        <v>1200</v>
      </c>
      <c r="I149" s="11">
        <v>18.9763507843017</v>
      </c>
      <c r="J149" s="11">
        <v>39.2480163574218</v>
      </c>
      <c r="K149" s="11">
        <v>0.0</v>
      </c>
      <c r="L149" s="11" t="s">
        <v>1390</v>
      </c>
      <c r="M149" s="11">
        <v>0.0</v>
      </c>
      <c r="N149" s="11" t="s">
        <v>1703</v>
      </c>
    </row>
    <row r="150">
      <c r="A150" s="11">
        <v>16.7267017364501</v>
      </c>
      <c r="B150" s="11">
        <v>-27.8122692108154</v>
      </c>
      <c r="C150" s="11">
        <v>0.0</v>
      </c>
      <c r="D150" s="11" t="s">
        <v>1061</v>
      </c>
      <c r="E150" s="11">
        <v>0.0</v>
      </c>
      <c r="F150" s="11" t="s">
        <v>1201</v>
      </c>
      <c r="I150" s="11">
        <v>48.5889663696289</v>
      </c>
      <c r="J150" s="11">
        <v>-1.83906996250152</v>
      </c>
      <c r="K150" s="11">
        <v>0.0</v>
      </c>
      <c r="L150" s="11" t="s">
        <v>1390</v>
      </c>
      <c r="M150" s="11">
        <v>0.0</v>
      </c>
      <c r="N150" s="11" t="s">
        <v>1705</v>
      </c>
    </row>
    <row r="151">
      <c r="A151" s="11">
        <v>48.9160575866699</v>
      </c>
      <c r="B151" s="11">
        <v>2.87510728836059</v>
      </c>
      <c r="C151" s="11">
        <v>0.0</v>
      </c>
      <c r="D151" s="11" t="s">
        <v>1061</v>
      </c>
      <c r="E151" s="11">
        <v>0.0</v>
      </c>
      <c r="F151" s="11" t="s">
        <v>1202</v>
      </c>
      <c r="I151" s="11">
        <v>25.3221454620361</v>
      </c>
      <c r="J151" s="11">
        <v>-35.3357238769531</v>
      </c>
      <c r="K151" s="11">
        <v>2.0</v>
      </c>
      <c r="L151" s="11" t="s">
        <v>1390</v>
      </c>
      <c r="M151" s="11">
        <v>2.0</v>
      </c>
      <c r="N151" s="11" t="s">
        <v>1707</v>
      </c>
    </row>
    <row r="152">
      <c r="A152" s="11">
        <v>-37.0176811218261</v>
      </c>
      <c r="B152" s="11">
        <v>24.9858779907226</v>
      </c>
      <c r="C152" s="11">
        <v>0.0</v>
      </c>
      <c r="D152" s="11" t="s">
        <v>1061</v>
      </c>
      <c r="E152" s="11">
        <v>0.0</v>
      </c>
      <c r="F152" s="11" t="s">
        <v>1203</v>
      </c>
      <c r="I152" s="11">
        <v>-6.04040336608886</v>
      </c>
      <c r="J152" s="11">
        <v>29.2625827789306</v>
      </c>
      <c r="K152" s="11">
        <v>0.0</v>
      </c>
      <c r="L152" s="11" t="s">
        <v>1390</v>
      </c>
      <c r="M152" s="11">
        <v>0.0</v>
      </c>
      <c r="N152" s="11" t="s">
        <v>1709</v>
      </c>
    </row>
    <row r="153">
      <c r="A153" s="11">
        <v>-37.3689308166503</v>
      </c>
      <c r="B153" s="11">
        <v>26.2120857238769</v>
      </c>
      <c r="C153" s="11">
        <v>0.0</v>
      </c>
      <c r="D153" s="11" t="s">
        <v>1061</v>
      </c>
      <c r="E153" s="11">
        <v>0.0</v>
      </c>
      <c r="F153" s="11" t="s">
        <v>1204</v>
      </c>
      <c r="I153" s="11">
        <v>-16.6634216308593</v>
      </c>
      <c r="J153" s="11">
        <v>21.1919956207275</v>
      </c>
      <c r="K153" s="11">
        <v>0.0</v>
      </c>
      <c r="L153" s="11" t="s">
        <v>1390</v>
      </c>
      <c r="M153" s="11">
        <v>0.0</v>
      </c>
      <c r="N153" s="11" t="s">
        <v>1711</v>
      </c>
    </row>
    <row r="154">
      <c r="A154" s="11">
        <v>-13.8858470916748</v>
      </c>
      <c r="B154" s="11">
        <v>20.6865444183349</v>
      </c>
      <c r="C154" s="11">
        <v>0.0</v>
      </c>
      <c r="D154" s="11" t="s">
        <v>1061</v>
      </c>
      <c r="E154" s="11">
        <v>0.0</v>
      </c>
      <c r="F154" s="11" t="s">
        <v>1205</v>
      </c>
      <c r="I154" s="11">
        <v>27.8060436248779</v>
      </c>
      <c r="J154" s="11">
        <v>14.3411750793457</v>
      </c>
      <c r="K154" s="11">
        <v>0.0</v>
      </c>
      <c r="L154" s="11" t="s">
        <v>1390</v>
      </c>
      <c r="M154" s="11">
        <v>0.0</v>
      </c>
      <c r="N154" s="11" t="s">
        <v>1713</v>
      </c>
    </row>
    <row r="155">
      <c r="A155" s="11">
        <v>-51.0314559936523</v>
      </c>
      <c r="B155" s="11">
        <v>25.7786560058593</v>
      </c>
      <c r="C155" s="11">
        <v>0.0</v>
      </c>
      <c r="D155" s="11" t="s">
        <v>1061</v>
      </c>
      <c r="E155" s="11">
        <v>0.0</v>
      </c>
      <c r="F155" s="11" t="s">
        <v>1206</v>
      </c>
      <c r="I155" s="11">
        <v>22.3407115936279</v>
      </c>
      <c r="J155" s="11">
        <v>-16.9766292572021</v>
      </c>
      <c r="K155" s="11">
        <v>-2.0</v>
      </c>
      <c r="L155" s="11" t="s">
        <v>1390</v>
      </c>
      <c r="M155" s="11">
        <v>-2.0</v>
      </c>
      <c r="N155" s="11" t="s">
        <v>1715</v>
      </c>
    </row>
    <row r="156">
      <c r="A156" s="11">
        <v>-17.3591804504394</v>
      </c>
      <c r="B156" s="11">
        <v>38.3477935791015</v>
      </c>
      <c r="C156" s="11">
        <v>0.0</v>
      </c>
      <c r="D156" s="11" t="s">
        <v>1061</v>
      </c>
      <c r="E156" s="11">
        <v>0.0</v>
      </c>
      <c r="F156" s="11" t="s">
        <v>1207</v>
      </c>
      <c r="I156" s="11">
        <v>76.0966186523437</v>
      </c>
      <c r="J156" s="11">
        <v>22.7591075897216</v>
      </c>
      <c r="K156" s="11">
        <v>1.0</v>
      </c>
      <c r="L156" s="11" t="s">
        <v>1390</v>
      </c>
      <c r="M156" s="11">
        <v>1.0</v>
      </c>
      <c r="N156" s="11" t="s">
        <v>1717</v>
      </c>
    </row>
    <row r="157">
      <c r="A157" s="11">
        <v>43.0182609558105</v>
      </c>
      <c r="B157" s="11">
        <v>3.57625985145568</v>
      </c>
      <c r="C157" s="11">
        <v>0.0</v>
      </c>
      <c r="D157" s="11" t="s">
        <v>1061</v>
      </c>
      <c r="E157" s="11">
        <v>0.0</v>
      </c>
      <c r="F157" s="11" t="s">
        <v>1208</v>
      </c>
      <c r="I157" s="11">
        <v>36.2410697937011</v>
      </c>
      <c r="J157" s="11">
        <v>-7.58913278579711</v>
      </c>
      <c r="K157" s="11">
        <v>0.0</v>
      </c>
      <c r="L157" s="11" t="s">
        <v>1390</v>
      </c>
      <c r="M157" s="11">
        <v>0.0</v>
      </c>
      <c r="N157" s="11" t="s">
        <v>1719</v>
      </c>
    </row>
    <row r="158">
      <c r="A158" s="11">
        <v>47.8953781127929</v>
      </c>
      <c r="B158" s="11">
        <v>-23.676399230957</v>
      </c>
      <c r="C158" s="11">
        <v>2.0</v>
      </c>
      <c r="D158" s="11" t="s">
        <v>1061</v>
      </c>
      <c r="E158" s="11">
        <v>2.0</v>
      </c>
      <c r="F158" s="11" t="s">
        <v>1721</v>
      </c>
      <c r="I158" s="11">
        <v>7.3056035041809</v>
      </c>
      <c r="J158" s="11">
        <v>56.1438941955566</v>
      </c>
      <c r="K158" s="11">
        <v>0.0</v>
      </c>
      <c r="L158" s="11" t="s">
        <v>1390</v>
      </c>
      <c r="M158" s="11">
        <v>0.0</v>
      </c>
      <c r="N158" s="11" t="s">
        <v>1722</v>
      </c>
    </row>
    <row r="159">
      <c r="A159" s="11">
        <v>42.2021980285644</v>
      </c>
      <c r="B159" s="11">
        <v>-2.04885149002075</v>
      </c>
      <c r="C159" s="11">
        <v>2.0</v>
      </c>
      <c r="D159" s="11" t="s">
        <v>1061</v>
      </c>
      <c r="E159" s="11">
        <v>2.0</v>
      </c>
      <c r="F159" s="11" t="s">
        <v>1209</v>
      </c>
      <c r="I159" s="11">
        <v>48.5889663696289</v>
      </c>
      <c r="J159" s="11">
        <v>-1.83906996250152</v>
      </c>
      <c r="K159" s="11">
        <v>0.0</v>
      </c>
      <c r="L159" s="11" t="s">
        <v>1390</v>
      </c>
      <c r="M159" s="11">
        <v>0.0</v>
      </c>
      <c r="N159" s="11" t="s">
        <v>1724</v>
      </c>
    </row>
    <row r="160">
      <c r="A160" s="11">
        <v>50.4155769348144</v>
      </c>
      <c r="B160" s="11">
        <v>-20.2328567504882</v>
      </c>
      <c r="C160" s="11">
        <v>0.0</v>
      </c>
      <c r="D160" s="11" t="s">
        <v>1061</v>
      </c>
      <c r="E160" s="11">
        <v>0.0</v>
      </c>
      <c r="F160" s="11" t="s">
        <v>1726</v>
      </c>
      <c r="I160" s="11">
        <v>43.5534324645996</v>
      </c>
      <c r="J160" s="11">
        <v>-17.9914093017578</v>
      </c>
      <c r="K160" s="11">
        <v>2.0</v>
      </c>
      <c r="L160" s="11" t="s">
        <v>1390</v>
      </c>
      <c r="M160" s="11">
        <v>2.0</v>
      </c>
      <c r="N160" s="11" t="s">
        <v>1727</v>
      </c>
    </row>
    <row r="161">
      <c r="A161" s="11">
        <v>2.92808580398559</v>
      </c>
      <c r="B161" s="11">
        <v>5.49099588394165</v>
      </c>
      <c r="C161" s="11">
        <v>0.0</v>
      </c>
      <c r="D161" s="11" t="s">
        <v>1061</v>
      </c>
      <c r="E161" s="11">
        <v>0.0</v>
      </c>
      <c r="F161" s="11" t="s">
        <v>1210</v>
      </c>
      <c r="I161" s="11">
        <v>-7.79353141784668</v>
      </c>
      <c r="J161" s="11">
        <v>-51.5246200561523</v>
      </c>
      <c r="K161" s="11">
        <v>0.0</v>
      </c>
      <c r="L161" s="11" t="s">
        <v>1390</v>
      </c>
      <c r="M161" s="11">
        <v>0.0</v>
      </c>
      <c r="N161" s="11" t="s">
        <v>1729</v>
      </c>
    </row>
    <row r="162">
      <c r="A162" s="11">
        <v>11.7269210815429</v>
      </c>
      <c r="B162" s="11">
        <v>54.8678665161132</v>
      </c>
      <c r="C162" s="11">
        <v>0.0</v>
      </c>
      <c r="D162" s="11" t="s">
        <v>1061</v>
      </c>
      <c r="E162" s="11">
        <v>0.0</v>
      </c>
      <c r="F162" s="11" t="s">
        <v>1211</v>
      </c>
      <c r="I162" s="11">
        <v>34.7919464111328</v>
      </c>
      <c r="J162" s="11">
        <v>1.8980244398117</v>
      </c>
      <c r="K162" s="11">
        <v>0.0</v>
      </c>
      <c r="L162" s="11" t="s">
        <v>1390</v>
      </c>
      <c r="M162" s="11">
        <v>0.0</v>
      </c>
      <c r="N162" s="11" t="s">
        <v>1732</v>
      </c>
    </row>
    <row r="163">
      <c r="A163" s="11">
        <v>7.75585842132568</v>
      </c>
      <c r="B163" s="11">
        <v>-6.21762418746948</v>
      </c>
      <c r="C163" s="11">
        <v>1.0</v>
      </c>
      <c r="D163" s="11" t="s">
        <v>1061</v>
      </c>
      <c r="E163" s="11">
        <v>1.0</v>
      </c>
      <c r="F163" s="11" t="s">
        <v>1212</v>
      </c>
      <c r="I163" s="11">
        <v>51.3599777221679</v>
      </c>
      <c r="J163" s="11">
        <v>-14.2114124298095</v>
      </c>
      <c r="K163" s="11">
        <v>0.0</v>
      </c>
      <c r="L163" s="11" t="s">
        <v>1390</v>
      </c>
      <c r="M163" s="11">
        <v>0.0</v>
      </c>
      <c r="N163" s="11" t="s">
        <v>1734</v>
      </c>
    </row>
    <row r="164">
      <c r="A164" s="11">
        <v>-21.3430461883544</v>
      </c>
      <c r="B164" s="11">
        <v>3.18398904800415</v>
      </c>
      <c r="C164" s="11">
        <v>0.0</v>
      </c>
      <c r="D164" s="11" t="s">
        <v>1061</v>
      </c>
      <c r="E164" s="11">
        <v>0.0</v>
      </c>
      <c r="F164" s="11" t="s">
        <v>1213</v>
      </c>
      <c r="I164" s="11">
        <v>27.6709976196289</v>
      </c>
      <c r="J164" s="11">
        <v>-12.5243330001831</v>
      </c>
      <c r="K164" s="11">
        <v>-1.0</v>
      </c>
      <c r="L164" s="11" t="s">
        <v>1390</v>
      </c>
      <c r="M164" s="11">
        <v>-1.0</v>
      </c>
      <c r="N164" s="11" t="s">
        <v>1736</v>
      </c>
    </row>
    <row r="165">
      <c r="A165" s="11">
        <v>-13.5894117355346</v>
      </c>
      <c r="B165" s="11">
        <v>2.41295719146728</v>
      </c>
      <c r="C165" s="11">
        <v>0.0</v>
      </c>
      <c r="D165" s="11" t="s">
        <v>1061</v>
      </c>
      <c r="E165" s="11">
        <v>0.0</v>
      </c>
      <c r="F165" s="11" t="s">
        <v>1214</v>
      </c>
      <c r="I165" s="11">
        <v>17.2979946136474</v>
      </c>
      <c r="J165" s="11">
        <v>-38.8816909790039</v>
      </c>
      <c r="K165" s="11">
        <v>1.0</v>
      </c>
      <c r="L165" s="11" t="s">
        <v>1390</v>
      </c>
      <c r="M165" s="11">
        <v>1.0</v>
      </c>
      <c r="N165" s="11" t="s">
        <v>1739</v>
      </c>
    </row>
    <row r="166">
      <c r="A166" s="11">
        <v>9.01202964782714</v>
      </c>
      <c r="B166" s="11">
        <v>-30.8825645446777</v>
      </c>
      <c r="C166" s="11">
        <v>0.0</v>
      </c>
      <c r="D166" s="11" t="s">
        <v>1061</v>
      </c>
      <c r="E166" s="11">
        <v>0.0</v>
      </c>
      <c r="F166" s="11" t="s">
        <v>1215</v>
      </c>
      <c r="I166" s="11">
        <v>44.1374320983886</v>
      </c>
      <c r="J166" s="11">
        <v>7.80249643325805</v>
      </c>
      <c r="K166" s="11">
        <v>-2.0</v>
      </c>
      <c r="L166" s="11" t="s">
        <v>1390</v>
      </c>
      <c r="M166" s="11">
        <v>-2.0</v>
      </c>
      <c r="N166" s="11" t="s">
        <v>1741</v>
      </c>
    </row>
    <row r="167">
      <c r="A167" s="11">
        <v>-16.9183406829834</v>
      </c>
      <c r="B167" s="11">
        <v>2.75514841079711</v>
      </c>
      <c r="C167" s="11">
        <v>0.0</v>
      </c>
      <c r="D167" s="11" t="s">
        <v>1061</v>
      </c>
      <c r="E167" s="11">
        <v>0.0</v>
      </c>
      <c r="F167" s="11" t="s">
        <v>1216</v>
      </c>
      <c r="I167" s="11">
        <v>28.4858589172363</v>
      </c>
      <c r="J167" s="11">
        <v>-46.100284576416</v>
      </c>
      <c r="K167" s="11">
        <v>0.0</v>
      </c>
      <c r="L167" s="11" t="s">
        <v>1390</v>
      </c>
      <c r="M167" s="11">
        <v>0.0</v>
      </c>
      <c r="N167" s="11" t="s">
        <v>1743</v>
      </c>
    </row>
    <row r="168">
      <c r="A168" s="11">
        <v>-4.13800907135009</v>
      </c>
      <c r="B168" s="11">
        <v>27.0578918457031</v>
      </c>
      <c r="C168" s="11">
        <v>0.0</v>
      </c>
      <c r="D168" s="11" t="s">
        <v>1061</v>
      </c>
      <c r="E168" s="11">
        <v>0.0</v>
      </c>
      <c r="F168" s="11" t="s">
        <v>1217</v>
      </c>
      <c r="I168" s="11">
        <v>20.4784240722656</v>
      </c>
      <c r="J168" s="11">
        <v>7.97752094268798</v>
      </c>
      <c r="K168" s="11">
        <v>0.0</v>
      </c>
      <c r="L168" s="11" t="s">
        <v>1390</v>
      </c>
      <c r="M168" s="11">
        <v>0.0</v>
      </c>
      <c r="N168" s="11" t="s">
        <v>1745</v>
      </c>
    </row>
    <row r="169">
      <c r="A169" s="11">
        <v>-8.74641036987304</v>
      </c>
      <c r="B169" s="11">
        <v>32.1061286926269</v>
      </c>
      <c r="C169" s="11">
        <v>0.0</v>
      </c>
      <c r="D169" s="11" t="s">
        <v>1061</v>
      </c>
      <c r="E169" s="11">
        <v>0.0</v>
      </c>
      <c r="F169" s="11" t="s">
        <v>1218</v>
      </c>
      <c r="I169" s="11">
        <v>13.4585437774658</v>
      </c>
      <c r="J169" s="11">
        <v>6.17568492889404</v>
      </c>
      <c r="K169" s="11">
        <v>0.0</v>
      </c>
      <c r="L169" s="11" t="s">
        <v>1390</v>
      </c>
      <c r="M169" s="11">
        <v>0.0</v>
      </c>
      <c r="N169" s="11" t="s">
        <v>1747</v>
      </c>
    </row>
    <row r="170">
      <c r="A170" s="11">
        <v>-18.0319213867187</v>
      </c>
      <c r="B170" s="11">
        <v>6.95012378692626</v>
      </c>
      <c r="C170" s="11">
        <v>0.0</v>
      </c>
      <c r="D170" s="11" t="s">
        <v>1061</v>
      </c>
      <c r="E170" s="11">
        <v>0.0</v>
      </c>
      <c r="F170" s="11" t="s">
        <v>1219</v>
      </c>
      <c r="I170" s="11">
        <v>7.3056035041809</v>
      </c>
      <c r="J170" s="11">
        <v>56.1438941955566</v>
      </c>
      <c r="K170" s="11">
        <v>0.0</v>
      </c>
      <c r="L170" s="11" t="s">
        <v>1390</v>
      </c>
      <c r="M170" s="11">
        <v>0.0</v>
      </c>
      <c r="N170" s="11" t="s">
        <v>1749</v>
      </c>
    </row>
    <row r="171">
      <c r="A171" s="11">
        <v>10.8975896835327</v>
      </c>
      <c r="B171" s="11">
        <v>17.0038433074951</v>
      </c>
      <c r="C171" s="11">
        <v>2.0</v>
      </c>
      <c r="D171" s="11" t="s">
        <v>1061</v>
      </c>
      <c r="E171" s="11">
        <v>2.0</v>
      </c>
      <c r="F171" s="11" t="s">
        <v>1220</v>
      </c>
      <c r="I171" s="11">
        <v>60.1838684082031</v>
      </c>
      <c r="J171" s="11">
        <v>-7.63738632202148</v>
      </c>
      <c r="K171" s="11">
        <v>0.0</v>
      </c>
      <c r="L171" s="11" t="s">
        <v>1390</v>
      </c>
      <c r="M171" s="11">
        <v>0.0</v>
      </c>
      <c r="N171" s="11" t="s">
        <v>1751</v>
      </c>
    </row>
    <row r="172">
      <c r="A172" s="11">
        <v>-3.52578473091125</v>
      </c>
      <c r="B172" s="11">
        <v>-3.76440405845642</v>
      </c>
      <c r="C172" s="11">
        <v>0.0</v>
      </c>
      <c r="D172" s="11" t="s">
        <v>1061</v>
      </c>
      <c r="E172" s="11">
        <v>0.0</v>
      </c>
      <c r="F172" s="11" t="s">
        <v>1221</v>
      </c>
      <c r="I172" s="11">
        <v>1.47087657451629</v>
      </c>
      <c r="J172" s="11">
        <v>-41.6972961425781</v>
      </c>
      <c r="K172" s="11">
        <v>0.0</v>
      </c>
      <c r="L172" s="11" t="s">
        <v>1390</v>
      </c>
      <c r="M172" s="11">
        <v>0.0</v>
      </c>
      <c r="N172" s="11" t="s">
        <v>1753</v>
      </c>
    </row>
    <row r="173">
      <c r="A173" s="11">
        <v>37.8187828063964</v>
      </c>
      <c r="B173" s="11">
        <v>-24.2411766052246</v>
      </c>
      <c r="C173" s="11">
        <v>0.0</v>
      </c>
      <c r="D173" s="11" t="s">
        <v>1061</v>
      </c>
      <c r="E173" s="11">
        <v>0.0</v>
      </c>
      <c r="F173" s="11" t="s">
        <v>1222</v>
      </c>
      <c r="I173" s="11">
        <v>6.9943356513977</v>
      </c>
      <c r="J173" s="11">
        <v>37.6108512878418</v>
      </c>
      <c r="K173" s="11">
        <v>0.0</v>
      </c>
      <c r="L173" s="11" t="s">
        <v>1390</v>
      </c>
      <c r="M173" s="11">
        <v>0.0</v>
      </c>
      <c r="N173" s="11" t="s">
        <v>1755</v>
      </c>
    </row>
    <row r="174">
      <c r="A174" s="11">
        <v>-46.5141639709472</v>
      </c>
      <c r="B174" s="11">
        <v>1.58820211887359</v>
      </c>
      <c r="C174" s="11">
        <v>0.0</v>
      </c>
      <c r="D174" s="11" t="s">
        <v>1061</v>
      </c>
      <c r="E174" s="11">
        <v>0.0</v>
      </c>
      <c r="F174" s="11" t="s">
        <v>1223</v>
      </c>
      <c r="I174" s="11">
        <v>18.5115051269531</v>
      </c>
      <c r="J174" s="11">
        <v>17.2180347442626</v>
      </c>
      <c r="K174" s="11">
        <v>0.0</v>
      </c>
      <c r="L174" s="11" t="s">
        <v>1390</v>
      </c>
      <c r="M174" s="11">
        <v>0.0</v>
      </c>
      <c r="N174" s="11" t="s">
        <v>1756</v>
      </c>
    </row>
    <row r="175">
      <c r="A175" s="11">
        <v>-36.1011695861816</v>
      </c>
      <c r="B175" s="11">
        <v>25.7500190734863</v>
      </c>
      <c r="C175" s="11">
        <v>0.0</v>
      </c>
      <c r="D175" s="11" t="s">
        <v>1061</v>
      </c>
      <c r="E175" s="11">
        <v>0.0</v>
      </c>
      <c r="F175" s="11" t="s">
        <v>1224</v>
      </c>
      <c r="I175" s="11">
        <v>3.55979084968566</v>
      </c>
      <c r="J175" s="11">
        <v>-7.26397466659545</v>
      </c>
      <c r="K175" s="11">
        <v>0.0</v>
      </c>
      <c r="L175" s="11" t="s">
        <v>1390</v>
      </c>
      <c r="M175" s="11">
        <v>0.0</v>
      </c>
      <c r="N175" s="11" t="s">
        <v>1758</v>
      </c>
    </row>
    <row r="176">
      <c r="A176" s="11">
        <v>89.2053833007812</v>
      </c>
      <c r="B176" s="11">
        <v>11.5593080520629</v>
      </c>
      <c r="C176" s="11">
        <v>2.0</v>
      </c>
      <c r="D176" s="11" t="s">
        <v>1061</v>
      </c>
      <c r="E176" s="11">
        <v>2.0</v>
      </c>
      <c r="F176" s="11" t="s">
        <v>1225</v>
      </c>
      <c r="I176" s="11">
        <v>58.9079246520996</v>
      </c>
      <c r="J176" s="11">
        <v>-7.71447086334228</v>
      </c>
      <c r="K176" s="11">
        <v>0.0</v>
      </c>
      <c r="L176" s="11" t="s">
        <v>1390</v>
      </c>
      <c r="M176" s="11">
        <v>0.0</v>
      </c>
      <c r="N176" s="11" t="s">
        <v>1761</v>
      </c>
    </row>
    <row r="177">
      <c r="A177" s="11">
        <v>-5.93063020706176</v>
      </c>
      <c r="B177" s="11">
        <v>3.76021742820739</v>
      </c>
      <c r="C177" s="11">
        <v>0.0</v>
      </c>
      <c r="D177" s="11" t="s">
        <v>1061</v>
      </c>
      <c r="E177" s="11">
        <v>0.0</v>
      </c>
      <c r="F177" s="11" t="s">
        <v>1226</v>
      </c>
      <c r="I177" s="11">
        <v>42.7836608886718</v>
      </c>
      <c r="J177" s="11">
        <v>-11.2743215560913</v>
      </c>
      <c r="K177" s="11">
        <v>-1.0</v>
      </c>
      <c r="L177" s="11" t="s">
        <v>1390</v>
      </c>
      <c r="M177" s="11">
        <v>-1.0</v>
      </c>
      <c r="N177" s="11" t="s">
        <v>1762</v>
      </c>
    </row>
    <row r="178">
      <c r="A178" s="11">
        <v>-21.516206741333</v>
      </c>
      <c r="B178" s="11">
        <v>4.95517349243164</v>
      </c>
      <c r="C178" s="11">
        <v>0.0</v>
      </c>
      <c r="D178" s="11" t="s">
        <v>1061</v>
      </c>
      <c r="E178" s="11">
        <v>0.0</v>
      </c>
      <c r="F178" s="11" t="s">
        <v>1227</v>
      </c>
      <c r="I178" s="11">
        <v>-8.85390758514404</v>
      </c>
      <c r="J178" s="11">
        <v>6.14012289047241</v>
      </c>
      <c r="K178" s="11">
        <v>1.0</v>
      </c>
      <c r="L178" s="11" t="s">
        <v>1390</v>
      </c>
      <c r="M178" s="11">
        <v>1.0</v>
      </c>
      <c r="N178" s="11" t="s">
        <v>1764</v>
      </c>
    </row>
    <row r="179">
      <c r="A179" s="11">
        <v>-58.3303031921386</v>
      </c>
      <c r="B179" s="11">
        <v>13.6406087875366</v>
      </c>
      <c r="C179" s="11">
        <v>0.0</v>
      </c>
      <c r="D179" s="11" t="s">
        <v>1061</v>
      </c>
      <c r="E179" s="11">
        <v>0.0</v>
      </c>
      <c r="F179" s="11" t="s">
        <v>1228</v>
      </c>
      <c r="I179" s="11">
        <v>73.266357421875</v>
      </c>
      <c r="J179" s="11">
        <v>-9.99110126495361</v>
      </c>
      <c r="K179" s="11">
        <v>0.0</v>
      </c>
      <c r="L179" s="11" t="s">
        <v>1390</v>
      </c>
      <c r="M179" s="11">
        <v>0.0</v>
      </c>
      <c r="N179" s="11" t="s">
        <v>1766</v>
      </c>
    </row>
    <row r="180">
      <c r="A180" s="11">
        <v>-52.2630882263183</v>
      </c>
      <c r="B180" s="11">
        <v>-43.4711189270019</v>
      </c>
      <c r="C180" s="11">
        <v>0.0</v>
      </c>
      <c r="D180" s="11" t="s">
        <v>1061</v>
      </c>
      <c r="E180" s="11">
        <v>0.0</v>
      </c>
      <c r="F180" s="11" t="s">
        <v>1229</v>
      </c>
      <c r="I180" s="11">
        <v>-9.82840824127197</v>
      </c>
      <c r="J180" s="11">
        <v>3.57728314399719</v>
      </c>
      <c r="K180" s="11">
        <v>1.0</v>
      </c>
      <c r="L180" s="11" t="s">
        <v>1390</v>
      </c>
      <c r="M180" s="11">
        <v>1.0</v>
      </c>
      <c r="N180" s="11" t="s">
        <v>1768</v>
      </c>
    </row>
    <row r="181">
      <c r="A181" s="11">
        <v>-51.5987205505371</v>
      </c>
      <c r="B181" s="11">
        <v>-46.7132492065429</v>
      </c>
      <c r="C181" s="11">
        <v>0.0</v>
      </c>
      <c r="D181" s="11" t="s">
        <v>1061</v>
      </c>
      <c r="E181" s="11">
        <v>0.0</v>
      </c>
      <c r="F181" s="11" t="s">
        <v>1230</v>
      </c>
      <c r="I181" s="11">
        <v>31.0333824157714</v>
      </c>
      <c r="J181" s="11">
        <v>-3.06744503974914</v>
      </c>
      <c r="K181" s="11">
        <v>0.0</v>
      </c>
      <c r="L181" s="11" t="s">
        <v>1390</v>
      </c>
      <c r="M181" s="11">
        <v>0.0</v>
      </c>
      <c r="N181" s="11" t="s">
        <v>1770</v>
      </c>
    </row>
    <row r="182">
      <c r="A182" s="11">
        <v>8.97603321075439</v>
      </c>
      <c r="B182" s="11">
        <v>5.29972457885742</v>
      </c>
      <c r="C182" s="11">
        <v>0.0</v>
      </c>
      <c r="D182" s="11" t="s">
        <v>1061</v>
      </c>
      <c r="E182" s="11">
        <v>0.0</v>
      </c>
      <c r="F182" s="11" t="s">
        <v>1231</v>
      </c>
      <c r="I182" s="11">
        <v>84.2698974609375</v>
      </c>
      <c r="J182" s="11">
        <v>12.0317106246948</v>
      </c>
      <c r="K182" s="11">
        <v>0.0</v>
      </c>
      <c r="L182" s="11" t="s">
        <v>1390</v>
      </c>
      <c r="M182" s="11">
        <v>0.0</v>
      </c>
      <c r="N182" s="11" t="s">
        <v>1772</v>
      </c>
    </row>
    <row r="183">
      <c r="A183" s="11">
        <v>-2.02969884872436</v>
      </c>
      <c r="B183" s="11">
        <v>-11.526701927185</v>
      </c>
      <c r="C183" s="11">
        <v>0.0</v>
      </c>
      <c r="D183" s="11" t="s">
        <v>1061</v>
      </c>
      <c r="E183" s="11">
        <v>0.0</v>
      </c>
      <c r="F183" s="11" t="s">
        <v>1232</v>
      </c>
      <c r="I183" s="11">
        <v>29.5524368286132</v>
      </c>
      <c r="J183" s="11">
        <v>-48.0520133972168</v>
      </c>
      <c r="K183" s="11">
        <v>0.0</v>
      </c>
      <c r="L183" s="11" t="s">
        <v>1390</v>
      </c>
      <c r="M183" s="11">
        <v>0.0</v>
      </c>
      <c r="N183" s="11" t="s">
        <v>1774</v>
      </c>
    </row>
    <row r="184">
      <c r="A184" s="11">
        <v>29.0267810821533</v>
      </c>
      <c r="B184" s="11">
        <v>-16.24827003479</v>
      </c>
      <c r="C184" s="11">
        <v>0.0</v>
      </c>
      <c r="D184" s="11" t="s">
        <v>1061</v>
      </c>
      <c r="E184" s="11">
        <v>0.0</v>
      </c>
      <c r="F184" s="11" t="s">
        <v>1233</v>
      </c>
      <c r="I184" s="11">
        <v>74.6778259277343</v>
      </c>
      <c r="J184" s="11">
        <v>-12.1923494338989</v>
      </c>
      <c r="K184" s="11">
        <v>0.0</v>
      </c>
      <c r="L184" s="11" t="s">
        <v>1390</v>
      </c>
      <c r="M184" s="11">
        <v>0.0</v>
      </c>
      <c r="N184" s="11" t="s">
        <v>1775</v>
      </c>
    </row>
    <row r="185">
      <c r="A185" s="11">
        <v>15.3084268569946</v>
      </c>
      <c r="B185" s="11">
        <v>20.0491733551025</v>
      </c>
      <c r="C185" s="11">
        <v>0.0</v>
      </c>
      <c r="D185" s="11" t="s">
        <v>1061</v>
      </c>
      <c r="E185" s="11">
        <v>0.0</v>
      </c>
      <c r="F185" s="11" t="s">
        <v>1234</v>
      </c>
      <c r="I185" s="11">
        <v>29.5524368286132</v>
      </c>
      <c r="J185" s="11">
        <v>-48.0520133972168</v>
      </c>
      <c r="K185" s="11">
        <v>0.0</v>
      </c>
      <c r="L185" s="11" t="s">
        <v>1390</v>
      </c>
      <c r="M185" s="11">
        <v>0.0</v>
      </c>
      <c r="N185" s="11" t="s">
        <v>1777</v>
      </c>
    </row>
    <row r="186">
      <c r="A186" s="11">
        <v>-8.74641036987304</v>
      </c>
      <c r="B186" s="11">
        <v>32.1061286926269</v>
      </c>
      <c r="C186" s="11">
        <v>-1.0</v>
      </c>
      <c r="D186" s="11" t="s">
        <v>1061</v>
      </c>
      <c r="E186" s="11">
        <v>-1.0</v>
      </c>
      <c r="F186" s="11" t="s">
        <v>1235</v>
      </c>
      <c r="I186" s="11">
        <v>-18.8414669036865</v>
      </c>
      <c r="J186" s="11">
        <v>1.0064069032669</v>
      </c>
      <c r="K186" s="11">
        <v>0.0</v>
      </c>
      <c r="L186" s="11" t="s">
        <v>1390</v>
      </c>
      <c r="M186" s="11">
        <v>0.0</v>
      </c>
      <c r="N186" s="11" t="s">
        <v>1779</v>
      </c>
    </row>
    <row r="187">
      <c r="A187" s="11">
        <v>-34.5041160583496</v>
      </c>
      <c r="B187" s="11">
        <v>8.1035795211792</v>
      </c>
      <c r="C187" s="11">
        <v>0.0</v>
      </c>
      <c r="D187" s="11" t="s">
        <v>1061</v>
      </c>
      <c r="E187" s="11">
        <v>0.0</v>
      </c>
      <c r="F187" s="11" t="s">
        <v>1236</v>
      </c>
      <c r="I187" s="11">
        <v>26.6363105773925</v>
      </c>
      <c r="J187" s="11">
        <v>13.8467178344726</v>
      </c>
      <c r="K187" s="11">
        <v>0.0</v>
      </c>
      <c r="L187" s="11" t="s">
        <v>1390</v>
      </c>
      <c r="M187" s="11">
        <v>0.0</v>
      </c>
      <c r="N187" s="11" t="s">
        <v>1781</v>
      </c>
    </row>
    <row r="188">
      <c r="A188" s="11">
        <v>28.1428356170654</v>
      </c>
      <c r="B188" s="11">
        <v>32.4704093933105</v>
      </c>
      <c r="C188" s="11">
        <v>2.0</v>
      </c>
      <c r="D188" s="11" t="s">
        <v>1061</v>
      </c>
      <c r="E188" s="11">
        <v>2.0</v>
      </c>
      <c r="F188" s="11" t="s">
        <v>1782</v>
      </c>
      <c r="I188" s="11">
        <v>18.8130073547363</v>
      </c>
      <c r="J188" s="11">
        <v>35.1109046936035</v>
      </c>
      <c r="K188" s="11">
        <v>0.0</v>
      </c>
      <c r="L188" s="11" t="s">
        <v>1390</v>
      </c>
      <c r="M188" s="11">
        <v>0.0</v>
      </c>
      <c r="N188" s="11" t="s">
        <v>1784</v>
      </c>
    </row>
    <row r="189">
      <c r="A189" s="11">
        <v>-66.2051925659179</v>
      </c>
      <c r="B189" s="11">
        <v>25.5567111968994</v>
      </c>
      <c r="C189" s="11">
        <v>0.0</v>
      </c>
      <c r="D189" s="11" t="s">
        <v>1061</v>
      </c>
      <c r="E189" s="11">
        <v>0.0</v>
      </c>
      <c r="F189" s="11" t="s">
        <v>1237</v>
      </c>
      <c r="I189" s="11">
        <v>14.2767267227172</v>
      </c>
      <c r="J189" s="11">
        <v>-1.55180525779724</v>
      </c>
      <c r="K189" s="11">
        <v>1.0</v>
      </c>
      <c r="L189" s="11" t="s">
        <v>1390</v>
      </c>
      <c r="M189" s="11">
        <v>1.0</v>
      </c>
      <c r="N189" s="11" t="s">
        <v>1785</v>
      </c>
    </row>
    <row r="190">
      <c r="A190" s="11">
        <v>33.0088310241699</v>
      </c>
      <c r="B190" s="11">
        <v>11.9517555236816</v>
      </c>
      <c r="C190" s="11">
        <v>0.0</v>
      </c>
      <c r="D190" s="11" t="s">
        <v>1061</v>
      </c>
      <c r="E190" s="11">
        <v>0.0</v>
      </c>
      <c r="F190" s="11" t="s">
        <v>1238</v>
      </c>
      <c r="I190" s="11">
        <v>-1.6219322681427</v>
      </c>
      <c r="J190" s="11">
        <v>-24.8988952636718</v>
      </c>
      <c r="K190" s="11">
        <v>0.0</v>
      </c>
      <c r="L190" s="11" t="s">
        <v>1390</v>
      </c>
      <c r="M190" s="11">
        <v>0.0</v>
      </c>
      <c r="N190" s="11" t="s">
        <v>1787</v>
      </c>
    </row>
    <row r="191">
      <c r="A191" s="11">
        <v>-24.0244827270507</v>
      </c>
      <c r="B191" s="11">
        <v>11.6575231552124</v>
      </c>
      <c r="C191" s="11">
        <v>0.0</v>
      </c>
      <c r="D191" s="11" t="s">
        <v>1061</v>
      </c>
      <c r="E191" s="11">
        <v>0.0</v>
      </c>
      <c r="F191" s="11" t="s">
        <v>1239</v>
      </c>
      <c r="I191" s="11">
        <v>31.6900329589843</v>
      </c>
      <c r="J191" s="11">
        <v>22.1725387573242</v>
      </c>
      <c r="K191" s="11">
        <v>0.0</v>
      </c>
      <c r="L191" s="11" t="s">
        <v>1390</v>
      </c>
      <c r="M191" s="11">
        <v>0.0</v>
      </c>
      <c r="N191" s="11" t="s">
        <v>1789</v>
      </c>
    </row>
    <row r="192">
      <c r="A192" s="11">
        <v>3.43462300300598</v>
      </c>
      <c r="B192" s="11">
        <v>31.4501495361328</v>
      </c>
      <c r="C192" s="11">
        <v>0.0</v>
      </c>
      <c r="D192" s="11" t="s">
        <v>1061</v>
      </c>
      <c r="E192" s="11">
        <v>0.0</v>
      </c>
      <c r="F192" s="11" t="s">
        <v>1240</v>
      </c>
      <c r="I192" s="11">
        <v>18.9763507843017</v>
      </c>
      <c r="J192" s="11">
        <v>39.2480163574218</v>
      </c>
      <c r="K192" s="11">
        <v>0.0</v>
      </c>
      <c r="L192" s="11" t="s">
        <v>1390</v>
      </c>
      <c r="M192" s="11">
        <v>0.0</v>
      </c>
      <c r="N192" s="11" t="s">
        <v>1791</v>
      </c>
    </row>
    <row r="193">
      <c r="A193" s="11">
        <v>22.8937835693359</v>
      </c>
      <c r="B193" s="11">
        <v>15.7676181793212</v>
      </c>
      <c r="C193" s="11">
        <v>-1.0</v>
      </c>
      <c r="D193" s="11" t="s">
        <v>1061</v>
      </c>
      <c r="E193" s="11">
        <v>-1.0</v>
      </c>
      <c r="F193" s="11" t="s">
        <v>1241</v>
      </c>
      <c r="I193" s="11">
        <v>-14.2210483551025</v>
      </c>
      <c r="J193" s="11">
        <v>22.7789669036865</v>
      </c>
      <c r="K193" s="11">
        <v>0.0</v>
      </c>
      <c r="L193" s="11" t="s">
        <v>1390</v>
      </c>
      <c r="M193" s="11">
        <v>0.0</v>
      </c>
      <c r="N193" s="11" t="s">
        <v>1794</v>
      </c>
    </row>
    <row r="194">
      <c r="A194" s="11">
        <v>37.8187828063964</v>
      </c>
      <c r="B194" s="11">
        <v>-24.2411766052246</v>
      </c>
      <c r="C194" s="11">
        <v>0.0</v>
      </c>
      <c r="D194" s="11" t="s">
        <v>1061</v>
      </c>
      <c r="E194" s="11">
        <v>0.0</v>
      </c>
      <c r="F194" s="11" t="s">
        <v>1242</v>
      </c>
      <c r="I194" s="11">
        <v>34.7547760009765</v>
      </c>
      <c r="J194" s="11">
        <v>-14.023754119873</v>
      </c>
      <c r="K194" s="11">
        <v>0.0</v>
      </c>
      <c r="L194" s="11" t="s">
        <v>1390</v>
      </c>
      <c r="M194" s="11">
        <v>0.0</v>
      </c>
      <c r="N194" s="11" t="s">
        <v>1795</v>
      </c>
    </row>
    <row r="195">
      <c r="A195" s="11">
        <v>-4.55735826492309</v>
      </c>
      <c r="B195" s="11">
        <v>57.8975563049316</v>
      </c>
      <c r="C195" s="11">
        <v>1.0</v>
      </c>
      <c r="D195" s="11" t="s">
        <v>1061</v>
      </c>
      <c r="E195" s="11">
        <v>1.0</v>
      </c>
      <c r="F195" s="11" t="s">
        <v>1243</v>
      </c>
      <c r="I195" s="11">
        <v>13.6810302734375</v>
      </c>
      <c r="J195" s="11">
        <v>-8.84459972381591</v>
      </c>
      <c r="K195" s="11">
        <v>0.0</v>
      </c>
      <c r="L195" s="11" t="s">
        <v>1390</v>
      </c>
      <c r="M195" s="11">
        <v>0.0</v>
      </c>
      <c r="N195" s="11" t="s">
        <v>1797</v>
      </c>
    </row>
    <row r="196">
      <c r="A196" s="11">
        <v>51.8305168151855</v>
      </c>
      <c r="B196" s="11">
        <v>-4.471923828125</v>
      </c>
      <c r="C196" s="11">
        <v>-1.0</v>
      </c>
      <c r="D196" s="11" t="s">
        <v>1061</v>
      </c>
      <c r="E196" s="11">
        <v>-1.0</v>
      </c>
      <c r="F196" s="11" t="s">
        <v>1244</v>
      </c>
      <c r="I196" s="11">
        <v>16.3726654052734</v>
      </c>
      <c r="J196" s="11">
        <v>-47.2327804565429</v>
      </c>
      <c r="K196" s="11">
        <v>1.0</v>
      </c>
      <c r="L196" s="11" t="s">
        <v>1390</v>
      </c>
      <c r="M196" s="11">
        <v>1.0</v>
      </c>
      <c r="N196" s="11" t="s">
        <v>1799</v>
      </c>
    </row>
    <row r="197">
      <c r="A197" s="11">
        <v>-40.5760078430175</v>
      </c>
      <c r="B197" s="11">
        <v>18.1104907989501</v>
      </c>
      <c r="C197" s="11">
        <v>0.0</v>
      </c>
      <c r="D197" s="11" t="s">
        <v>1061</v>
      </c>
      <c r="E197" s="11">
        <v>0.0</v>
      </c>
      <c r="F197" s="11" t="s">
        <v>1245</v>
      </c>
      <c r="I197" s="11">
        <v>8.23974990844726</v>
      </c>
      <c r="J197" s="11">
        <v>3.91062235832214</v>
      </c>
      <c r="K197" s="11">
        <v>0.0</v>
      </c>
      <c r="L197" s="11" t="s">
        <v>1390</v>
      </c>
      <c r="M197" s="11">
        <v>0.0</v>
      </c>
      <c r="N197" s="11" t="s">
        <v>1800</v>
      </c>
    </row>
    <row r="198">
      <c r="A198" s="11">
        <v>-51.4653968811035</v>
      </c>
      <c r="B198" s="11">
        <v>-45.1276168823242</v>
      </c>
      <c r="C198" s="11">
        <v>0.0</v>
      </c>
      <c r="D198" s="11" t="s">
        <v>1061</v>
      </c>
      <c r="E198" s="11">
        <v>0.0</v>
      </c>
      <c r="F198" s="11" t="s">
        <v>1246</v>
      </c>
      <c r="I198" s="11">
        <v>12.7793397903442</v>
      </c>
      <c r="J198" s="11">
        <v>-23.186819076538</v>
      </c>
      <c r="K198" s="11">
        <v>1.0</v>
      </c>
      <c r="L198" s="11" t="s">
        <v>1390</v>
      </c>
      <c r="M198" s="11">
        <v>1.0</v>
      </c>
      <c r="N198" s="11" t="s">
        <v>1802</v>
      </c>
    </row>
    <row r="199">
      <c r="A199" s="11">
        <v>-21.1682319641113</v>
      </c>
      <c r="B199" s="11">
        <v>8.91854286193847</v>
      </c>
      <c r="C199" s="11">
        <v>0.0</v>
      </c>
      <c r="D199" s="11" t="s">
        <v>1061</v>
      </c>
      <c r="E199" s="11">
        <v>0.0</v>
      </c>
      <c r="F199" s="11" t="s">
        <v>1247</v>
      </c>
      <c r="I199" s="11">
        <v>-4.7750597000122</v>
      </c>
      <c r="J199" s="11">
        <v>30.918062210083</v>
      </c>
      <c r="K199" s="11">
        <v>0.0</v>
      </c>
      <c r="L199" s="11" t="s">
        <v>1390</v>
      </c>
      <c r="M199" s="11">
        <v>0.0</v>
      </c>
      <c r="N199" s="11" t="s">
        <v>1803</v>
      </c>
    </row>
    <row r="200">
      <c r="A200" s="11">
        <v>24.8218460083007</v>
      </c>
      <c r="B200" s="11">
        <v>-27.9532012939453</v>
      </c>
      <c r="C200" s="11">
        <v>-1.0</v>
      </c>
      <c r="D200" s="11" t="s">
        <v>1061</v>
      </c>
      <c r="E200" s="11">
        <v>-1.0</v>
      </c>
      <c r="F200" s="11" t="s">
        <v>1248</v>
      </c>
      <c r="I200" s="11">
        <v>20.3998947143554</v>
      </c>
      <c r="J200" s="11">
        <v>62.7683372497558</v>
      </c>
      <c r="K200" s="11">
        <v>-1.0</v>
      </c>
      <c r="L200" s="11" t="s">
        <v>1390</v>
      </c>
      <c r="M200" s="11">
        <v>-1.0</v>
      </c>
      <c r="N200" s="11" t="s">
        <v>1805</v>
      </c>
    </row>
    <row r="201">
      <c r="A201" s="11">
        <v>-51.0314559936523</v>
      </c>
      <c r="B201" s="11">
        <v>25.7786560058593</v>
      </c>
      <c r="C201" s="11">
        <v>0.0</v>
      </c>
      <c r="D201" s="11" t="s">
        <v>1061</v>
      </c>
      <c r="E201" s="11">
        <v>0.0</v>
      </c>
      <c r="F201" s="11" t="s">
        <v>1249</v>
      </c>
      <c r="I201" s="11">
        <v>70.9071884155273</v>
      </c>
      <c r="J201" s="11">
        <v>23.0835304260253</v>
      </c>
      <c r="K201" s="11">
        <v>1.0</v>
      </c>
      <c r="L201" s="11" t="s">
        <v>1390</v>
      </c>
      <c r="M201" s="11">
        <v>1.0</v>
      </c>
      <c r="N201" s="11" t="s">
        <v>1807</v>
      </c>
    </row>
    <row r="202">
      <c r="A202" s="11">
        <v>-3.10699415206909</v>
      </c>
      <c r="B202" s="11">
        <v>-3.39121532440185</v>
      </c>
      <c r="C202" s="11">
        <v>0.0</v>
      </c>
      <c r="D202" s="11" t="s">
        <v>1061</v>
      </c>
      <c r="E202" s="11">
        <v>0.0</v>
      </c>
      <c r="F202" s="11" t="s">
        <v>1250</v>
      </c>
      <c r="I202" s="11">
        <v>58.1793899536132</v>
      </c>
      <c r="J202" s="11">
        <v>-15.5827379226684</v>
      </c>
      <c r="K202" s="11">
        <v>0.0</v>
      </c>
      <c r="L202" s="11" t="s">
        <v>1390</v>
      </c>
      <c r="M202" s="11">
        <v>0.0</v>
      </c>
      <c r="N202" s="11" t="s">
        <v>1809</v>
      </c>
    </row>
    <row r="203">
      <c r="A203" s="11">
        <v>-15.1676292419433</v>
      </c>
      <c r="B203" s="11">
        <v>5.12726402282714</v>
      </c>
      <c r="C203" s="11">
        <v>0.0</v>
      </c>
      <c r="D203" s="11" t="s">
        <v>1061</v>
      </c>
      <c r="E203" s="11">
        <v>0.0</v>
      </c>
      <c r="F203" s="11" t="s">
        <v>1251</v>
      </c>
      <c r="I203" s="11">
        <v>8.86305522918701</v>
      </c>
      <c r="J203" s="11">
        <v>0.394732534885406</v>
      </c>
      <c r="K203" s="11">
        <v>1.0</v>
      </c>
      <c r="L203" s="11" t="s">
        <v>1390</v>
      </c>
      <c r="M203" s="11">
        <v>1.0</v>
      </c>
      <c r="N203" s="11" t="s">
        <v>1811</v>
      </c>
    </row>
    <row r="204">
      <c r="A204" s="11">
        <v>6.18045949935913</v>
      </c>
      <c r="B204" s="11">
        <v>-50.1420097351074</v>
      </c>
      <c r="C204" s="11">
        <v>0.0</v>
      </c>
      <c r="D204" s="11" t="s">
        <v>1061</v>
      </c>
      <c r="E204" s="11">
        <v>0.0</v>
      </c>
      <c r="F204" s="11" t="s">
        <v>1252</v>
      </c>
      <c r="I204" s="11">
        <v>13.9983415603637</v>
      </c>
      <c r="J204" s="11">
        <v>-59.9812278747558</v>
      </c>
      <c r="K204" s="11">
        <v>0.0</v>
      </c>
      <c r="L204" s="11" t="s">
        <v>1390</v>
      </c>
      <c r="M204" s="11">
        <v>0.0</v>
      </c>
      <c r="N204" s="11" t="s">
        <v>1813</v>
      </c>
    </row>
    <row r="205">
      <c r="A205" s="11">
        <v>-14.0248832702636</v>
      </c>
      <c r="B205" s="11">
        <v>0.26750972867012</v>
      </c>
      <c r="C205" s="11">
        <v>0.0</v>
      </c>
      <c r="D205" s="11" t="s">
        <v>1061</v>
      </c>
      <c r="E205" s="11">
        <v>0.0</v>
      </c>
      <c r="F205" s="11" t="s">
        <v>1253</v>
      </c>
      <c r="I205" s="11">
        <v>21.9536170959472</v>
      </c>
      <c r="J205" s="11">
        <v>60.5823669433593</v>
      </c>
      <c r="K205" s="11">
        <v>-1.0</v>
      </c>
      <c r="L205" s="11" t="s">
        <v>1390</v>
      </c>
      <c r="M205" s="11">
        <v>-1.0</v>
      </c>
      <c r="N205" s="11" t="s">
        <v>1815</v>
      </c>
    </row>
    <row r="206">
      <c r="A206" s="11">
        <v>-57.633617401123</v>
      </c>
      <c r="B206" s="11">
        <v>15.0608730316162</v>
      </c>
      <c r="C206" s="11">
        <v>0.0</v>
      </c>
      <c r="D206" s="11" t="s">
        <v>1061</v>
      </c>
      <c r="E206" s="11">
        <v>0.0</v>
      </c>
      <c r="F206" s="11" t="s">
        <v>1254</v>
      </c>
      <c r="I206" s="11">
        <v>18.8297901153564</v>
      </c>
      <c r="J206" s="11">
        <v>-4.01333379745483</v>
      </c>
      <c r="K206" s="11">
        <v>0.0</v>
      </c>
      <c r="L206" s="11" t="s">
        <v>1390</v>
      </c>
      <c r="M206" s="11">
        <v>0.0</v>
      </c>
      <c r="N206" s="11" t="s">
        <v>1817</v>
      </c>
    </row>
    <row r="207">
      <c r="A207" s="11">
        <v>52.4792175292968</v>
      </c>
      <c r="B207" s="11">
        <v>-3.5870463848114</v>
      </c>
      <c r="C207" s="11">
        <v>-1.0</v>
      </c>
      <c r="D207" s="11" t="s">
        <v>1061</v>
      </c>
      <c r="E207" s="11">
        <v>-1.0</v>
      </c>
      <c r="F207" s="11" t="s">
        <v>1255</v>
      </c>
      <c r="I207" s="11">
        <v>-4.86369752883911</v>
      </c>
      <c r="J207" s="11">
        <v>27.7461490631103</v>
      </c>
      <c r="K207" s="11">
        <v>0.0</v>
      </c>
      <c r="L207" s="11" t="s">
        <v>1390</v>
      </c>
      <c r="M207" s="11">
        <v>0.0</v>
      </c>
      <c r="N207" s="11" t="s">
        <v>1819</v>
      </c>
    </row>
    <row r="208">
      <c r="A208" s="11">
        <v>-17.0537891387939</v>
      </c>
      <c r="B208" s="11">
        <v>9.18002605438232</v>
      </c>
      <c r="C208" s="11">
        <v>0.0</v>
      </c>
      <c r="D208" s="11" t="s">
        <v>1061</v>
      </c>
      <c r="E208" s="11">
        <v>0.0</v>
      </c>
      <c r="F208" s="11" t="s">
        <v>1256</v>
      </c>
      <c r="I208" s="11">
        <v>25.3221454620361</v>
      </c>
      <c r="J208" s="11">
        <v>-35.3357238769531</v>
      </c>
      <c r="K208" s="11">
        <v>2.0</v>
      </c>
      <c r="L208" s="11" t="s">
        <v>1390</v>
      </c>
      <c r="M208" s="11">
        <v>2.0</v>
      </c>
      <c r="N208" s="11" t="s">
        <v>1821</v>
      </c>
    </row>
    <row r="209">
      <c r="A209" s="11">
        <v>5.98556041717529</v>
      </c>
      <c r="B209" s="11">
        <v>16.0850963592529</v>
      </c>
      <c r="C209" s="11">
        <v>-2.0</v>
      </c>
      <c r="D209" s="11" t="s">
        <v>1061</v>
      </c>
      <c r="E209" s="11">
        <v>-2.0</v>
      </c>
      <c r="F209" s="11" t="s">
        <v>1257</v>
      </c>
      <c r="I209" s="11">
        <v>18.8297901153564</v>
      </c>
      <c r="J209" s="11">
        <v>-4.01333379745483</v>
      </c>
      <c r="K209" s="11">
        <v>0.0</v>
      </c>
      <c r="L209" s="11" t="s">
        <v>1390</v>
      </c>
      <c r="M209" s="11">
        <v>0.0</v>
      </c>
      <c r="N209" s="11" t="s">
        <v>1823</v>
      </c>
    </row>
    <row r="210">
      <c r="A210" s="11">
        <v>89.7646179199218</v>
      </c>
      <c r="B210" s="11">
        <v>13.7714347839355</v>
      </c>
      <c r="C210" s="11">
        <v>2.0</v>
      </c>
      <c r="D210" s="11" t="s">
        <v>1061</v>
      </c>
      <c r="E210" s="11">
        <v>2.0</v>
      </c>
      <c r="F210" s="11" t="s">
        <v>1258</v>
      </c>
      <c r="I210" s="11">
        <v>39.9924430847168</v>
      </c>
      <c r="J210" s="11">
        <v>-39.1859970092773</v>
      </c>
      <c r="K210" s="11">
        <v>0.0</v>
      </c>
      <c r="L210" s="11" t="s">
        <v>1390</v>
      </c>
      <c r="M210" s="11">
        <v>0.0</v>
      </c>
      <c r="N210" s="11" t="s">
        <v>1825</v>
      </c>
    </row>
    <row r="211">
      <c r="A211" s="11">
        <v>-18.4892292022705</v>
      </c>
      <c r="B211" s="11">
        <v>46.7391204833984</v>
      </c>
      <c r="C211" s="11">
        <v>0.0</v>
      </c>
      <c r="D211" s="11" t="s">
        <v>1061</v>
      </c>
      <c r="E211" s="11">
        <v>0.0</v>
      </c>
      <c r="F211" s="11" t="s">
        <v>1259</v>
      </c>
      <c r="I211" s="11">
        <v>11.7263898849487</v>
      </c>
      <c r="J211" s="11">
        <v>4.65913009643554</v>
      </c>
      <c r="K211" s="11">
        <v>0.0</v>
      </c>
      <c r="L211" s="11" t="s">
        <v>1390</v>
      </c>
      <c r="M211" s="11">
        <v>0.0</v>
      </c>
      <c r="N211" s="11" t="s">
        <v>1827</v>
      </c>
    </row>
    <row r="212">
      <c r="A212" s="11">
        <v>-0.705664873123169</v>
      </c>
      <c r="B212" s="11">
        <v>-42.6471405029296</v>
      </c>
      <c r="C212" s="11">
        <v>0.0</v>
      </c>
      <c r="D212" s="11" t="s">
        <v>1061</v>
      </c>
      <c r="E212" s="11">
        <v>0.0</v>
      </c>
      <c r="F212" s="11" t="s">
        <v>1260</v>
      </c>
      <c r="I212" s="11">
        <v>10.4901409149169</v>
      </c>
      <c r="J212" s="11">
        <v>5.58928728103637</v>
      </c>
      <c r="K212" s="11">
        <v>0.0</v>
      </c>
      <c r="L212" s="11" t="s">
        <v>1390</v>
      </c>
      <c r="M212" s="11">
        <v>0.0</v>
      </c>
      <c r="N212" s="11" t="s">
        <v>1829</v>
      </c>
    </row>
    <row r="213">
      <c r="A213" s="11">
        <v>52.4792175292968</v>
      </c>
      <c r="B213" s="11">
        <v>-3.5870463848114</v>
      </c>
      <c r="C213" s="11">
        <v>-1.0</v>
      </c>
      <c r="D213" s="11" t="s">
        <v>1061</v>
      </c>
      <c r="E213" s="11">
        <v>-1.0</v>
      </c>
      <c r="F213" s="11" t="s">
        <v>1261</v>
      </c>
      <c r="I213" s="11">
        <v>3.88348484039306</v>
      </c>
      <c r="J213" s="11">
        <v>24.3903827667236</v>
      </c>
      <c r="K213" s="11">
        <v>0.0</v>
      </c>
      <c r="L213" s="11" t="s">
        <v>1390</v>
      </c>
      <c r="M213" s="11">
        <v>0.0</v>
      </c>
      <c r="N213" s="11" t="s">
        <v>1831</v>
      </c>
    </row>
    <row r="214">
      <c r="A214" s="11">
        <v>47.6275177001953</v>
      </c>
      <c r="B214" s="11">
        <v>-2.32261085510253</v>
      </c>
      <c r="C214" s="11">
        <v>-2.0</v>
      </c>
      <c r="D214" s="11" t="s">
        <v>1061</v>
      </c>
      <c r="E214" s="11">
        <v>-2.0</v>
      </c>
      <c r="F214" s="11" t="s">
        <v>1262</v>
      </c>
      <c r="I214" s="11">
        <v>52.8147048950195</v>
      </c>
      <c r="J214" s="11">
        <v>-28.4638233184814</v>
      </c>
      <c r="K214" s="11">
        <v>0.0</v>
      </c>
      <c r="L214" s="11" t="s">
        <v>1390</v>
      </c>
      <c r="M214" s="11">
        <v>0.0</v>
      </c>
      <c r="N214" s="11" t="s">
        <v>1833</v>
      </c>
    </row>
    <row r="215">
      <c r="A215" s="11">
        <v>-22.4363040924072</v>
      </c>
      <c r="B215" s="11">
        <v>5.18168401718139</v>
      </c>
      <c r="C215" s="11">
        <v>0.0</v>
      </c>
      <c r="D215" s="11" t="s">
        <v>1061</v>
      </c>
      <c r="E215" s="11">
        <v>0.0</v>
      </c>
      <c r="F215" s="11" t="s">
        <v>1263</v>
      </c>
      <c r="I215" s="11">
        <v>81.5885772705078</v>
      </c>
      <c r="J215" s="11">
        <v>13.8840723037719</v>
      </c>
      <c r="K215" s="11">
        <v>0.0</v>
      </c>
      <c r="L215" s="11" t="s">
        <v>1390</v>
      </c>
      <c r="M215" s="11">
        <v>0.0</v>
      </c>
      <c r="N215" s="11" t="s">
        <v>1835</v>
      </c>
    </row>
    <row r="216">
      <c r="A216" s="11">
        <v>-9.34880065917968</v>
      </c>
      <c r="B216" s="11">
        <v>43.5342597961425</v>
      </c>
      <c r="C216" s="11">
        <v>0.0</v>
      </c>
      <c r="D216" s="11" t="s">
        <v>1061</v>
      </c>
      <c r="E216" s="11">
        <v>0.0</v>
      </c>
      <c r="F216" s="11" t="s">
        <v>1264</v>
      </c>
      <c r="I216" s="11">
        <v>76.3230590820312</v>
      </c>
      <c r="J216" s="11">
        <v>-14.188772201538</v>
      </c>
      <c r="K216" s="11">
        <v>0.0</v>
      </c>
      <c r="L216" s="11" t="s">
        <v>1390</v>
      </c>
      <c r="M216" s="11">
        <v>0.0</v>
      </c>
      <c r="N216" s="11" t="s">
        <v>1837</v>
      </c>
    </row>
    <row r="217">
      <c r="A217" s="11">
        <v>0.520997941493988</v>
      </c>
      <c r="B217" s="11">
        <v>13.8648138046264</v>
      </c>
      <c r="C217" s="11">
        <v>0.0</v>
      </c>
      <c r="D217" s="11" t="s">
        <v>1061</v>
      </c>
      <c r="E217" s="11">
        <v>0.0</v>
      </c>
      <c r="F217" s="11" t="s">
        <v>1265</v>
      </c>
      <c r="I217" s="11">
        <v>29.4451904296875</v>
      </c>
      <c r="J217" s="11">
        <v>-0.819815993309021</v>
      </c>
      <c r="K217" s="11">
        <v>-1.0</v>
      </c>
      <c r="L217" s="11" t="s">
        <v>1390</v>
      </c>
      <c r="M217" s="11">
        <v>-1.0</v>
      </c>
      <c r="N217" s="11" t="s">
        <v>1839</v>
      </c>
    </row>
    <row r="218">
      <c r="A218" s="11">
        <v>51.2893180847168</v>
      </c>
      <c r="B218" s="11">
        <v>-12.8929452896118</v>
      </c>
      <c r="C218" s="11">
        <v>0.0</v>
      </c>
      <c r="D218" s="11" t="s">
        <v>1061</v>
      </c>
      <c r="E218" s="11">
        <v>0.0</v>
      </c>
      <c r="F218" s="11" t="s">
        <v>1841</v>
      </c>
      <c r="I218" s="11">
        <v>15.5114154815673</v>
      </c>
      <c r="J218" s="11">
        <v>-4.2189073562622</v>
      </c>
      <c r="K218" s="11">
        <v>-2.0</v>
      </c>
      <c r="L218" s="11" t="s">
        <v>1390</v>
      </c>
      <c r="M218" s="11">
        <v>-2.0</v>
      </c>
      <c r="N218" s="11" t="s">
        <v>1842</v>
      </c>
    </row>
    <row r="219">
      <c r="A219" s="11">
        <v>36.0135459899902</v>
      </c>
      <c r="B219" s="11">
        <v>46.8542747497558</v>
      </c>
      <c r="C219" s="11">
        <v>0.0</v>
      </c>
      <c r="D219" s="11" t="s">
        <v>1061</v>
      </c>
      <c r="E219" s="11">
        <v>0.0</v>
      </c>
      <c r="F219" s="11" t="s">
        <v>1266</v>
      </c>
      <c r="I219" s="11">
        <v>11.2223787307739</v>
      </c>
      <c r="J219" s="11">
        <v>-21.9817142486572</v>
      </c>
      <c r="K219" s="11">
        <v>1.0</v>
      </c>
      <c r="L219" s="11" t="s">
        <v>1390</v>
      </c>
      <c r="M219" s="11">
        <v>1.0</v>
      </c>
      <c r="N219" s="11" t="s">
        <v>1844</v>
      </c>
    </row>
    <row r="220">
      <c r="A220" s="11">
        <v>-10.6682004928588</v>
      </c>
      <c r="B220" s="11">
        <v>3.5495867729187</v>
      </c>
      <c r="C220" s="11">
        <v>0.0</v>
      </c>
      <c r="D220" s="11" t="s">
        <v>1061</v>
      </c>
      <c r="E220" s="11">
        <v>0.0</v>
      </c>
      <c r="F220" s="11" t="s">
        <v>1267</v>
      </c>
      <c r="I220" s="11">
        <v>5.33201694488525</v>
      </c>
      <c r="J220" s="11">
        <v>-20.6544361114501</v>
      </c>
      <c r="K220" s="11">
        <v>0.0</v>
      </c>
      <c r="L220" s="11" t="s">
        <v>1390</v>
      </c>
      <c r="M220" s="11">
        <v>0.0</v>
      </c>
      <c r="N220" s="11" t="s">
        <v>1846</v>
      </c>
    </row>
    <row r="221">
      <c r="A221" s="11">
        <v>43.1550674438476</v>
      </c>
      <c r="B221" s="11">
        <v>-9.41063976287841</v>
      </c>
      <c r="C221" s="11">
        <v>1.0</v>
      </c>
      <c r="D221" s="11" t="s">
        <v>1061</v>
      </c>
      <c r="E221" s="11">
        <v>1.0</v>
      </c>
      <c r="F221" s="11" t="s">
        <v>1268</v>
      </c>
      <c r="I221" s="11">
        <v>-11.5095863342285</v>
      </c>
      <c r="J221" s="11">
        <v>5.7033348083496</v>
      </c>
      <c r="K221" s="11">
        <v>1.0</v>
      </c>
      <c r="L221" s="11" t="s">
        <v>1390</v>
      </c>
      <c r="M221" s="11">
        <v>1.0</v>
      </c>
      <c r="N221" s="11" t="s">
        <v>1847</v>
      </c>
    </row>
    <row r="222">
      <c r="A222" s="11">
        <v>26.5753593444824</v>
      </c>
      <c r="B222" s="11">
        <v>-33.1711540222168</v>
      </c>
      <c r="C222" s="11">
        <v>0.0</v>
      </c>
      <c r="D222" s="11" t="s">
        <v>1061</v>
      </c>
      <c r="E222" s="11">
        <v>0.0</v>
      </c>
      <c r="F222" s="11" t="s">
        <v>1269</v>
      </c>
      <c r="I222" s="11">
        <v>-3.58590674400329</v>
      </c>
      <c r="J222" s="11">
        <v>-1.81298804283142</v>
      </c>
      <c r="K222" s="11">
        <v>0.0</v>
      </c>
      <c r="L222" s="11" t="s">
        <v>1390</v>
      </c>
      <c r="M222" s="11">
        <v>0.0</v>
      </c>
      <c r="N222" s="11" t="s">
        <v>1849</v>
      </c>
    </row>
    <row r="223">
      <c r="A223" s="11">
        <v>-8.34299755096435</v>
      </c>
      <c r="B223" s="11">
        <v>9.84418869018554</v>
      </c>
      <c r="C223" s="11">
        <v>0.0</v>
      </c>
      <c r="D223" s="11" t="s">
        <v>1061</v>
      </c>
      <c r="E223" s="11">
        <v>0.0</v>
      </c>
      <c r="F223" s="11" t="s">
        <v>1270</v>
      </c>
      <c r="I223" s="11">
        <v>4.50267362594604</v>
      </c>
      <c r="J223" s="11">
        <v>-29.7680263519287</v>
      </c>
      <c r="K223" s="11">
        <v>-1.0</v>
      </c>
      <c r="L223" s="11" t="s">
        <v>1390</v>
      </c>
      <c r="M223" s="11">
        <v>-1.0</v>
      </c>
      <c r="N223" s="11" t="s">
        <v>1851</v>
      </c>
    </row>
    <row r="224">
      <c r="A224" s="11">
        <v>41.073875427246</v>
      </c>
      <c r="B224" s="11">
        <v>-4.69998455047607</v>
      </c>
      <c r="C224" s="11">
        <v>0.0</v>
      </c>
      <c r="D224" s="11" t="s">
        <v>1061</v>
      </c>
      <c r="E224" s="11">
        <v>0.0</v>
      </c>
      <c r="F224" s="11" t="s">
        <v>1852</v>
      </c>
      <c r="I224" s="11">
        <v>15.0010442733764</v>
      </c>
      <c r="J224" s="11">
        <v>-30.4465522766113</v>
      </c>
      <c r="K224" s="11">
        <v>1.0</v>
      </c>
      <c r="L224" s="11" t="s">
        <v>1390</v>
      </c>
      <c r="M224" s="11">
        <v>1.0</v>
      </c>
      <c r="N224" s="11" t="s">
        <v>1854</v>
      </c>
    </row>
    <row r="225">
      <c r="A225" s="11">
        <v>36.4197158813476</v>
      </c>
      <c r="B225" s="11">
        <v>-23.9042854309082</v>
      </c>
      <c r="C225" s="11">
        <v>0.0</v>
      </c>
      <c r="D225" s="11" t="s">
        <v>1061</v>
      </c>
      <c r="E225" s="11">
        <v>0.0</v>
      </c>
      <c r="F225" s="11" t="s">
        <v>1271</v>
      </c>
      <c r="I225" s="11">
        <v>16.528860092163</v>
      </c>
      <c r="J225" s="11">
        <v>7.07921552658081</v>
      </c>
      <c r="K225" s="11">
        <v>0.0</v>
      </c>
      <c r="L225" s="11" t="s">
        <v>1390</v>
      </c>
      <c r="M225" s="11">
        <v>0.0</v>
      </c>
      <c r="N225" s="11" t="s">
        <v>1855</v>
      </c>
    </row>
    <row r="226">
      <c r="A226" s="11">
        <v>47.890022277832</v>
      </c>
      <c r="B226" s="11">
        <v>-1.60519659519195</v>
      </c>
      <c r="C226" s="11">
        <v>-2.0</v>
      </c>
      <c r="D226" s="11" t="s">
        <v>1061</v>
      </c>
      <c r="E226" s="11">
        <v>-2.0</v>
      </c>
      <c r="F226" s="11" t="s">
        <v>1272</v>
      </c>
      <c r="I226" s="11">
        <v>25.6712303161621</v>
      </c>
      <c r="J226" s="11">
        <v>5.62685871124267</v>
      </c>
      <c r="K226" s="11">
        <v>1.0</v>
      </c>
      <c r="L226" s="11" t="s">
        <v>1390</v>
      </c>
      <c r="M226" s="11">
        <v>1.0</v>
      </c>
      <c r="N226" s="11" t="s">
        <v>1857</v>
      </c>
    </row>
    <row r="227">
      <c r="A227" s="11">
        <v>11.5981483459472</v>
      </c>
      <c r="B227" s="11">
        <v>-8.54628372192382</v>
      </c>
      <c r="C227" s="11">
        <v>0.0</v>
      </c>
      <c r="D227" s="11" t="s">
        <v>1061</v>
      </c>
      <c r="E227" s="11">
        <v>0.0</v>
      </c>
      <c r="F227" s="11" t="s">
        <v>1273</v>
      </c>
      <c r="I227" s="11">
        <v>58.9856643676757</v>
      </c>
      <c r="J227" s="11">
        <v>-18.5760898590087</v>
      </c>
      <c r="K227" s="11">
        <v>0.0</v>
      </c>
      <c r="L227" s="11" t="s">
        <v>1390</v>
      </c>
      <c r="M227" s="11">
        <v>0.0</v>
      </c>
      <c r="N227" s="11" t="s">
        <v>1859</v>
      </c>
    </row>
    <row r="228">
      <c r="A228" s="11">
        <v>31.5762958526611</v>
      </c>
      <c r="B228" s="11">
        <v>-28.1850547790527</v>
      </c>
      <c r="C228" s="11">
        <v>-2.0</v>
      </c>
      <c r="D228" s="11" t="s">
        <v>1061</v>
      </c>
      <c r="E228" s="11">
        <v>-2.0</v>
      </c>
      <c r="F228" s="11" t="s">
        <v>1274</v>
      </c>
      <c r="I228" s="11">
        <v>4.7345380783081</v>
      </c>
      <c r="J228" s="11">
        <v>5.21170949935913</v>
      </c>
      <c r="K228" s="11">
        <v>0.0</v>
      </c>
      <c r="L228" s="11" t="s">
        <v>1390</v>
      </c>
      <c r="M228" s="11">
        <v>0.0</v>
      </c>
      <c r="N228" s="11" t="s">
        <v>1861</v>
      </c>
    </row>
    <row r="229">
      <c r="A229" s="11">
        <v>-13.3316020965576</v>
      </c>
      <c r="B229" s="11">
        <v>11.9699516296386</v>
      </c>
      <c r="C229" s="11">
        <v>0.0</v>
      </c>
      <c r="D229" s="11" t="s">
        <v>1061</v>
      </c>
      <c r="E229" s="11">
        <v>0.0</v>
      </c>
      <c r="F229" s="11" t="s">
        <v>1275</v>
      </c>
      <c r="I229" s="11">
        <v>-7.79353141784668</v>
      </c>
      <c r="J229" s="11">
        <v>-51.5246200561523</v>
      </c>
      <c r="K229" s="11">
        <v>0.0</v>
      </c>
      <c r="L229" s="11" t="s">
        <v>1390</v>
      </c>
      <c r="M229" s="11">
        <v>0.0</v>
      </c>
      <c r="N229" s="11" t="s">
        <v>1863</v>
      </c>
    </row>
    <row r="230">
      <c r="A230" s="11">
        <v>7.41679763793945</v>
      </c>
      <c r="B230" s="11">
        <v>-12.2028932571411</v>
      </c>
      <c r="C230" s="11">
        <v>0.0</v>
      </c>
      <c r="D230" s="11" t="s">
        <v>1061</v>
      </c>
      <c r="E230" s="11">
        <v>0.0</v>
      </c>
      <c r="F230" s="11" t="s">
        <v>1276</v>
      </c>
      <c r="I230" s="11">
        <v>76.0966186523437</v>
      </c>
      <c r="J230" s="11">
        <v>22.7591075897216</v>
      </c>
      <c r="K230" s="11">
        <v>1.0</v>
      </c>
      <c r="L230" s="11" t="s">
        <v>1390</v>
      </c>
      <c r="M230" s="11">
        <v>1.0</v>
      </c>
      <c r="N230" s="11" t="s">
        <v>1865</v>
      </c>
    </row>
    <row r="231">
      <c r="A231" s="11">
        <v>90.2170944213867</v>
      </c>
      <c r="B231" s="11">
        <v>12.5030193328857</v>
      </c>
      <c r="C231" s="11">
        <v>2.0</v>
      </c>
      <c r="D231" s="11" t="s">
        <v>1061</v>
      </c>
      <c r="E231" s="11">
        <v>2.0</v>
      </c>
      <c r="F231" s="11" t="s">
        <v>1277</v>
      </c>
      <c r="I231" s="11">
        <v>-7.79353141784668</v>
      </c>
      <c r="J231" s="11">
        <v>-51.5246200561523</v>
      </c>
      <c r="K231" s="11">
        <v>0.0</v>
      </c>
      <c r="L231" s="11" t="s">
        <v>1390</v>
      </c>
      <c r="M231" s="11">
        <v>0.0</v>
      </c>
      <c r="N231" s="11" t="s">
        <v>1867</v>
      </c>
    </row>
    <row r="232">
      <c r="A232" s="11">
        <v>59.5701904296875</v>
      </c>
      <c r="B232" s="11">
        <v>-9.45171356201171</v>
      </c>
      <c r="C232" s="11">
        <v>0.0</v>
      </c>
      <c r="D232" s="11" t="s">
        <v>1061</v>
      </c>
      <c r="E232" s="11">
        <v>0.0</v>
      </c>
      <c r="F232" s="11" t="s">
        <v>1278</v>
      </c>
      <c r="I232" s="11">
        <v>13.9983415603637</v>
      </c>
      <c r="J232" s="11">
        <v>-59.9812278747558</v>
      </c>
      <c r="K232" s="11">
        <v>0.0</v>
      </c>
      <c r="L232" s="11" t="s">
        <v>1390</v>
      </c>
      <c r="M232" s="11">
        <v>0.0</v>
      </c>
      <c r="N232" s="11" t="s">
        <v>1869</v>
      </c>
    </row>
    <row r="233">
      <c r="A233" s="11">
        <v>-33.2586212158203</v>
      </c>
      <c r="B233" s="11">
        <v>13.4365501403808</v>
      </c>
      <c r="C233" s="11">
        <v>0.0</v>
      </c>
      <c r="D233" s="11" t="s">
        <v>1061</v>
      </c>
      <c r="E233" s="11">
        <v>0.0</v>
      </c>
      <c r="F233" s="11" t="s">
        <v>1279</v>
      </c>
      <c r="I233" s="11">
        <v>10.8336563110351</v>
      </c>
      <c r="J233" s="11">
        <v>-7.03532981872558</v>
      </c>
      <c r="K233" s="11">
        <v>0.0</v>
      </c>
      <c r="L233" s="11" t="s">
        <v>1390</v>
      </c>
      <c r="M233" s="11">
        <v>0.0</v>
      </c>
      <c r="N233" s="11" t="s">
        <v>1871</v>
      </c>
    </row>
    <row r="234">
      <c r="A234" s="11">
        <v>-35.6667518615722</v>
      </c>
      <c r="B234" s="11">
        <v>12.8097791671752</v>
      </c>
      <c r="C234" s="11">
        <v>-1.0</v>
      </c>
      <c r="D234" s="11" t="s">
        <v>1061</v>
      </c>
      <c r="E234" s="11">
        <v>-1.0</v>
      </c>
      <c r="F234" s="11" t="s">
        <v>1280</v>
      </c>
      <c r="I234" s="11">
        <v>75.7485198974609</v>
      </c>
      <c r="J234" s="11">
        <v>25.5451183319091</v>
      </c>
      <c r="K234" s="11">
        <v>1.0</v>
      </c>
      <c r="L234" s="11" t="s">
        <v>1390</v>
      </c>
      <c r="M234" s="11">
        <v>1.0</v>
      </c>
      <c r="N234" s="11" t="s">
        <v>1873</v>
      </c>
    </row>
    <row r="235">
      <c r="A235" s="11">
        <v>47.2012519836425</v>
      </c>
      <c r="B235" s="11">
        <v>-14.0496559143066</v>
      </c>
      <c r="C235" s="11">
        <v>0.0</v>
      </c>
      <c r="D235" s="11" t="s">
        <v>1061</v>
      </c>
      <c r="E235" s="11">
        <v>0.0</v>
      </c>
      <c r="F235" s="11" t="s">
        <v>1874</v>
      </c>
      <c r="I235" s="11">
        <v>-8.59643936157226</v>
      </c>
      <c r="J235" s="11">
        <v>-37.2477874755859</v>
      </c>
      <c r="K235" s="11">
        <v>0.0</v>
      </c>
      <c r="L235" s="11" t="s">
        <v>1390</v>
      </c>
      <c r="M235" s="11">
        <v>0.0</v>
      </c>
      <c r="N235" s="11" t="s">
        <v>1876</v>
      </c>
    </row>
    <row r="236">
      <c r="A236" s="11">
        <v>48.3916931152343</v>
      </c>
      <c r="B236" s="11">
        <v>-17.6457576751709</v>
      </c>
      <c r="C236" s="11">
        <v>2.0</v>
      </c>
      <c r="D236" s="11" t="s">
        <v>1061</v>
      </c>
      <c r="E236" s="11">
        <v>2.0</v>
      </c>
      <c r="F236" s="11" t="s">
        <v>1878</v>
      </c>
      <c r="I236" s="11">
        <v>-63.3773078918457</v>
      </c>
      <c r="J236" s="11">
        <v>35.2777519226074</v>
      </c>
      <c r="K236" s="11">
        <v>0.0</v>
      </c>
      <c r="L236" s="11" t="s">
        <v>1879</v>
      </c>
      <c r="M236" s="11">
        <v>0.0</v>
      </c>
      <c r="N236" s="11" t="s">
        <v>1880</v>
      </c>
    </row>
    <row r="237">
      <c r="A237" s="11">
        <v>15.0757827758789</v>
      </c>
      <c r="B237" s="11">
        <v>29.389986038208</v>
      </c>
      <c r="C237" s="11">
        <v>2.0</v>
      </c>
      <c r="D237" s="11" t="s">
        <v>1061</v>
      </c>
      <c r="E237" s="11">
        <v>2.0</v>
      </c>
      <c r="F237" s="11" t="s">
        <v>1882</v>
      </c>
      <c r="I237" s="11">
        <v>-46.431297302246</v>
      </c>
      <c r="J237" s="11">
        <v>38.8872566223144</v>
      </c>
      <c r="K237" s="11">
        <v>0.0</v>
      </c>
      <c r="L237" s="11" t="s">
        <v>1879</v>
      </c>
      <c r="M237" s="11">
        <v>0.0</v>
      </c>
      <c r="N237" s="11" t="s">
        <v>1884</v>
      </c>
    </row>
    <row r="238">
      <c r="A238" s="11">
        <v>-60.5158576965332</v>
      </c>
      <c r="B238" s="11">
        <v>38.6839790344238</v>
      </c>
      <c r="C238" s="11">
        <v>-1.0</v>
      </c>
      <c r="D238" s="11" t="s">
        <v>1061</v>
      </c>
      <c r="E238" s="11">
        <v>-1.0</v>
      </c>
      <c r="F238" s="11" t="s">
        <v>1281</v>
      </c>
      <c r="I238" s="11">
        <v>-6.13421249389648</v>
      </c>
      <c r="J238" s="11">
        <v>68.4062805175781</v>
      </c>
      <c r="K238" s="11">
        <v>-2.0</v>
      </c>
      <c r="L238" s="11" t="s">
        <v>1879</v>
      </c>
      <c r="M238" s="11">
        <v>-2.0</v>
      </c>
      <c r="N238" s="11" t="s">
        <v>1886</v>
      </c>
    </row>
    <row r="239">
      <c r="A239" s="11">
        <v>-25.5441131591796</v>
      </c>
      <c r="B239" s="11">
        <v>19.2863788604736</v>
      </c>
      <c r="C239" s="11">
        <v>0.0</v>
      </c>
      <c r="D239" s="11" t="s">
        <v>1061</v>
      </c>
      <c r="E239" s="11">
        <v>0.0</v>
      </c>
      <c r="F239" s="11" t="s">
        <v>1282</v>
      </c>
      <c r="I239" s="11">
        <v>-25.5720443725585</v>
      </c>
      <c r="J239" s="11">
        <v>0.590221345424652</v>
      </c>
      <c r="K239" s="11">
        <v>0.0</v>
      </c>
      <c r="L239" s="11" t="s">
        <v>1879</v>
      </c>
      <c r="M239" s="11">
        <v>0.0</v>
      </c>
      <c r="N239" s="11" t="s">
        <v>1888</v>
      </c>
    </row>
    <row r="240">
      <c r="A240" s="11">
        <v>4.43147802352905</v>
      </c>
      <c r="B240" s="11">
        <v>31.3808670043945</v>
      </c>
      <c r="C240" s="11">
        <v>0.0</v>
      </c>
      <c r="D240" s="11" t="s">
        <v>1061</v>
      </c>
      <c r="E240" s="11">
        <v>0.0</v>
      </c>
      <c r="F240" s="11" t="s">
        <v>1283</v>
      </c>
      <c r="I240" s="11">
        <v>-28.2397422790527</v>
      </c>
      <c r="J240" s="11">
        <v>12.4436140060424</v>
      </c>
      <c r="K240" s="11">
        <v>-1.0</v>
      </c>
      <c r="L240" s="11" t="s">
        <v>1879</v>
      </c>
      <c r="M240" s="11">
        <v>-1.0</v>
      </c>
      <c r="N240" s="11" t="s">
        <v>1890</v>
      </c>
    </row>
    <row r="241">
      <c r="A241" s="11">
        <v>-9.34880065917968</v>
      </c>
      <c r="B241" s="11">
        <v>43.5342597961425</v>
      </c>
      <c r="C241" s="11">
        <v>0.0</v>
      </c>
      <c r="D241" s="11" t="s">
        <v>1061</v>
      </c>
      <c r="E241" s="11">
        <v>0.0</v>
      </c>
      <c r="F241" s="11" t="s">
        <v>1284</v>
      </c>
      <c r="I241" s="11">
        <v>-24.0770244598388</v>
      </c>
      <c r="J241" s="11">
        <v>0.0483846589922905</v>
      </c>
      <c r="K241" s="11">
        <v>0.0</v>
      </c>
      <c r="L241" s="11" t="s">
        <v>1879</v>
      </c>
      <c r="M241" s="11">
        <v>0.0</v>
      </c>
      <c r="N241" s="11" t="s">
        <v>1892</v>
      </c>
    </row>
    <row r="242">
      <c r="A242" s="11">
        <v>-0.45160087943077</v>
      </c>
      <c r="B242" s="11">
        <v>-0.252259612083435</v>
      </c>
      <c r="C242" s="11">
        <v>0.0</v>
      </c>
      <c r="D242" s="11" t="s">
        <v>1061</v>
      </c>
      <c r="E242" s="11">
        <v>0.0</v>
      </c>
      <c r="F242" s="11" t="s">
        <v>1285</v>
      </c>
      <c r="I242" s="11">
        <v>-34.2368354797363</v>
      </c>
      <c r="J242" s="11">
        <v>-11.4078826904296</v>
      </c>
      <c r="K242" s="11">
        <v>0.0</v>
      </c>
      <c r="L242" s="11" t="s">
        <v>1879</v>
      </c>
      <c r="M242" s="11">
        <v>0.0</v>
      </c>
      <c r="N242" s="11" t="s">
        <v>1894</v>
      </c>
    </row>
    <row r="243">
      <c r="A243" s="11">
        <v>-35.8866996765136</v>
      </c>
      <c r="B243" s="11">
        <v>24.4965496063232</v>
      </c>
      <c r="C243" s="11">
        <v>0.0</v>
      </c>
      <c r="D243" s="11" t="s">
        <v>1061</v>
      </c>
      <c r="E243" s="11">
        <v>0.0</v>
      </c>
      <c r="F243" s="11" t="s">
        <v>1286</v>
      </c>
      <c r="I243" s="11">
        <v>-23.0149383544921</v>
      </c>
      <c r="J243" s="11">
        <v>48.1634559631347</v>
      </c>
      <c r="K243" s="11">
        <v>-2.0</v>
      </c>
      <c r="L243" s="11" t="s">
        <v>1879</v>
      </c>
      <c r="M243" s="11">
        <v>-2.0</v>
      </c>
      <c r="N243" s="11" t="s">
        <v>1896</v>
      </c>
    </row>
    <row r="244">
      <c r="A244" s="11">
        <v>-51.4653968811035</v>
      </c>
      <c r="B244" s="11">
        <v>-45.1276168823242</v>
      </c>
      <c r="C244" s="11">
        <v>0.0</v>
      </c>
      <c r="D244" s="11" t="s">
        <v>1061</v>
      </c>
      <c r="E244" s="11">
        <v>0.0</v>
      </c>
      <c r="F244" s="11" t="s">
        <v>1287</v>
      </c>
      <c r="I244" s="11">
        <v>-53.414810180664</v>
      </c>
      <c r="J244" s="11">
        <v>-41.725975036621</v>
      </c>
      <c r="K244" s="11">
        <v>0.0</v>
      </c>
      <c r="L244" s="11" t="s">
        <v>1879</v>
      </c>
      <c r="M244" s="11">
        <v>0.0</v>
      </c>
      <c r="N244" s="11" t="s">
        <v>1898</v>
      </c>
    </row>
    <row r="245">
      <c r="A245" s="11">
        <v>-4.55735826492309</v>
      </c>
      <c r="B245" s="11">
        <v>57.8975563049316</v>
      </c>
      <c r="C245" s="11">
        <v>1.0</v>
      </c>
      <c r="D245" s="11" t="s">
        <v>1061</v>
      </c>
      <c r="E245" s="11">
        <v>1.0</v>
      </c>
      <c r="F245" s="11" t="s">
        <v>1288</v>
      </c>
      <c r="I245" s="11">
        <v>-40.4391632080078</v>
      </c>
      <c r="J245" s="11">
        <v>-11.0056800842285</v>
      </c>
      <c r="K245" s="11">
        <v>0.0</v>
      </c>
      <c r="L245" s="11" t="s">
        <v>1879</v>
      </c>
      <c r="M245" s="11">
        <v>0.0</v>
      </c>
      <c r="N245" s="11" t="s">
        <v>1900</v>
      </c>
    </row>
    <row r="246">
      <c r="A246" s="11">
        <v>36.4909934997558</v>
      </c>
      <c r="B246" s="11">
        <v>45.8080253601074</v>
      </c>
      <c r="C246" s="11">
        <v>0.0</v>
      </c>
      <c r="D246" s="11" t="s">
        <v>1061</v>
      </c>
      <c r="E246" s="11">
        <v>0.0</v>
      </c>
      <c r="F246" s="11" t="s">
        <v>1289</v>
      </c>
      <c r="I246" s="11">
        <v>-45.6235694885253</v>
      </c>
      <c r="J246" s="11">
        <v>-3.85295319557189</v>
      </c>
      <c r="K246" s="11">
        <v>0.0</v>
      </c>
      <c r="L246" s="11" t="s">
        <v>1879</v>
      </c>
      <c r="M246" s="11">
        <v>0.0</v>
      </c>
      <c r="N246" s="11" t="s">
        <v>1902</v>
      </c>
    </row>
    <row r="247">
      <c r="A247" s="11">
        <v>42.1996536254882</v>
      </c>
      <c r="B247" s="11">
        <v>-3.30848479270935</v>
      </c>
      <c r="C247" s="11">
        <v>2.0</v>
      </c>
      <c r="D247" s="11" t="s">
        <v>1061</v>
      </c>
      <c r="E247" s="11">
        <v>2.0</v>
      </c>
      <c r="F247" s="11" t="s">
        <v>1904</v>
      </c>
      <c r="I247" s="11">
        <v>-4.29638576507568</v>
      </c>
      <c r="J247" s="11">
        <v>64.5852432250976</v>
      </c>
      <c r="K247" s="11">
        <v>-2.0</v>
      </c>
      <c r="L247" s="11" t="s">
        <v>1879</v>
      </c>
      <c r="M247" s="11">
        <v>-2.0</v>
      </c>
      <c r="N247" s="11" t="s">
        <v>1905</v>
      </c>
    </row>
    <row r="248">
      <c r="A248" s="11">
        <v>-4.86210918426513</v>
      </c>
      <c r="B248" s="11">
        <v>2.05218315124511</v>
      </c>
      <c r="C248" s="11">
        <v>0.0</v>
      </c>
      <c r="D248" s="11" t="s">
        <v>1061</v>
      </c>
      <c r="E248" s="11">
        <v>0.0</v>
      </c>
      <c r="F248" s="11" t="s">
        <v>1290</v>
      </c>
      <c r="I248" s="11">
        <v>-44.2794952392578</v>
      </c>
      <c r="J248" s="11">
        <v>-16.9379806518554</v>
      </c>
      <c r="K248" s="11">
        <v>0.0</v>
      </c>
      <c r="L248" s="11" t="s">
        <v>1879</v>
      </c>
      <c r="M248" s="11">
        <v>0.0</v>
      </c>
      <c r="N248" s="11" t="s">
        <v>1907</v>
      </c>
    </row>
    <row r="249">
      <c r="A249" s="11">
        <v>1.50114023685455</v>
      </c>
      <c r="B249" s="11">
        <v>0.411512017250061</v>
      </c>
      <c r="C249" s="11">
        <v>0.0</v>
      </c>
      <c r="D249" s="11" t="s">
        <v>1061</v>
      </c>
      <c r="E249" s="11">
        <v>0.0</v>
      </c>
      <c r="F249" s="11" t="s">
        <v>1291</v>
      </c>
      <c r="I249" s="11">
        <v>-46.4277267456054</v>
      </c>
      <c r="J249" s="11">
        <v>-17.4750747680664</v>
      </c>
      <c r="K249" s="11">
        <v>0.0</v>
      </c>
      <c r="L249" s="11" t="s">
        <v>1879</v>
      </c>
      <c r="M249" s="11">
        <v>0.0</v>
      </c>
      <c r="N249" s="11" t="s">
        <v>1910</v>
      </c>
    </row>
    <row r="250">
      <c r="A250" s="11">
        <v>13.5451030731201</v>
      </c>
      <c r="B250" s="11">
        <v>41.1131210327148</v>
      </c>
      <c r="C250" s="11">
        <v>2.0</v>
      </c>
      <c r="D250" s="11" t="s">
        <v>1061</v>
      </c>
      <c r="E250" s="11">
        <v>2.0</v>
      </c>
      <c r="F250" s="11" t="s">
        <v>1911</v>
      </c>
      <c r="I250" s="11">
        <v>-58.0080451965332</v>
      </c>
      <c r="J250" s="11">
        <v>-19.0215015411376</v>
      </c>
      <c r="K250" s="11">
        <v>1.0</v>
      </c>
      <c r="L250" s="11" t="s">
        <v>1879</v>
      </c>
      <c r="M250" s="11">
        <v>1.0</v>
      </c>
      <c r="N250" s="11" t="s">
        <v>1914</v>
      </c>
    </row>
    <row r="251">
      <c r="A251" s="11">
        <v>29.0156784057617</v>
      </c>
      <c r="B251" s="11">
        <v>7.51630306243896</v>
      </c>
      <c r="C251" s="11">
        <v>0.0</v>
      </c>
      <c r="D251" s="11" t="s">
        <v>1061</v>
      </c>
      <c r="E251" s="11">
        <v>0.0</v>
      </c>
      <c r="F251" s="11" t="s">
        <v>1292</v>
      </c>
      <c r="I251" s="11">
        <v>-69.9523773193359</v>
      </c>
      <c r="J251" s="11">
        <v>-5.03138494491577</v>
      </c>
      <c r="K251" s="11">
        <v>0.0</v>
      </c>
      <c r="L251" s="11" t="s">
        <v>1879</v>
      </c>
      <c r="M251" s="11">
        <v>0.0</v>
      </c>
      <c r="N251" s="11" t="s">
        <v>1916</v>
      </c>
    </row>
    <row r="252">
      <c r="A252" s="11">
        <v>37.8465843200683</v>
      </c>
      <c r="B252" s="11">
        <v>14.8857746124267</v>
      </c>
      <c r="C252" s="11">
        <v>0.0</v>
      </c>
      <c r="D252" s="11" t="s">
        <v>1061</v>
      </c>
      <c r="E252" s="11">
        <v>0.0</v>
      </c>
      <c r="F252" s="11" t="s">
        <v>1293</v>
      </c>
      <c r="I252" s="11">
        <v>-36.7928314208984</v>
      </c>
      <c r="J252" s="11">
        <v>-1.99215686321258</v>
      </c>
      <c r="K252" s="11">
        <v>0.0</v>
      </c>
      <c r="L252" s="11" t="s">
        <v>1879</v>
      </c>
      <c r="M252" s="11">
        <v>0.0</v>
      </c>
      <c r="N252" s="11" t="s">
        <v>1918</v>
      </c>
    </row>
    <row r="253">
      <c r="A253" s="11">
        <v>3.0412254333496</v>
      </c>
      <c r="B253" s="11">
        <v>4.69716358184814</v>
      </c>
      <c r="C253" s="11">
        <v>0.0</v>
      </c>
      <c r="D253" s="11" t="s">
        <v>1061</v>
      </c>
      <c r="E253" s="11">
        <v>0.0</v>
      </c>
      <c r="F253" s="11" t="s">
        <v>1294</v>
      </c>
      <c r="I253" s="11">
        <v>-76.6752548217773</v>
      </c>
      <c r="J253" s="11">
        <v>4.77244710922241</v>
      </c>
      <c r="K253" s="11">
        <v>1.0</v>
      </c>
      <c r="L253" s="11" t="s">
        <v>1879</v>
      </c>
      <c r="M253" s="11">
        <v>1.0</v>
      </c>
      <c r="N253" s="11" t="s">
        <v>1920</v>
      </c>
    </row>
    <row r="254">
      <c r="A254" s="11">
        <v>7.07256746292114</v>
      </c>
      <c r="B254" s="11">
        <v>5.78362274169921</v>
      </c>
      <c r="C254" s="11">
        <v>0.0</v>
      </c>
      <c r="D254" s="11" t="s">
        <v>1061</v>
      </c>
      <c r="E254" s="11">
        <v>0.0</v>
      </c>
      <c r="F254" s="11" t="s">
        <v>1295</v>
      </c>
      <c r="I254" s="11">
        <v>-63.3773078918457</v>
      </c>
      <c r="J254" s="11">
        <v>35.2777519226074</v>
      </c>
      <c r="K254" s="11">
        <v>0.0</v>
      </c>
      <c r="L254" s="11" t="s">
        <v>1879</v>
      </c>
      <c r="M254" s="11">
        <v>0.0</v>
      </c>
      <c r="N254" s="11" t="s">
        <v>1922</v>
      </c>
    </row>
    <row r="255">
      <c r="A255" s="11">
        <v>16.5385437011718</v>
      </c>
      <c r="B255" s="11">
        <v>46.2425575256347</v>
      </c>
      <c r="C255" s="11">
        <v>2.0</v>
      </c>
      <c r="D255" s="11" t="s">
        <v>1061</v>
      </c>
      <c r="E255" s="11">
        <v>2.0</v>
      </c>
      <c r="F255" s="11" t="s">
        <v>1924</v>
      </c>
      <c r="I255" s="11">
        <v>-60.1238822937011</v>
      </c>
      <c r="J255" s="11">
        <v>2.49818754196167</v>
      </c>
      <c r="K255" s="11">
        <v>0.0</v>
      </c>
      <c r="L255" s="11" t="s">
        <v>1879</v>
      </c>
      <c r="M255" s="11">
        <v>0.0</v>
      </c>
      <c r="N255" s="11" t="s">
        <v>1925</v>
      </c>
    </row>
    <row r="256">
      <c r="A256" s="11">
        <v>-47.4406394958496</v>
      </c>
      <c r="B256" s="11">
        <v>24.9708538055419</v>
      </c>
      <c r="C256" s="11">
        <v>0.0</v>
      </c>
      <c r="D256" s="11" t="s">
        <v>1061</v>
      </c>
      <c r="E256" s="11">
        <v>0.0</v>
      </c>
      <c r="F256" s="11" t="s">
        <v>1296</v>
      </c>
      <c r="I256" s="11">
        <v>-60.181770324707</v>
      </c>
      <c r="J256" s="11">
        <v>-15.4757375717163</v>
      </c>
      <c r="K256" s="11">
        <v>1.0</v>
      </c>
      <c r="L256" s="11" t="s">
        <v>1879</v>
      </c>
      <c r="M256" s="11">
        <v>1.0</v>
      </c>
      <c r="N256" s="11" t="s">
        <v>1927</v>
      </c>
    </row>
    <row r="257">
      <c r="A257" s="11">
        <v>6.13618803024292</v>
      </c>
      <c r="B257" s="11">
        <v>-50.1163444519043</v>
      </c>
      <c r="C257" s="11">
        <v>0.0</v>
      </c>
      <c r="D257" s="11" t="s">
        <v>1061</v>
      </c>
      <c r="E257" s="11">
        <v>0.0</v>
      </c>
      <c r="F257" s="11" t="s">
        <v>1297</v>
      </c>
      <c r="I257" s="11">
        <v>-72.1359939575195</v>
      </c>
      <c r="J257" s="11">
        <v>-6.26228141784668</v>
      </c>
      <c r="K257" s="11">
        <v>0.0</v>
      </c>
      <c r="L257" s="11" t="s">
        <v>1879</v>
      </c>
      <c r="M257" s="11">
        <v>0.0</v>
      </c>
      <c r="N257" s="11" t="s">
        <v>1929</v>
      </c>
    </row>
    <row r="258">
      <c r="A258" s="11">
        <v>-9.34880065917968</v>
      </c>
      <c r="B258" s="11">
        <v>43.5342597961425</v>
      </c>
      <c r="C258" s="11">
        <v>0.0</v>
      </c>
      <c r="D258" s="11" t="s">
        <v>1061</v>
      </c>
      <c r="E258" s="11">
        <v>0.0</v>
      </c>
      <c r="F258" s="11" t="s">
        <v>1298</v>
      </c>
      <c r="I258" s="11">
        <v>-33.9072113037109</v>
      </c>
      <c r="J258" s="11">
        <v>-2.12794351577758</v>
      </c>
      <c r="K258" s="11">
        <v>0.0</v>
      </c>
      <c r="L258" s="11" t="s">
        <v>1879</v>
      </c>
      <c r="M258" s="11">
        <v>0.0</v>
      </c>
      <c r="N258" s="11" t="s">
        <v>1931</v>
      </c>
    </row>
    <row r="259">
      <c r="A259" s="11">
        <v>-6.0144395828247</v>
      </c>
      <c r="B259" s="11">
        <v>2.53122496604919</v>
      </c>
      <c r="C259" s="11">
        <v>0.0</v>
      </c>
      <c r="D259" s="11" t="s">
        <v>1061</v>
      </c>
      <c r="E259" s="11">
        <v>0.0</v>
      </c>
      <c r="F259" s="11" t="s">
        <v>1299</v>
      </c>
      <c r="I259" s="11">
        <v>13.2988815307617</v>
      </c>
      <c r="J259" s="11">
        <v>54.7352638244628</v>
      </c>
      <c r="K259" s="11">
        <v>0.0</v>
      </c>
      <c r="L259" s="11" t="s">
        <v>1879</v>
      </c>
      <c r="M259" s="11">
        <v>0.0</v>
      </c>
      <c r="N259" s="11" t="s">
        <v>1933</v>
      </c>
    </row>
    <row r="260">
      <c r="A260" s="11">
        <v>-32.8072624206543</v>
      </c>
      <c r="B260" s="11">
        <v>18.3904094696044</v>
      </c>
      <c r="C260" s="11">
        <v>0.0</v>
      </c>
      <c r="D260" s="11" t="s">
        <v>1061</v>
      </c>
      <c r="E260" s="11">
        <v>0.0</v>
      </c>
      <c r="F260" s="11" t="s">
        <v>1300</v>
      </c>
      <c r="I260" s="11">
        <v>-22.9436683654785</v>
      </c>
      <c r="J260" s="11">
        <v>-26.0683727264404</v>
      </c>
      <c r="K260" s="11">
        <v>0.0</v>
      </c>
      <c r="L260" s="11" t="s">
        <v>1879</v>
      </c>
      <c r="M260" s="11">
        <v>0.0</v>
      </c>
      <c r="N260" s="11" t="s">
        <v>1935</v>
      </c>
    </row>
    <row r="261">
      <c r="A261" s="11">
        <v>47.1921272277832</v>
      </c>
      <c r="B261" s="11">
        <v>-1.51956486701965</v>
      </c>
      <c r="C261" s="11">
        <v>0.0</v>
      </c>
      <c r="D261" s="11" t="s">
        <v>1061</v>
      </c>
      <c r="E261" s="11">
        <v>0.0</v>
      </c>
      <c r="F261" s="11" t="s">
        <v>1301</v>
      </c>
      <c r="I261" s="11">
        <v>-44.6492767333984</v>
      </c>
      <c r="J261" s="11">
        <v>-0.13112024962902</v>
      </c>
      <c r="K261" s="11">
        <v>0.0</v>
      </c>
      <c r="L261" s="11" t="s">
        <v>1879</v>
      </c>
      <c r="M261" s="11">
        <v>0.0</v>
      </c>
      <c r="N261" s="11" t="s">
        <v>1936</v>
      </c>
    </row>
    <row r="262">
      <c r="A262" s="11">
        <v>-53.6192932128906</v>
      </c>
      <c r="B262" s="11">
        <v>-44.6314353942871</v>
      </c>
      <c r="C262" s="11">
        <v>0.0</v>
      </c>
      <c r="D262" s="11" t="s">
        <v>1061</v>
      </c>
      <c r="E262" s="11">
        <v>0.0</v>
      </c>
      <c r="F262" s="11" t="s">
        <v>1302</v>
      </c>
      <c r="I262" s="11">
        <v>-52.3779792785644</v>
      </c>
      <c r="J262" s="11">
        <v>-27.7838134765625</v>
      </c>
      <c r="K262" s="11">
        <v>0.0</v>
      </c>
      <c r="L262" s="11" t="s">
        <v>1879</v>
      </c>
      <c r="M262" s="11">
        <v>0.0</v>
      </c>
      <c r="N262" s="11" t="s">
        <v>1938</v>
      </c>
    </row>
    <row r="263">
      <c r="A263" s="11">
        <v>16.9389877319335</v>
      </c>
      <c r="B263" s="11">
        <v>-26.5948905944824</v>
      </c>
      <c r="C263" s="11">
        <v>0.0</v>
      </c>
      <c r="D263" s="11" t="s">
        <v>1061</v>
      </c>
      <c r="E263" s="11">
        <v>0.0</v>
      </c>
      <c r="F263" s="11" t="s">
        <v>1303</v>
      </c>
      <c r="I263" s="11">
        <v>-37.1478996276855</v>
      </c>
      <c r="J263" s="11">
        <v>14.6121931076049</v>
      </c>
      <c r="K263" s="11">
        <v>0.0</v>
      </c>
      <c r="L263" s="11" t="s">
        <v>1879</v>
      </c>
      <c r="M263" s="11">
        <v>0.0</v>
      </c>
      <c r="N263" s="11" t="s">
        <v>1940</v>
      </c>
    </row>
    <row r="264">
      <c r="A264" s="11">
        <v>77.9608078002929</v>
      </c>
      <c r="B264" s="11">
        <v>17.6361961364746</v>
      </c>
      <c r="C264" s="11">
        <v>2.0</v>
      </c>
      <c r="D264" s="11" t="s">
        <v>1061</v>
      </c>
      <c r="E264" s="11">
        <v>2.0</v>
      </c>
      <c r="F264" s="11" t="s">
        <v>1304</v>
      </c>
      <c r="I264" s="11">
        <v>-29.0348606109619</v>
      </c>
      <c r="J264" s="11">
        <v>-9.11068153381347</v>
      </c>
      <c r="K264" s="11">
        <v>0.0</v>
      </c>
      <c r="L264" s="11" t="s">
        <v>1879</v>
      </c>
      <c r="M264" s="11">
        <v>0.0</v>
      </c>
      <c r="N264" s="11" t="s">
        <v>1942</v>
      </c>
    </row>
    <row r="265">
      <c r="A265" s="11">
        <v>9.01009464263916</v>
      </c>
      <c r="B265" s="11">
        <v>27.2512016296386</v>
      </c>
      <c r="C265" s="11">
        <v>0.0</v>
      </c>
      <c r="D265" s="11" t="s">
        <v>1061</v>
      </c>
      <c r="E265" s="11">
        <v>0.0</v>
      </c>
      <c r="F265" s="11" t="s">
        <v>1305</v>
      </c>
      <c r="I265" s="11">
        <v>-36.451847076416</v>
      </c>
      <c r="J265" s="11">
        <v>-5.08568716049194</v>
      </c>
      <c r="K265" s="11">
        <v>0.0</v>
      </c>
      <c r="L265" s="11" t="s">
        <v>1879</v>
      </c>
      <c r="M265" s="11">
        <v>0.0</v>
      </c>
      <c r="N265" s="11" t="s">
        <v>1944</v>
      </c>
    </row>
    <row r="266">
      <c r="A266" s="11">
        <v>-15.9475326538085</v>
      </c>
      <c r="B266" s="11">
        <v>5.57484102249145</v>
      </c>
      <c r="C266" s="11">
        <v>0.0</v>
      </c>
      <c r="D266" s="11" t="s">
        <v>1061</v>
      </c>
      <c r="E266" s="11">
        <v>0.0</v>
      </c>
      <c r="F266" s="11" t="s">
        <v>1306</v>
      </c>
      <c r="I266" s="11">
        <v>-19.4621105194091</v>
      </c>
      <c r="J266" s="11">
        <v>46.2441482543945</v>
      </c>
      <c r="K266" s="11">
        <v>-1.0</v>
      </c>
      <c r="L266" s="11" t="s">
        <v>1879</v>
      </c>
      <c r="M266" s="11">
        <v>-1.0</v>
      </c>
      <c r="N266" s="11" t="s">
        <v>1946</v>
      </c>
    </row>
    <row r="267">
      <c r="A267" s="11">
        <v>-9.34880065917968</v>
      </c>
      <c r="B267" s="11">
        <v>43.5342597961425</v>
      </c>
      <c r="C267" s="11">
        <v>0.0</v>
      </c>
      <c r="D267" s="11" t="s">
        <v>1061</v>
      </c>
      <c r="E267" s="11">
        <v>0.0</v>
      </c>
      <c r="F267" s="11" t="s">
        <v>1307</v>
      </c>
      <c r="I267" s="11">
        <v>-52.6137351989746</v>
      </c>
      <c r="J267" s="11">
        <v>-12.3459358215332</v>
      </c>
      <c r="K267" s="11">
        <v>-2.0</v>
      </c>
      <c r="L267" s="11" t="s">
        <v>1879</v>
      </c>
      <c r="M267" s="11">
        <v>-2.0</v>
      </c>
      <c r="N267" s="11" t="s">
        <v>1948</v>
      </c>
    </row>
    <row r="268">
      <c r="A268" s="11">
        <v>60.8007736206054</v>
      </c>
      <c r="B268" s="11">
        <v>12.157036781311</v>
      </c>
      <c r="C268" s="11">
        <v>2.0</v>
      </c>
      <c r="D268" s="11" t="s">
        <v>1061</v>
      </c>
      <c r="E268" s="11">
        <v>2.0</v>
      </c>
      <c r="F268" s="11" t="s">
        <v>1308</v>
      </c>
      <c r="I268" s="11">
        <v>-31.5876369476318</v>
      </c>
      <c r="J268" s="11">
        <v>25.0271911621093</v>
      </c>
      <c r="K268" s="11">
        <v>0.0</v>
      </c>
      <c r="L268" s="11" t="s">
        <v>1879</v>
      </c>
      <c r="M268" s="11">
        <v>0.0</v>
      </c>
      <c r="N268" s="11" t="s">
        <v>1949</v>
      </c>
    </row>
    <row r="269">
      <c r="A269" s="11">
        <v>4.52188110351562</v>
      </c>
      <c r="B269" s="11">
        <v>12.691964149475</v>
      </c>
      <c r="C269" s="11">
        <v>0.0</v>
      </c>
      <c r="D269" s="11" t="s">
        <v>1061</v>
      </c>
      <c r="E269" s="11">
        <v>0.0</v>
      </c>
      <c r="F269" s="11" t="s">
        <v>1309</v>
      </c>
      <c r="I269" s="11">
        <v>-58.2155380249023</v>
      </c>
      <c r="J269" s="11">
        <v>-14.274146080017</v>
      </c>
      <c r="K269" s="11">
        <v>1.0</v>
      </c>
      <c r="L269" s="11" t="s">
        <v>1879</v>
      </c>
      <c r="M269" s="11">
        <v>1.0</v>
      </c>
      <c r="N269" s="11" t="s">
        <v>1951</v>
      </c>
    </row>
    <row r="270">
      <c r="A270" s="11">
        <v>28.3112239837646</v>
      </c>
      <c r="B270" s="11">
        <v>-22.6520862579345</v>
      </c>
      <c r="C270" s="11">
        <v>-2.0</v>
      </c>
      <c r="D270" s="11" t="s">
        <v>1061</v>
      </c>
      <c r="E270" s="11">
        <v>-2.0</v>
      </c>
      <c r="F270" s="11" t="s">
        <v>1310</v>
      </c>
      <c r="I270" s="11">
        <v>-6.65253448486328</v>
      </c>
      <c r="J270" s="11">
        <v>60.1262741088867</v>
      </c>
      <c r="K270" s="11">
        <v>-2.0</v>
      </c>
      <c r="L270" s="11" t="s">
        <v>1879</v>
      </c>
      <c r="M270" s="11">
        <v>-2.0</v>
      </c>
      <c r="N270" s="11" t="s">
        <v>1953</v>
      </c>
    </row>
    <row r="271">
      <c r="A271" s="11">
        <v>-5.50644731521606</v>
      </c>
      <c r="B271" s="11">
        <v>7.79518938064575</v>
      </c>
      <c r="C271" s="11">
        <v>0.0</v>
      </c>
      <c r="D271" s="11" t="s">
        <v>1061</v>
      </c>
      <c r="E271" s="11">
        <v>0.0</v>
      </c>
      <c r="F271" s="11" t="s">
        <v>1311</v>
      </c>
      <c r="I271" s="11">
        <v>-47.5988616943359</v>
      </c>
      <c r="J271" s="11">
        <v>35.7053108215332</v>
      </c>
      <c r="K271" s="11">
        <v>0.0</v>
      </c>
      <c r="L271" s="11" t="s">
        <v>1879</v>
      </c>
      <c r="M271" s="11">
        <v>0.0</v>
      </c>
      <c r="N271" s="11" t="s">
        <v>1955</v>
      </c>
    </row>
    <row r="272">
      <c r="A272" s="11">
        <v>34.5284309387207</v>
      </c>
      <c r="B272" s="11">
        <v>32.6129837036132</v>
      </c>
      <c r="C272" s="11">
        <v>0.0</v>
      </c>
      <c r="D272" s="11" t="s">
        <v>1061</v>
      </c>
      <c r="E272" s="11">
        <v>0.0</v>
      </c>
      <c r="F272" s="11" t="s">
        <v>1312</v>
      </c>
      <c r="I272" s="11">
        <v>-55.1530265808105</v>
      </c>
      <c r="J272" s="11">
        <v>-3.27761483192443</v>
      </c>
      <c r="K272" s="11">
        <v>0.0</v>
      </c>
      <c r="L272" s="11" t="s">
        <v>1879</v>
      </c>
      <c r="M272" s="11">
        <v>0.0</v>
      </c>
      <c r="N272" s="11" t="s">
        <v>1957</v>
      </c>
    </row>
    <row r="273">
      <c r="A273" s="11">
        <v>7.79988431930542</v>
      </c>
      <c r="B273" s="11">
        <v>-13.4126567840576</v>
      </c>
      <c r="C273" s="11">
        <v>0.0</v>
      </c>
      <c r="D273" s="11" t="s">
        <v>1061</v>
      </c>
      <c r="E273" s="11">
        <v>0.0</v>
      </c>
      <c r="F273" s="11" t="s">
        <v>1313</v>
      </c>
      <c r="I273" s="11">
        <v>-23.9826641082763</v>
      </c>
      <c r="J273" s="11">
        <v>-27.7955818176269</v>
      </c>
      <c r="K273" s="11">
        <v>0.0</v>
      </c>
      <c r="L273" s="11" t="s">
        <v>1879</v>
      </c>
      <c r="M273" s="11">
        <v>0.0</v>
      </c>
      <c r="N273" s="11" t="s">
        <v>1959</v>
      </c>
    </row>
    <row r="274">
      <c r="A274" s="11">
        <v>-38.2820243835449</v>
      </c>
      <c r="B274" s="11">
        <v>25.4364547729492</v>
      </c>
      <c r="C274" s="11">
        <v>0.0</v>
      </c>
      <c r="D274" s="11" t="s">
        <v>1061</v>
      </c>
      <c r="E274" s="11">
        <v>0.0</v>
      </c>
      <c r="F274" s="11" t="s">
        <v>1314</v>
      </c>
      <c r="I274" s="11">
        <v>-54.4929885864257</v>
      </c>
      <c r="J274" s="11">
        <v>-43.985065460205</v>
      </c>
      <c r="K274" s="11">
        <v>0.0</v>
      </c>
      <c r="L274" s="11" t="s">
        <v>1879</v>
      </c>
      <c r="M274" s="11">
        <v>0.0</v>
      </c>
      <c r="N274" s="11" t="s">
        <v>1961</v>
      </c>
    </row>
    <row r="275">
      <c r="A275" s="11">
        <v>77.9608078002929</v>
      </c>
      <c r="B275" s="11">
        <v>17.6361961364746</v>
      </c>
      <c r="C275" s="11">
        <v>2.0</v>
      </c>
      <c r="D275" s="11" t="s">
        <v>1061</v>
      </c>
      <c r="E275" s="11">
        <v>2.0</v>
      </c>
      <c r="F275" s="11" t="s">
        <v>1315</v>
      </c>
      <c r="I275" s="11">
        <v>-33.3249015808105</v>
      </c>
      <c r="J275" s="11">
        <v>-26.5380172729492</v>
      </c>
      <c r="K275" s="11">
        <v>0.0</v>
      </c>
      <c r="L275" s="11" t="s">
        <v>1879</v>
      </c>
      <c r="M275" s="11">
        <v>0.0</v>
      </c>
      <c r="N275" s="11" t="s">
        <v>1963</v>
      </c>
    </row>
    <row r="276">
      <c r="A276" s="11">
        <v>19.5360450744628</v>
      </c>
      <c r="B276" s="11">
        <v>30.473648071289</v>
      </c>
      <c r="C276" s="11">
        <v>2.0</v>
      </c>
      <c r="D276" s="11" t="s">
        <v>1061</v>
      </c>
      <c r="E276" s="11">
        <v>2.0</v>
      </c>
      <c r="F276" s="11" t="s">
        <v>1964</v>
      </c>
      <c r="I276" s="11">
        <v>-11.8492593765258</v>
      </c>
      <c r="J276" s="11">
        <v>67.7144088745117</v>
      </c>
      <c r="K276" s="11">
        <v>-2.0</v>
      </c>
      <c r="L276" s="11" t="s">
        <v>1879</v>
      </c>
      <c r="M276" s="11">
        <v>-2.0</v>
      </c>
      <c r="N276" s="11" t="s">
        <v>1966</v>
      </c>
    </row>
    <row r="277">
      <c r="A277" s="11">
        <v>-38.4319076538085</v>
      </c>
      <c r="B277" s="11">
        <v>1.27277863025665</v>
      </c>
      <c r="C277" s="11">
        <v>0.0</v>
      </c>
      <c r="D277" s="11" t="s">
        <v>1061</v>
      </c>
      <c r="E277" s="11">
        <v>0.0</v>
      </c>
      <c r="F277" s="11" t="s">
        <v>1316</v>
      </c>
      <c r="I277" s="11">
        <v>-21.6292934417724</v>
      </c>
      <c r="J277" s="11">
        <v>8.80227184295654</v>
      </c>
      <c r="K277" s="11">
        <v>0.0</v>
      </c>
      <c r="L277" s="11" t="s">
        <v>1879</v>
      </c>
      <c r="M277" s="11">
        <v>0.0</v>
      </c>
      <c r="N277" s="11" t="s">
        <v>1968</v>
      </c>
    </row>
    <row r="278">
      <c r="A278" s="11">
        <v>-18.4443969726562</v>
      </c>
      <c r="B278" s="11">
        <v>18.2305564880371</v>
      </c>
      <c r="C278" s="11">
        <v>0.0</v>
      </c>
      <c r="D278" s="11" t="s">
        <v>1061</v>
      </c>
      <c r="E278" s="11">
        <v>0.0</v>
      </c>
      <c r="F278" s="11" t="s">
        <v>1317</v>
      </c>
      <c r="I278" s="11">
        <v>-46.7874298095703</v>
      </c>
      <c r="J278" s="11">
        <v>-9.04107189178466</v>
      </c>
      <c r="K278" s="11">
        <v>-1.0</v>
      </c>
      <c r="L278" s="11" t="s">
        <v>1879</v>
      </c>
      <c r="M278" s="11">
        <v>-1.0</v>
      </c>
      <c r="N278" s="11" t="s">
        <v>1970</v>
      </c>
    </row>
    <row r="279">
      <c r="A279" s="11">
        <v>21.6092357635498</v>
      </c>
      <c r="B279" s="11">
        <v>23.3743991851806</v>
      </c>
      <c r="C279" s="11">
        <v>2.0</v>
      </c>
      <c r="D279" s="11" t="s">
        <v>1061</v>
      </c>
      <c r="E279" s="11">
        <v>2.0</v>
      </c>
      <c r="F279" s="11" t="s">
        <v>1971</v>
      </c>
      <c r="I279" s="11">
        <v>-47.5953712463378</v>
      </c>
      <c r="J279" s="11">
        <v>21.207498550415</v>
      </c>
      <c r="K279" s="11">
        <v>0.0</v>
      </c>
      <c r="L279" s="11" t="s">
        <v>1879</v>
      </c>
      <c r="M279" s="11">
        <v>0.0</v>
      </c>
      <c r="N279" s="11" t="s">
        <v>1972</v>
      </c>
    </row>
    <row r="280">
      <c r="A280" s="11">
        <v>26.5753593444824</v>
      </c>
      <c r="B280" s="11">
        <v>-33.1711540222168</v>
      </c>
      <c r="C280" s="11">
        <v>0.0</v>
      </c>
      <c r="D280" s="11" t="s">
        <v>1061</v>
      </c>
      <c r="E280" s="11">
        <v>0.0</v>
      </c>
      <c r="F280" s="11" t="s">
        <v>1318</v>
      </c>
      <c r="I280" s="11">
        <v>-49.6310081481933</v>
      </c>
      <c r="J280" s="11">
        <v>22.8890380859375</v>
      </c>
      <c r="K280" s="11">
        <v>0.0</v>
      </c>
      <c r="L280" s="11" t="s">
        <v>1879</v>
      </c>
      <c r="M280" s="11">
        <v>0.0</v>
      </c>
      <c r="N280" s="11" t="s">
        <v>1974</v>
      </c>
    </row>
    <row r="281">
      <c r="A281" s="11">
        <v>28.1973495483398</v>
      </c>
      <c r="B281" s="11">
        <v>-21.5618801116943</v>
      </c>
      <c r="C281" s="11">
        <v>-2.0</v>
      </c>
      <c r="D281" s="11" t="s">
        <v>1061</v>
      </c>
      <c r="E281" s="11">
        <v>-2.0</v>
      </c>
      <c r="F281" s="11" t="s">
        <v>1319</v>
      </c>
      <c r="I281" s="11">
        <v>-52.5494422912597</v>
      </c>
      <c r="J281" s="11">
        <v>-6.42266368865966</v>
      </c>
      <c r="K281" s="11">
        <v>0.0</v>
      </c>
      <c r="L281" s="11" t="s">
        <v>1879</v>
      </c>
      <c r="M281" s="11">
        <v>0.0</v>
      </c>
      <c r="N281" s="11" t="s">
        <v>1976</v>
      </c>
    </row>
    <row r="282">
      <c r="A282" s="11">
        <v>-0.368834555149078</v>
      </c>
      <c r="B282" s="11">
        <v>-18.4347534179687</v>
      </c>
      <c r="C282" s="11">
        <v>0.0</v>
      </c>
      <c r="D282" s="11" t="s">
        <v>1061</v>
      </c>
      <c r="E282" s="11">
        <v>0.0</v>
      </c>
      <c r="F282" s="11" t="s">
        <v>1320</v>
      </c>
      <c r="I282" s="11">
        <v>-38.5955619812011</v>
      </c>
      <c r="J282" s="11">
        <v>10.0893039703369</v>
      </c>
      <c r="K282" s="11">
        <v>0.0</v>
      </c>
      <c r="L282" s="11" t="s">
        <v>1879</v>
      </c>
      <c r="M282" s="11">
        <v>0.0</v>
      </c>
      <c r="N282" s="11" t="s">
        <v>1978</v>
      </c>
    </row>
    <row r="283">
      <c r="A283" s="11">
        <v>-38.4384956359863</v>
      </c>
      <c r="B283" s="11">
        <v>13.4426259994506</v>
      </c>
      <c r="C283" s="11">
        <v>-1.0</v>
      </c>
      <c r="D283" s="11" t="s">
        <v>1061</v>
      </c>
      <c r="E283" s="11">
        <v>-1.0</v>
      </c>
      <c r="F283" s="11" t="s">
        <v>1321</v>
      </c>
      <c r="I283" s="11">
        <v>-20.9131088256835</v>
      </c>
      <c r="J283" s="11">
        <v>42.4966964721679</v>
      </c>
      <c r="K283" s="11">
        <v>0.0</v>
      </c>
      <c r="L283" s="11" t="s">
        <v>1879</v>
      </c>
      <c r="M283" s="11">
        <v>0.0</v>
      </c>
      <c r="N283" s="11" t="s">
        <v>1979</v>
      </c>
    </row>
    <row r="284">
      <c r="A284" s="11">
        <v>-27.1407833099365</v>
      </c>
      <c r="B284" s="11">
        <v>8.64737129211425</v>
      </c>
      <c r="C284" s="11">
        <v>0.0</v>
      </c>
      <c r="D284" s="11" t="s">
        <v>1061</v>
      </c>
      <c r="E284" s="11">
        <v>0.0</v>
      </c>
      <c r="F284" s="11" t="s">
        <v>1322</v>
      </c>
      <c r="I284" s="11">
        <v>-22.8996105194091</v>
      </c>
      <c r="J284" s="11">
        <v>-5.90233945846557</v>
      </c>
      <c r="K284" s="11">
        <v>0.0</v>
      </c>
      <c r="L284" s="11" t="s">
        <v>1879</v>
      </c>
      <c r="M284" s="11">
        <v>0.0</v>
      </c>
      <c r="N284" s="11" t="s">
        <v>1981</v>
      </c>
    </row>
    <row r="285">
      <c r="A285" s="11">
        <v>52.9504432678222</v>
      </c>
      <c r="B285" s="11">
        <v>-4.58380508422851</v>
      </c>
      <c r="C285" s="11">
        <v>-1.0</v>
      </c>
      <c r="D285" s="11" t="s">
        <v>1061</v>
      </c>
      <c r="E285" s="11">
        <v>-1.0</v>
      </c>
      <c r="F285" s="11" t="s">
        <v>1323</v>
      </c>
      <c r="I285" s="11">
        <v>-73.9104843139648</v>
      </c>
      <c r="J285" s="11">
        <v>5.42258119583129</v>
      </c>
      <c r="K285" s="11">
        <v>1.0</v>
      </c>
      <c r="L285" s="11" t="s">
        <v>1879</v>
      </c>
      <c r="M285" s="11">
        <v>1.0</v>
      </c>
      <c r="N285" s="11" t="s">
        <v>1983</v>
      </c>
    </row>
    <row r="286">
      <c r="A286" s="11">
        <v>22.9829902648925</v>
      </c>
      <c r="B286" s="11">
        <v>-41.2383651733398</v>
      </c>
      <c r="C286" s="11">
        <v>0.0</v>
      </c>
      <c r="D286" s="11" t="s">
        <v>1061</v>
      </c>
      <c r="E286" s="11">
        <v>0.0</v>
      </c>
      <c r="F286" s="11" t="s">
        <v>1324</v>
      </c>
      <c r="I286" s="11">
        <v>-63.3773078918457</v>
      </c>
      <c r="J286" s="11">
        <v>35.2777519226074</v>
      </c>
      <c r="K286" s="11">
        <v>0.0</v>
      </c>
      <c r="L286" s="11" t="s">
        <v>1879</v>
      </c>
      <c r="M286" s="11">
        <v>0.0</v>
      </c>
      <c r="N286" s="11" t="s">
        <v>1984</v>
      </c>
    </row>
    <row r="287">
      <c r="A287" s="11">
        <v>24.2680740356445</v>
      </c>
      <c r="B287" s="11">
        <v>-8.12195968627929</v>
      </c>
      <c r="C287" s="11">
        <v>-1.0</v>
      </c>
      <c r="D287" s="11" t="s">
        <v>1061</v>
      </c>
      <c r="E287" s="11">
        <v>-1.0</v>
      </c>
      <c r="F287" s="11" t="s">
        <v>1325</v>
      </c>
      <c r="I287" s="11">
        <v>-56.1802558898925</v>
      </c>
      <c r="J287" s="11">
        <v>-15.4608631134033</v>
      </c>
      <c r="K287" s="11">
        <v>1.0</v>
      </c>
      <c r="L287" s="11" t="s">
        <v>1879</v>
      </c>
      <c r="M287" s="11">
        <v>1.0</v>
      </c>
      <c r="N287" s="11" t="s">
        <v>1986</v>
      </c>
    </row>
    <row r="288">
      <c r="A288" s="11">
        <v>-19.0428314208984</v>
      </c>
      <c r="B288" s="11">
        <v>60.1443481445312</v>
      </c>
      <c r="C288" s="11">
        <v>0.0</v>
      </c>
      <c r="D288" s="11" t="s">
        <v>1061</v>
      </c>
      <c r="E288" s="11">
        <v>0.0</v>
      </c>
      <c r="F288" s="11" t="s">
        <v>1326</v>
      </c>
      <c r="I288" s="11">
        <v>-11.4223642349243</v>
      </c>
      <c r="J288" s="11">
        <v>55.2186546325683</v>
      </c>
      <c r="K288" s="11">
        <v>-2.0</v>
      </c>
      <c r="L288" s="11" t="s">
        <v>1879</v>
      </c>
      <c r="M288" s="11">
        <v>-2.0</v>
      </c>
      <c r="N288" s="11" t="s">
        <v>1988</v>
      </c>
    </row>
    <row r="289">
      <c r="A289" s="11">
        <v>-48.2199058532714</v>
      </c>
      <c r="B289" s="11">
        <v>26.1432609558105</v>
      </c>
      <c r="C289" s="11">
        <v>0.0</v>
      </c>
      <c r="D289" s="11" t="s">
        <v>1061</v>
      </c>
      <c r="E289" s="11">
        <v>0.0</v>
      </c>
      <c r="F289" s="11" t="s">
        <v>1327</v>
      </c>
      <c r="I289" s="11">
        <v>-41.0857734680175</v>
      </c>
      <c r="J289" s="11">
        <v>9.13270473480224</v>
      </c>
      <c r="K289" s="11">
        <v>0.0</v>
      </c>
      <c r="L289" s="11" t="s">
        <v>1879</v>
      </c>
      <c r="M289" s="11">
        <v>0.0</v>
      </c>
      <c r="N289" s="11" t="s">
        <v>1989</v>
      </c>
    </row>
    <row r="290">
      <c r="A290" s="11">
        <v>-26.7632293701171</v>
      </c>
      <c r="B290" s="11">
        <v>2.0165569782257</v>
      </c>
      <c r="C290" s="11">
        <v>0.0</v>
      </c>
      <c r="D290" s="11" t="s">
        <v>1061</v>
      </c>
      <c r="E290" s="11">
        <v>0.0</v>
      </c>
      <c r="F290" s="11" t="s">
        <v>1328</v>
      </c>
      <c r="I290" s="11">
        <v>-75.6088485717773</v>
      </c>
      <c r="J290" s="11">
        <v>7.59828615188598</v>
      </c>
      <c r="K290" s="11">
        <v>1.0</v>
      </c>
      <c r="L290" s="11" t="s">
        <v>1879</v>
      </c>
      <c r="M290" s="11">
        <v>1.0</v>
      </c>
      <c r="N290" s="11" t="s">
        <v>1991</v>
      </c>
    </row>
    <row r="291">
      <c r="A291" s="11">
        <v>-39.8983268737793</v>
      </c>
      <c r="B291" s="11">
        <v>16.211534500122</v>
      </c>
      <c r="C291" s="11">
        <v>0.0</v>
      </c>
      <c r="D291" s="11" t="s">
        <v>1061</v>
      </c>
      <c r="E291" s="11">
        <v>0.0</v>
      </c>
      <c r="F291" s="11" t="s">
        <v>1329</v>
      </c>
      <c r="I291" s="11">
        <v>-57.8318176269531</v>
      </c>
      <c r="J291" s="11">
        <v>12.4689149856567</v>
      </c>
      <c r="K291" s="11">
        <v>0.0</v>
      </c>
      <c r="L291" s="11" t="s">
        <v>1879</v>
      </c>
      <c r="M291" s="11">
        <v>0.0</v>
      </c>
      <c r="N291" s="11" t="s">
        <v>1993</v>
      </c>
    </row>
    <row r="292">
      <c r="A292" s="11">
        <v>11.7269210815429</v>
      </c>
      <c r="B292" s="11">
        <v>54.8678665161132</v>
      </c>
      <c r="C292" s="11">
        <v>0.0</v>
      </c>
      <c r="D292" s="11" t="s">
        <v>1061</v>
      </c>
      <c r="E292" s="11">
        <v>0.0</v>
      </c>
      <c r="F292" s="11" t="s">
        <v>1330</v>
      </c>
      <c r="I292" s="11">
        <v>-43.7296829223632</v>
      </c>
      <c r="J292" s="11">
        <v>39.1780624389648</v>
      </c>
      <c r="K292" s="11">
        <v>0.0</v>
      </c>
      <c r="L292" s="11" t="s">
        <v>1879</v>
      </c>
      <c r="M292" s="11">
        <v>0.0</v>
      </c>
      <c r="N292" s="11" t="s">
        <v>1995</v>
      </c>
    </row>
    <row r="293">
      <c r="A293" s="11">
        <v>10.8975896835327</v>
      </c>
      <c r="B293" s="11">
        <v>17.0038433074951</v>
      </c>
      <c r="C293" s="11">
        <v>2.0</v>
      </c>
      <c r="D293" s="11" t="s">
        <v>1061</v>
      </c>
      <c r="E293" s="11">
        <v>2.0</v>
      </c>
      <c r="F293" s="11" t="s">
        <v>1331</v>
      </c>
      <c r="I293" s="11">
        <v>-76.6752548217773</v>
      </c>
      <c r="J293" s="11">
        <v>4.77244710922241</v>
      </c>
      <c r="K293" s="11">
        <v>1.0</v>
      </c>
      <c r="L293" s="11" t="s">
        <v>1879</v>
      </c>
      <c r="M293" s="11">
        <v>1.0</v>
      </c>
      <c r="N293" s="11" t="s">
        <v>1997</v>
      </c>
    </row>
    <row r="294">
      <c r="A294" s="11">
        <v>-2.85523533821105</v>
      </c>
      <c r="B294" s="11">
        <v>5.44711923599243</v>
      </c>
      <c r="C294" s="11">
        <v>0.0</v>
      </c>
      <c r="D294" s="11" t="s">
        <v>1061</v>
      </c>
      <c r="E294" s="11">
        <v>0.0</v>
      </c>
      <c r="F294" s="11" t="s">
        <v>1332</v>
      </c>
      <c r="I294" s="11">
        <v>-22.30224609375</v>
      </c>
      <c r="J294" s="11">
        <v>-3.51750135421752</v>
      </c>
      <c r="K294" s="11">
        <v>0.0</v>
      </c>
      <c r="L294" s="11" t="s">
        <v>1879</v>
      </c>
      <c r="M294" s="11">
        <v>0.0</v>
      </c>
      <c r="N294" s="11" t="s">
        <v>1999</v>
      </c>
    </row>
    <row r="295">
      <c r="A295" s="11">
        <v>36.4909934997558</v>
      </c>
      <c r="B295" s="11">
        <v>45.8080253601074</v>
      </c>
      <c r="C295" s="11">
        <v>0.0</v>
      </c>
      <c r="D295" s="11" t="s">
        <v>1061</v>
      </c>
      <c r="E295" s="11">
        <v>0.0</v>
      </c>
      <c r="F295" s="11" t="s">
        <v>1333</v>
      </c>
      <c r="I295" s="11">
        <v>-27.2058372497558</v>
      </c>
      <c r="J295" s="11">
        <v>10.2463474273681</v>
      </c>
      <c r="K295" s="11">
        <v>-1.0</v>
      </c>
      <c r="L295" s="11" t="s">
        <v>1879</v>
      </c>
      <c r="M295" s="11">
        <v>-1.0</v>
      </c>
      <c r="N295" s="11" t="s">
        <v>2001</v>
      </c>
    </row>
    <row r="296">
      <c r="A296" s="11">
        <v>-51.0314559936523</v>
      </c>
      <c r="B296" s="11">
        <v>25.7786560058593</v>
      </c>
      <c r="C296" s="11">
        <v>0.0</v>
      </c>
      <c r="D296" s="11" t="s">
        <v>1061</v>
      </c>
      <c r="E296" s="11">
        <v>0.0</v>
      </c>
      <c r="F296" s="11" t="s">
        <v>1334</v>
      </c>
      <c r="I296" s="11">
        <v>-31.1862163543701</v>
      </c>
      <c r="J296" s="11">
        <v>-3.42938446998596</v>
      </c>
      <c r="K296" s="11">
        <v>0.0</v>
      </c>
      <c r="L296" s="11" t="s">
        <v>1879</v>
      </c>
      <c r="M296" s="11">
        <v>0.0</v>
      </c>
      <c r="N296" s="11" t="s">
        <v>2003</v>
      </c>
    </row>
    <row r="297">
      <c r="A297" s="11">
        <v>57.7627372741699</v>
      </c>
      <c r="B297" s="11">
        <v>-1.22181010246276</v>
      </c>
      <c r="C297" s="11">
        <v>2.0</v>
      </c>
      <c r="D297" s="11" t="s">
        <v>1061</v>
      </c>
      <c r="E297" s="11">
        <v>2.0</v>
      </c>
      <c r="F297" s="11" t="s">
        <v>1335</v>
      </c>
      <c r="I297" s="11">
        <v>-48.9895973205566</v>
      </c>
      <c r="J297" s="11">
        <v>18.1902389526367</v>
      </c>
      <c r="K297" s="11">
        <v>0.0</v>
      </c>
      <c r="L297" s="11" t="s">
        <v>1879</v>
      </c>
      <c r="M297" s="11">
        <v>0.0</v>
      </c>
      <c r="N297" s="11" t="s">
        <v>2005</v>
      </c>
    </row>
    <row r="298">
      <c r="A298" s="11">
        <v>-61.1001739501953</v>
      </c>
      <c r="B298" s="11">
        <v>37.5523147583007</v>
      </c>
      <c r="C298" s="11">
        <v>0.0</v>
      </c>
      <c r="D298" s="11" t="s">
        <v>1061</v>
      </c>
      <c r="E298" s="11">
        <v>0.0</v>
      </c>
      <c r="F298" s="11" t="s">
        <v>1336</v>
      </c>
      <c r="I298" s="11">
        <v>-61.7639083862304</v>
      </c>
      <c r="J298" s="11">
        <v>-1.32175886631011</v>
      </c>
      <c r="K298" s="11">
        <v>0.0</v>
      </c>
      <c r="L298" s="11" t="s">
        <v>1879</v>
      </c>
      <c r="M298" s="11">
        <v>0.0</v>
      </c>
      <c r="N298" s="11" t="s">
        <v>2007</v>
      </c>
    </row>
    <row r="299">
      <c r="A299" s="11">
        <v>-1.96244716644287</v>
      </c>
      <c r="B299" s="11">
        <v>30.4602375030517</v>
      </c>
      <c r="C299" s="11">
        <v>0.0</v>
      </c>
      <c r="D299" s="11" t="s">
        <v>1061</v>
      </c>
      <c r="E299" s="11">
        <v>0.0</v>
      </c>
      <c r="F299" s="11" t="s">
        <v>1337</v>
      </c>
      <c r="I299" s="11">
        <v>-39.8265838623046</v>
      </c>
      <c r="J299" s="11">
        <v>-39.4682731628418</v>
      </c>
      <c r="K299" s="11">
        <v>0.0</v>
      </c>
      <c r="L299" s="11" t="s">
        <v>1879</v>
      </c>
      <c r="M299" s="11">
        <v>0.0</v>
      </c>
      <c r="N299" s="11" t="s">
        <v>2009</v>
      </c>
    </row>
    <row r="300">
      <c r="A300" s="11">
        <v>-16.2498207092285</v>
      </c>
      <c r="B300" s="11">
        <v>9.51775646209716</v>
      </c>
      <c r="C300" s="11">
        <v>0.0</v>
      </c>
      <c r="D300" s="11" t="s">
        <v>1061</v>
      </c>
      <c r="E300" s="11">
        <v>0.0</v>
      </c>
      <c r="F300" s="11" t="s">
        <v>1338</v>
      </c>
      <c r="I300" s="11">
        <v>-40.502872467041</v>
      </c>
      <c r="J300" s="11">
        <v>-4.67632818222045</v>
      </c>
      <c r="K300" s="11">
        <v>0.0</v>
      </c>
      <c r="L300" s="11" t="s">
        <v>1879</v>
      </c>
      <c r="M300" s="11">
        <v>0.0</v>
      </c>
      <c r="N300" s="11" t="s">
        <v>2011</v>
      </c>
    </row>
    <row r="301">
      <c r="A301" s="11">
        <v>-31.2966632843017</v>
      </c>
      <c r="B301" s="11">
        <v>10.8322296142578</v>
      </c>
      <c r="C301" s="11">
        <v>0.0</v>
      </c>
      <c r="D301" s="11" t="s">
        <v>1061</v>
      </c>
      <c r="E301" s="11">
        <v>0.0</v>
      </c>
      <c r="F301" s="11" t="s">
        <v>1339</v>
      </c>
      <c r="I301" s="11">
        <v>-63.8325767517089</v>
      </c>
      <c r="J301" s="11">
        <v>-0.275344163179397</v>
      </c>
      <c r="K301" s="11">
        <v>0.0</v>
      </c>
      <c r="L301" s="11" t="s">
        <v>1879</v>
      </c>
      <c r="M301" s="11">
        <v>0.0</v>
      </c>
      <c r="N301" s="11" t="s">
        <v>2012</v>
      </c>
    </row>
    <row r="302">
      <c r="A302" s="11">
        <v>8.22823429107666</v>
      </c>
      <c r="B302" s="11">
        <v>6.20970010757446</v>
      </c>
      <c r="C302" s="11">
        <v>0.0</v>
      </c>
      <c r="D302" s="11" t="s">
        <v>1061</v>
      </c>
      <c r="E302" s="11">
        <v>0.0</v>
      </c>
      <c r="F302" s="11" t="s">
        <v>1340</v>
      </c>
      <c r="I302" s="11">
        <v>-11.616304397583</v>
      </c>
      <c r="J302" s="11">
        <v>61.0476875305175</v>
      </c>
      <c r="K302" s="11">
        <v>-2.0</v>
      </c>
      <c r="L302" s="11" t="s">
        <v>1879</v>
      </c>
      <c r="M302" s="11">
        <v>-2.0</v>
      </c>
      <c r="N302" s="11" t="s">
        <v>2014</v>
      </c>
    </row>
    <row r="303">
      <c r="A303" s="11">
        <v>37.8187828063964</v>
      </c>
      <c r="B303" s="11">
        <v>-24.2411766052246</v>
      </c>
      <c r="C303" s="11">
        <v>0.0</v>
      </c>
      <c r="D303" s="11" t="s">
        <v>1061</v>
      </c>
      <c r="E303" s="11">
        <v>0.0</v>
      </c>
      <c r="F303" s="11" t="s">
        <v>1341</v>
      </c>
      <c r="I303" s="11">
        <v>-42.603515625</v>
      </c>
      <c r="J303" s="11">
        <v>-25.3769397735595</v>
      </c>
      <c r="K303" s="11">
        <v>0.0</v>
      </c>
      <c r="L303" s="11" t="s">
        <v>1879</v>
      </c>
      <c r="M303" s="11">
        <v>0.0</v>
      </c>
      <c r="N303" s="11" t="s">
        <v>2016</v>
      </c>
    </row>
    <row r="304">
      <c r="A304" s="11">
        <v>87.905029296875</v>
      </c>
      <c r="B304" s="11">
        <v>12.2423839569091</v>
      </c>
      <c r="C304" s="11">
        <v>2.0</v>
      </c>
      <c r="D304" s="11" t="s">
        <v>1061</v>
      </c>
      <c r="E304" s="11">
        <v>2.0</v>
      </c>
      <c r="F304" s="11" t="s">
        <v>1342</v>
      </c>
      <c r="I304" s="11">
        <v>-56.0095596313476</v>
      </c>
      <c r="J304" s="11">
        <v>-17.7831420898437</v>
      </c>
      <c r="K304" s="11">
        <v>1.0</v>
      </c>
      <c r="L304" s="11" t="s">
        <v>1879</v>
      </c>
      <c r="M304" s="11">
        <v>1.0</v>
      </c>
      <c r="N304" s="11" t="s">
        <v>2018</v>
      </c>
    </row>
    <row r="305">
      <c r="A305" s="11">
        <v>-41.7154998779296</v>
      </c>
      <c r="B305" s="11">
        <v>16.9834899902343</v>
      </c>
      <c r="C305" s="11">
        <v>0.0</v>
      </c>
      <c r="D305" s="11" t="s">
        <v>1061</v>
      </c>
      <c r="E305" s="11">
        <v>0.0</v>
      </c>
      <c r="F305" s="11" t="s">
        <v>1343</v>
      </c>
      <c r="I305" s="11">
        <v>-36.4748916625976</v>
      </c>
      <c r="J305" s="11">
        <v>2.54789066314697</v>
      </c>
      <c r="K305" s="11">
        <v>0.0</v>
      </c>
      <c r="L305" s="11" t="s">
        <v>1879</v>
      </c>
      <c r="M305" s="11">
        <v>0.0</v>
      </c>
      <c r="N305" s="11" t="s">
        <v>2020</v>
      </c>
    </row>
    <row r="306">
      <c r="A306" s="11">
        <v>-12.6320276260375</v>
      </c>
      <c r="B306" s="11">
        <v>2.27491283416748</v>
      </c>
      <c r="C306" s="11">
        <v>0.0</v>
      </c>
      <c r="D306" s="11" t="s">
        <v>1061</v>
      </c>
      <c r="E306" s="11">
        <v>0.0</v>
      </c>
      <c r="F306" s="11" t="s">
        <v>1344</v>
      </c>
      <c r="I306" s="11">
        <v>-25.3075332641601</v>
      </c>
      <c r="J306" s="11">
        <v>5.53935003280639</v>
      </c>
      <c r="K306" s="11">
        <v>0.0</v>
      </c>
      <c r="L306" s="11" t="s">
        <v>1879</v>
      </c>
      <c r="M306" s="11">
        <v>0.0</v>
      </c>
      <c r="N306" s="11" t="s">
        <v>2022</v>
      </c>
    </row>
    <row r="307">
      <c r="A307" s="11">
        <v>92.0983963012695</v>
      </c>
      <c r="B307" s="11">
        <v>14.8185510635375</v>
      </c>
      <c r="C307" s="11">
        <v>2.0</v>
      </c>
      <c r="D307" s="11" t="s">
        <v>1061</v>
      </c>
      <c r="E307" s="11">
        <v>2.0</v>
      </c>
      <c r="F307" s="11" t="s">
        <v>1345</v>
      </c>
      <c r="I307" s="11">
        <v>-29.0348606109619</v>
      </c>
      <c r="J307" s="11">
        <v>-9.11068153381347</v>
      </c>
      <c r="K307" s="11">
        <v>0.0</v>
      </c>
      <c r="L307" s="11" t="s">
        <v>1879</v>
      </c>
      <c r="M307" s="11">
        <v>0.0</v>
      </c>
      <c r="N307" s="11" t="s">
        <v>2024</v>
      </c>
    </row>
    <row r="308">
      <c r="A308" s="11">
        <v>-38.4677772521972</v>
      </c>
      <c r="B308" s="11">
        <v>1.11914026737213</v>
      </c>
      <c r="C308" s="11">
        <v>0.0</v>
      </c>
      <c r="D308" s="11" t="s">
        <v>1061</v>
      </c>
      <c r="E308" s="11">
        <v>0.0</v>
      </c>
      <c r="F308" s="11" t="s">
        <v>1346</v>
      </c>
      <c r="I308" s="11">
        <v>-75.6088485717773</v>
      </c>
      <c r="J308" s="11">
        <v>7.59828615188598</v>
      </c>
      <c r="K308" s="11">
        <v>1.0</v>
      </c>
      <c r="L308" s="11" t="s">
        <v>1879</v>
      </c>
      <c r="M308" s="11">
        <v>1.0</v>
      </c>
      <c r="N308" s="11" t="s">
        <v>2026</v>
      </c>
    </row>
    <row r="309">
      <c r="A309" s="11">
        <v>51.0900154113769</v>
      </c>
      <c r="B309" s="11">
        <v>-12.7766094207763</v>
      </c>
      <c r="C309" s="11">
        <v>0.0</v>
      </c>
      <c r="D309" s="11" t="s">
        <v>1061</v>
      </c>
      <c r="E309" s="11">
        <v>0.0</v>
      </c>
      <c r="F309" s="11" t="s">
        <v>2028</v>
      </c>
      <c r="I309" s="11">
        <v>-22.9777946472167</v>
      </c>
      <c r="J309" s="11">
        <v>-16.8471717834472</v>
      </c>
      <c r="K309" s="11">
        <v>0.0</v>
      </c>
      <c r="L309" s="11" t="s">
        <v>1879</v>
      </c>
      <c r="M309" s="11">
        <v>0.0</v>
      </c>
      <c r="N309" s="11" t="s">
        <v>2030</v>
      </c>
    </row>
    <row r="310">
      <c r="A310" s="11">
        <v>1.09603583812713</v>
      </c>
      <c r="B310" s="11">
        <v>-0.469645410776138</v>
      </c>
      <c r="C310" s="11">
        <v>0.0</v>
      </c>
      <c r="D310" s="11" t="s">
        <v>1061</v>
      </c>
      <c r="E310" s="11">
        <v>0.0</v>
      </c>
      <c r="F310" s="11" t="s">
        <v>1347</v>
      </c>
      <c r="I310" s="11">
        <v>-52.0002632141113</v>
      </c>
      <c r="J310" s="11">
        <v>-43.8111152648925</v>
      </c>
      <c r="K310" s="11">
        <v>0.0</v>
      </c>
      <c r="L310" s="11" t="s">
        <v>1879</v>
      </c>
      <c r="M310" s="11">
        <v>0.0</v>
      </c>
      <c r="N310" s="11" t="s">
        <v>2031</v>
      </c>
    </row>
    <row r="311">
      <c r="A311" s="11">
        <v>-5.73727941513061</v>
      </c>
      <c r="B311" s="11">
        <v>14.7564096450805</v>
      </c>
      <c r="C311" s="11">
        <v>0.0</v>
      </c>
      <c r="D311" s="11" t="s">
        <v>1061</v>
      </c>
      <c r="E311" s="11">
        <v>0.0</v>
      </c>
      <c r="F311" s="11" t="s">
        <v>1348</v>
      </c>
      <c r="I311" s="11">
        <v>-33.1091384887695</v>
      </c>
      <c r="J311" s="11">
        <v>27.0340995788574</v>
      </c>
      <c r="K311" s="11">
        <v>0.0</v>
      </c>
      <c r="L311" s="11" t="s">
        <v>1879</v>
      </c>
      <c r="M311" s="11">
        <v>0.0</v>
      </c>
      <c r="N311" s="11" t="s">
        <v>2034</v>
      </c>
    </row>
    <row r="312">
      <c r="A312" s="11">
        <v>27.3096103668212</v>
      </c>
      <c r="B312" s="11">
        <v>-32.3770446777343</v>
      </c>
      <c r="C312" s="11">
        <v>0.0</v>
      </c>
      <c r="D312" s="11" t="s">
        <v>1061</v>
      </c>
      <c r="E312" s="11">
        <v>0.0</v>
      </c>
      <c r="F312" s="11" t="s">
        <v>1349</v>
      </c>
      <c r="I312" s="11">
        <v>-37.0146255493164</v>
      </c>
      <c r="J312" s="11">
        <v>0.132511422038078</v>
      </c>
      <c r="K312" s="11">
        <v>0.0</v>
      </c>
      <c r="L312" s="11" t="s">
        <v>1879</v>
      </c>
      <c r="M312" s="11">
        <v>0.0</v>
      </c>
      <c r="N312" s="11" t="s">
        <v>2035</v>
      </c>
    </row>
    <row r="313">
      <c r="A313" s="11">
        <v>-25.5441131591796</v>
      </c>
      <c r="B313" s="11">
        <v>19.2863788604736</v>
      </c>
      <c r="C313" s="11">
        <v>0.0</v>
      </c>
      <c r="D313" s="11" t="s">
        <v>1061</v>
      </c>
      <c r="E313" s="11">
        <v>0.0</v>
      </c>
      <c r="F313" s="11" t="s">
        <v>1350</v>
      </c>
      <c r="I313" s="11">
        <v>-42.603515625</v>
      </c>
      <c r="J313" s="11">
        <v>-25.3769397735595</v>
      </c>
      <c r="K313" s="11">
        <v>0.0</v>
      </c>
      <c r="L313" s="11" t="s">
        <v>1879</v>
      </c>
      <c r="M313" s="11">
        <v>0.0</v>
      </c>
      <c r="N313" s="11" t="s">
        <v>2037</v>
      </c>
    </row>
    <row r="314">
      <c r="A314" s="11">
        <v>26.5946311950683</v>
      </c>
      <c r="B314" s="11">
        <v>51.1766967773437</v>
      </c>
      <c r="C314" s="11">
        <v>0.0</v>
      </c>
      <c r="D314" s="11" t="s">
        <v>1061</v>
      </c>
      <c r="E314" s="11">
        <v>0.0</v>
      </c>
      <c r="F314" s="11" t="s">
        <v>1351</v>
      </c>
      <c r="I314" s="11">
        <v>-5.0427861213684</v>
      </c>
      <c r="J314" s="11">
        <v>58.5155868530273</v>
      </c>
      <c r="K314" s="11">
        <v>0.0</v>
      </c>
      <c r="L314" s="11" t="s">
        <v>1879</v>
      </c>
      <c r="M314" s="11">
        <v>0.0</v>
      </c>
      <c r="N314" s="11" t="s">
        <v>2039</v>
      </c>
    </row>
    <row r="315">
      <c r="A315" s="11">
        <v>-16.404951095581</v>
      </c>
      <c r="B315" s="11">
        <v>4.76517820358276</v>
      </c>
      <c r="C315" s="11">
        <v>0.0</v>
      </c>
      <c r="D315" s="11" t="s">
        <v>1061</v>
      </c>
      <c r="E315" s="11">
        <v>0.0</v>
      </c>
      <c r="F315" s="11" t="s">
        <v>1352</v>
      </c>
      <c r="I315" s="11">
        <v>-54.7591476440429</v>
      </c>
      <c r="J315" s="11">
        <v>-5.60335445404052</v>
      </c>
      <c r="K315" s="11">
        <v>0.0</v>
      </c>
      <c r="L315" s="11" t="s">
        <v>1879</v>
      </c>
      <c r="M315" s="11">
        <v>0.0</v>
      </c>
      <c r="N315" s="11" t="s">
        <v>2040</v>
      </c>
    </row>
    <row r="316">
      <c r="A316" s="11">
        <v>42.9094161987304</v>
      </c>
      <c r="B316" s="11">
        <v>3.54302239418029</v>
      </c>
      <c r="C316" s="11">
        <v>-2.0</v>
      </c>
      <c r="D316" s="11" t="s">
        <v>1061</v>
      </c>
      <c r="E316" s="11">
        <v>-2.0</v>
      </c>
      <c r="F316" s="11" t="s">
        <v>1353</v>
      </c>
      <c r="I316" s="11">
        <v>-33.8319244384765</v>
      </c>
      <c r="J316" s="11">
        <v>-27.7076950073242</v>
      </c>
      <c r="K316" s="11">
        <v>0.0</v>
      </c>
      <c r="L316" s="11" t="s">
        <v>1879</v>
      </c>
      <c r="M316" s="11">
        <v>0.0</v>
      </c>
      <c r="N316" s="11" t="s">
        <v>2042</v>
      </c>
    </row>
    <row r="317">
      <c r="A317" s="11">
        <v>78.9607238769531</v>
      </c>
      <c r="B317" s="11">
        <v>19.79221534729</v>
      </c>
      <c r="C317" s="11">
        <v>2.0</v>
      </c>
      <c r="D317" s="11" t="s">
        <v>1061</v>
      </c>
      <c r="E317" s="11">
        <v>2.0</v>
      </c>
      <c r="F317" s="11" t="s">
        <v>1354</v>
      </c>
      <c r="I317" s="11">
        <v>-64.2258377075195</v>
      </c>
      <c r="J317" s="11">
        <v>2.07221412658691</v>
      </c>
      <c r="K317" s="11">
        <v>0.0</v>
      </c>
      <c r="L317" s="11" t="s">
        <v>1879</v>
      </c>
      <c r="M317" s="11">
        <v>0.0</v>
      </c>
      <c r="N317" s="11" t="s">
        <v>2044</v>
      </c>
    </row>
    <row r="318">
      <c r="A318" s="11">
        <v>-66.2051925659179</v>
      </c>
      <c r="B318" s="11">
        <v>25.5567111968994</v>
      </c>
      <c r="C318" s="11">
        <v>0.0</v>
      </c>
      <c r="D318" s="11" t="s">
        <v>1061</v>
      </c>
      <c r="E318" s="11">
        <v>0.0</v>
      </c>
      <c r="F318" s="11" t="s">
        <v>1355</v>
      </c>
      <c r="I318" s="11">
        <v>-12.3019571304321</v>
      </c>
      <c r="J318" s="11">
        <v>63.3938407897949</v>
      </c>
      <c r="K318" s="11">
        <v>-2.0</v>
      </c>
      <c r="L318" s="11" t="s">
        <v>1879</v>
      </c>
      <c r="M318" s="11">
        <v>-2.0</v>
      </c>
      <c r="N318" s="11" t="s">
        <v>2046</v>
      </c>
    </row>
    <row r="319">
      <c r="A319" s="11">
        <v>-18.4892292022705</v>
      </c>
      <c r="B319" s="11">
        <v>46.7391204833984</v>
      </c>
      <c r="C319" s="11">
        <v>0.0</v>
      </c>
      <c r="D319" s="11" t="s">
        <v>1061</v>
      </c>
      <c r="E319" s="11">
        <v>0.0</v>
      </c>
      <c r="F319" s="11" t="s">
        <v>1356</v>
      </c>
      <c r="I319" s="11">
        <v>-50.3959274291992</v>
      </c>
      <c r="J319" s="11">
        <v>20.2815132141113</v>
      </c>
      <c r="K319" s="11">
        <v>0.0</v>
      </c>
      <c r="L319" s="11" t="s">
        <v>1879</v>
      </c>
      <c r="M319" s="11">
        <v>0.0</v>
      </c>
      <c r="N319" s="11" t="s">
        <v>2047</v>
      </c>
    </row>
    <row r="320">
      <c r="A320" s="11">
        <v>-11.003225326538</v>
      </c>
      <c r="B320" s="11">
        <v>17.0955219268798</v>
      </c>
      <c r="C320" s="11">
        <v>0.0</v>
      </c>
      <c r="D320" s="11" t="s">
        <v>1061</v>
      </c>
      <c r="E320" s="11">
        <v>0.0</v>
      </c>
      <c r="F320" s="11" t="s">
        <v>1357</v>
      </c>
      <c r="I320" s="11">
        <v>-45.5638580322265</v>
      </c>
      <c r="J320" s="11">
        <v>4.57877302169799</v>
      </c>
      <c r="K320" s="11">
        <v>1.0</v>
      </c>
      <c r="L320" s="11" t="s">
        <v>1879</v>
      </c>
      <c r="M320" s="11">
        <v>1.0</v>
      </c>
      <c r="N320" s="11" t="s">
        <v>2049</v>
      </c>
    </row>
    <row r="321">
      <c r="A321" s="11">
        <v>-41.4968490600585</v>
      </c>
      <c r="B321" s="11">
        <v>15.431487083435</v>
      </c>
      <c r="C321" s="11">
        <v>0.0</v>
      </c>
      <c r="D321" s="11" t="s">
        <v>1061</v>
      </c>
      <c r="E321" s="11">
        <v>0.0</v>
      </c>
      <c r="F321" s="11" t="s">
        <v>1358</v>
      </c>
      <c r="I321" s="11">
        <v>-44.5489349365234</v>
      </c>
      <c r="J321" s="11">
        <v>36.6583938598632</v>
      </c>
      <c r="K321" s="11">
        <v>0.0</v>
      </c>
      <c r="L321" s="11" t="s">
        <v>1879</v>
      </c>
      <c r="M321" s="11">
        <v>0.0</v>
      </c>
      <c r="N321" s="11" t="s">
        <v>2051</v>
      </c>
    </row>
    <row r="322">
      <c r="A322" s="11">
        <v>-8.05888843536377</v>
      </c>
      <c r="B322" s="11">
        <v>9.8629035949707</v>
      </c>
      <c r="C322" s="11">
        <v>0.0</v>
      </c>
      <c r="D322" s="11" t="s">
        <v>1061</v>
      </c>
      <c r="E322" s="11">
        <v>0.0</v>
      </c>
      <c r="F322" s="11" t="s">
        <v>1359</v>
      </c>
      <c r="I322" s="11">
        <v>-21.4743785858154</v>
      </c>
      <c r="J322" s="11">
        <v>-5.76020050048828</v>
      </c>
      <c r="K322" s="11">
        <v>0.0</v>
      </c>
      <c r="L322" s="11" t="s">
        <v>1879</v>
      </c>
      <c r="M322" s="11">
        <v>0.0</v>
      </c>
      <c r="N322" s="11" t="s">
        <v>2053</v>
      </c>
    </row>
    <row r="323">
      <c r="A323" s="11">
        <v>30.6191940307617</v>
      </c>
      <c r="B323" s="11">
        <v>-9.53599262237548</v>
      </c>
      <c r="C323" s="11">
        <v>0.0</v>
      </c>
      <c r="D323" s="11" t="s">
        <v>1061</v>
      </c>
      <c r="E323" s="11">
        <v>0.0</v>
      </c>
      <c r="F323" s="11" t="s">
        <v>1360</v>
      </c>
      <c r="I323" s="11">
        <v>-56.9266090393066</v>
      </c>
      <c r="J323" s="11">
        <v>-4.87626123428344</v>
      </c>
      <c r="K323" s="11">
        <v>0.0</v>
      </c>
      <c r="L323" s="11" t="s">
        <v>1879</v>
      </c>
      <c r="M323" s="11">
        <v>0.0</v>
      </c>
      <c r="N323" s="11" t="s">
        <v>2054</v>
      </c>
    </row>
    <row r="324">
      <c r="A324" s="11">
        <v>22.9939308166503</v>
      </c>
      <c r="B324" s="11">
        <v>-41.2293052673339</v>
      </c>
      <c r="C324" s="11">
        <v>0.0</v>
      </c>
      <c r="D324" s="11" t="s">
        <v>1061</v>
      </c>
      <c r="E324" s="11">
        <v>0.0</v>
      </c>
      <c r="F324" s="11" t="s">
        <v>1361</v>
      </c>
      <c r="I324" s="11">
        <v>-42.603515625</v>
      </c>
      <c r="J324" s="11">
        <v>-25.3769397735595</v>
      </c>
      <c r="K324" s="11">
        <v>0.0</v>
      </c>
      <c r="L324" s="11" t="s">
        <v>1879</v>
      </c>
      <c r="M324" s="11">
        <v>0.0</v>
      </c>
      <c r="N324" s="11" t="s">
        <v>2056</v>
      </c>
    </row>
    <row r="325">
      <c r="A325" s="11">
        <v>-17.3591804504394</v>
      </c>
      <c r="B325" s="11">
        <v>38.3477935791015</v>
      </c>
      <c r="C325" s="11">
        <v>0.0</v>
      </c>
      <c r="D325" s="11" t="s">
        <v>1061</v>
      </c>
      <c r="E325" s="11">
        <v>0.0</v>
      </c>
      <c r="F325" s="11" t="s">
        <v>1362</v>
      </c>
      <c r="I325" s="11">
        <v>-66.9782104492187</v>
      </c>
      <c r="J325" s="11">
        <v>-18.3113193511962</v>
      </c>
      <c r="K325" s="11">
        <v>1.0</v>
      </c>
      <c r="L325" s="11" t="s">
        <v>1879</v>
      </c>
      <c r="M325" s="11">
        <v>1.0</v>
      </c>
      <c r="N325" s="11" t="s">
        <v>2058</v>
      </c>
    </row>
    <row r="326">
      <c r="A326" s="11">
        <v>7.73578453063964</v>
      </c>
      <c r="B326" s="11">
        <v>-6.31116294860839</v>
      </c>
      <c r="C326" s="11">
        <v>1.0</v>
      </c>
      <c r="D326" s="11" t="s">
        <v>1061</v>
      </c>
      <c r="E326" s="11">
        <v>1.0</v>
      </c>
      <c r="F326" s="11" t="s">
        <v>1363</v>
      </c>
      <c r="I326" s="11">
        <v>-69.4888076782226</v>
      </c>
      <c r="J326" s="11">
        <v>-7.47450876235961</v>
      </c>
      <c r="K326" s="11">
        <v>0.0</v>
      </c>
      <c r="L326" s="11" t="s">
        <v>1879</v>
      </c>
      <c r="M326" s="11">
        <v>0.0</v>
      </c>
      <c r="N326" s="11" t="s">
        <v>2061</v>
      </c>
    </row>
    <row r="327">
      <c r="A327" s="11">
        <v>-17.3591804504394</v>
      </c>
      <c r="B327" s="11">
        <v>38.3477935791015</v>
      </c>
      <c r="C327" s="11">
        <v>0.0</v>
      </c>
      <c r="D327" s="11" t="s">
        <v>1061</v>
      </c>
      <c r="E327" s="11">
        <v>0.0</v>
      </c>
      <c r="F327" s="11" t="s">
        <v>1364</v>
      </c>
      <c r="I327" s="11">
        <v>-40.2024269104003</v>
      </c>
      <c r="J327" s="11">
        <v>-38.1893157958984</v>
      </c>
      <c r="K327" s="11">
        <v>0.0</v>
      </c>
      <c r="L327" s="11" t="s">
        <v>1879</v>
      </c>
      <c r="M327" s="11">
        <v>0.0</v>
      </c>
      <c r="N327" s="11" t="s">
        <v>2063</v>
      </c>
    </row>
    <row r="328">
      <c r="A328" s="11">
        <v>-8.59584236145019</v>
      </c>
      <c r="B328" s="11">
        <v>12.0758552551269</v>
      </c>
      <c r="C328" s="11">
        <v>0.0</v>
      </c>
      <c r="D328" s="11" t="s">
        <v>1061</v>
      </c>
      <c r="E328" s="11">
        <v>0.0</v>
      </c>
      <c r="F328" s="11" t="s">
        <v>1365</v>
      </c>
      <c r="I328" s="11">
        <v>-54.4929885864257</v>
      </c>
      <c r="J328" s="11">
        <v>-43.985065460205</v>
      </c>
      <c r="K328" s="11">
        <v>0.0</v>
      </c>
      <c r="L328" s="11" t="s">
        <v>1879</v>
      </c>
      <c r="M328" s="11">
        <v>0.0</v>
      </c>
      <c r="N328" s="11" t="s">
        <v>2065</v>
      </c>
    </row>
    <row r="329">
      <c r="A329" s="11">
        <v>-19.0428314208984</v>
      </c>
      <c r="B329" s="11">
        <v>60.1443481445312</v>
      </c>
      <c r="C329" s="11">
        <v>0.0</v>
      </c>
      <c r="D329" s="11" t="s">
        <v>1061</v>
      </c>
      <c r="E329" s="11">
        <v>0.0</v>
      </c>
      <c r="F329" s="11" t="s">
        <v>1366</v>
      </c>
      <c r="I329" s="11">
        <v>-69.200325012207</v>
      </c>
      <c r="J329" s="11">
        <v>-16.7489204406738</v>
      </c>
      <c r="K329" s="11">
        <v>1.0</v>
      </c>
      <c r="L329" s="11" t="s">
        <v>1879</v>
      </c>
      <c r="M329" s="11">
        <v>1.0</v>
      </c>
      <c r="N329" s="11" t="s">
        <v>2067</v>
      </c>
    </row>
    <row r="330">
      <c r="A330" s="11">
        <v>92.8118438720703</v>
      </c>
      <c r="B330" s="11">
        <v>11.2374658584594</v>
      </c>
      <c r="C330" s="11">
        <v>0.0</v>
      </c>
      <c r="D330" s="11" t="s">
        <v>1061</v>
      </c>
      <c r="E330" s="11">
        <v>0.0</v>
      </c>
      <c r="F330" s="11" t="s">
        <v>1367</v>
      </c>
      <c r="I330" s="11">
        <v>-30.9236068725585</v>
      </c>
      <c r="J330" s="11">
        <v>10.7494106292724</v>
      </c>
      <c r="K330" s="11">
        <v>0.0</v>
      </c>
      <c r="L330" s="11" t="s">
        <v>1879</v>
      </c>
      <c r="M330" s="11">
        <v>0.0</v>
      </c>
      <c r="N330" s="11" t="s">
        <v>2068</v>
      </c>
    </row>
    <row r="331">
      <c r="A331" s="11">
        <v>-2.351655960083</v>
      </c>
      <c r="B331" s="11">
        <v>11.2657461166381</v>
      </c>
      <c r="C331" s="11">
        <v>0.0</v>
      </c>
      <c r="D331" s="11" t="s">
        <v>1061</v>
      </c>
      <c r="E331" s="11">
        <v>0.0</v>
      </c>
      <c r="F331" s="11" t="s">
        <v>1368</v>
      </c>
      <c r="I331" s="11">
        <v>-40.619457244873</v>
      </c>
      <c r="J331" s="11">
        <v>-0.82312399148941</v>
      </c>
      <c r="K331" s="11">
        <v>0.0</v>
      </c>
      <c r="L331" s="11" t="s">
        <v>1879</v>
      </c>
      <c r="M331" s="11">
        <v>0.0</v>
      </c>
      <c r="N331" s="11" t="s">
        <v>2070</v>
      </c>
    </row>
    <row r="332">
      <c r="A332" s="11">
        <v>7.0357060432434</v>
      </c>
      <c r="B332" s="11">
        <v>4.5176248550415</v>
      </c>
      <c r="C332" s="11">
        <v>0.0</v>
      </c>
      <c r="D332" s="11" t="s">
        <v>1061</v>
      </c>
      <c r="E332" s="11">
        <v>0.0</v>
      </c>
      <c r="F332" s="11" t="s">
        <v>1369</v>
      </c>
      <c r="I332" s="11">
        <v>-31.2088871002197</v>
      </c>
      <c r="J332" s="11">
        <v>5.72113943099975</v>
      </c>
      <c r="K332" s="11">
        <v>0.0</v>
      </c>
      <c r="L332" s="11" t="s">
        <v>1879</v>
      </c>
      <c r="M332" s="11">
        <v>0.0</v>
      </c>
      <c r="N332" s="11" t="s">
        <v>2072</v>
      </c>
    </row>
    <row r="333">
      <c r="A333" s="11">
        <v>-5.56608390808105</v>
      </c>
      <c r="B333" s="11">
        <v>57.3565521240234</v>
      </c>
      <c r="C333" s="11">
        <v>1.0</v>
      </c>
      <c r="D333" s="11" t="s">
        <v>1061</v>
      </c>
      <c r="E333" s="11">
        <v>1.0</v>
      </c>
      <c r="F333" s="11" t="s">
        <v>1370</v>
      </c>
      <c r="I333" s="11">
        <v>-40.9749717712402</v>
      </c>
      <c r="J333" s="11">
        <v>12.4527778625488</v>
      </c>
      <c r="K333" s="11">
        <v>0.0</v>
      </c>
      <c r="L333" s="11" t="s">
        <v>1879</v>
      </c>
      <c r="M333" s="11">
        <v>0.0</v>
      </c>
      <c r="N333" s="11" t="s">
        <v>2074</v>
      </c>
    </row>
    <row r="334">
      <c r="A334" s="11">
        <v>59.5701904296875</v>
      </c>
      <c r="B334" s="11">
        <v>-9.45171356201171</v>
      </c>
      <c r="C334" s="11">
        <v>0.0</v>
      </c>
      <c r="D334" s="11" t="s">
        <v>1061</v>
      </c>
      <c r="E334" s="11">
        <v>0.0</v>
      </c>
      <c r="F334" s="11" t="s">
        <v>1371</v>
      </c>
      <c r="I334" s="11">
        <v>-27.1033687591552</v>
      </c>
      <c r="J334" s="11">
        <v>6.86136388778686</v>
      </c>
      <c r="K334" s="11">
        <v>0.0</v>
      </c>
      <c r="L334" s="11" t="s">
        <v>1879</v>
      </c>
      <c r="M334" s="11">
        <v>0.0</v>
      </c>
      <c r="N334" s="11" t="s">
        <v>2075</v>
      </c>
    </row>
    <row r="335">
      <c r="A335" s="11">
        <v>29.1209468841552</v>
      </c>
      <c r="B335" s="11">
        <v>-14.9813032150268</v>
      </c>
      <c r="C335" s="11">
        <v>0.0</v>
      </c>
      <c r="D335" s="11" t="s">
        <v>1061</v>
      </c>
      <c r="E335" s="11">
        <v>0.0</v>
      </c>
      <c r="F335" s="11" t="s">
        <v>1372</v>
      </c>
      <c r="I335" s="11">
        <v>-37.0774154663085</v>
      </c>
      <c r="J335" s="11">
        <v>8.28056049346923</v>
      </c>
      <c r="K335" s="11">
        <v>0.0</v>
      </c>
      <c r="L335" s="11" t="s">
        <v>1879</v>
      </c>
      <c r="M335" s="11">
        <v>0.0</v>
      </c>
      <c r="N335" s="11" t="s">
        <v>2077</v>
      </c>
    </row>
    <row r="336">
      <c r="A336" s="11">
        <v>22.7579765319824</v>
      </c>
      <c r="B336" s="11">
        <v>42.3645553588867</v>
      </c>
      <c r="C336" s="11">
        <v>2.0</v>
      </c>
      <c r="D336" s="11" t="s">
        <v>1061</v>
      </c>
      <c r="E336" s="11">
        <v>2.0</v>
      </c>
      <c r="F336" s="11" t="s">
        <v>2079</v>
      </c>
      <c r="I336" s="11">
        <v>-54.3731422424316</v>
      </c>
      <c r="J336" s="11">
        <v>-7.87186527252197</v>
      </c>
      <c r="K336" s="11">
        <v>0.0</v>
      </c>
      <c r="L336" s="11" t="s">
        <v>1879</v>
      </c>
      <c r="M336" s="11">
        <v>0.0</v>
      </c>
      <c r="N336" s="11" t="s">
        <v>2080</v>
      </c>
    </row>
    <row r="337">
      <c r="A337" s="11">
        <v>-5.00897693634033</v>
      </c>
      <c r="B337" s="11">
        <v>3.08049607276916</v>
      </c>
      <c r="C337" s="11">
        <v>0.0</v>
      </c>
      <c r="D337" s="11" t="s">
        <v>1061</v>
      </c>
      <c r="E337" s="11">
        <v>0.0</v>
      </c>
      <c r="F337" s="11" t="s">
        <v>1373</v>
      </c>
      <c r="I337" s="11">
        <v>-71.9071044921875</v>
      </c>
      <c r="J337" s="11">
        <v>-3.43762969970703</v>
      </c>
      <c r="K337" s="11">
        <v>0.0</v>
      </c>
      <c r="L337" s="11" t="s">
        <v>1879</v>
      </c>
      <c r="M337" s="11">
        <v>0.0</v>
      </c>
      <c r="N337" s="11" t="s">
        <v>2082</v>
      </c>
    </row>
    <row r="338">
      <c r="A338" s="11">
        <v>52.4108238220214</v>
      </c>
      <c r="B338" s="11">
        <v>1.20359456539154</v>
      </c>
      <c r="C338" s="11">
        <v>-1.0</v>
      </c>
      <c r="D338" s="11" t="s">
        <v>1061</v>
      </c>
      <c r="E338" s="11">
        <v>-1.0</v>
      </c>
      <c r="F338" s="11" t="s">
        <v>1374</v>
      </c>
      <c r="I338" s="11">
        <v>-23.4476737976074</v>
      </c>
      <c r="J338" s="11">
        <v>-14.7171974182128</v>
      </c>
      <c r="K338" s="11">
        <v>0.0</v>
      </c>
      <c r="L338" s="11" t="s">
        <v>1879</v>
      </c>
      <c r="M338" s="11">
        <v>0.0</v>
      </c>
      <c r="N338" s="11" t="s">
        <v>2084</v>
      </c>
    </row>
    <row r="339">
      <c r="A339" s="11">
        <v>-48.7723121643066</v>
      </c>
      <c r="B339" s="11">
        <v>25.3387508392334</v>
      </c>
      <c r="C339" s="11">
        <v>0.0</v>
      </c>
      <c r="D339" s="11" t="s">
        <v>1061</v>
      </c>
      <c r="E339" s="11">
        <v>0.0</v>
      </c>
      <c r="F339" s="11" t="s">
        <v>1375</v>
      </c>
      <c r="I339" s="11">
        <v>-41.0549087524414</v>
      </c>
      <c r="J339" s="11">
        <v>-9.9022512435913</v>
      </c>
      <c r="K339" s="11">
        <v>0.0</v>
      </c>
      <c r="L339" s="11" t="s">
        <v>1879</v>
      </c>
      <c r="M339" s="11">
        <v>0.0</v>
      </c>
      <c r="N339" s="11" t="s">
        <v>2086</v>
      </c>
    </row>
    <row r="340">
      <c r="A340" s="11">
        <v>9.81053924560546</v>
      </c>
      <c r="B340" s="11">
        <v>23.980260848999</v>
      </c>
      <c r="C340" s="11">
        <v>0.0</v>
      </c>
      <c r="D340" s="11" t="s">
        <v>1061</v>
      </c>
      <c r="E340" s="11">
        <v>0.0</v>
      </c>
      <c r="F340" s="11" t="s">
        <v>1376</v>
      </c>
      <c r="I340" s="11">
        <v>-25.8770008087158</v>
      </c>
      <c r="J340" s="11">
        <v>-24.8844356536865</v>
      </c>
      <c r="K340" s="11">
        <v>0.0</v>
      </c>
      <c r="L340" s="11" t="s">
        <v>1879</v>
      </c>
      <c r="M340" s="11">
        <v>0.0</v>
      </c>
      <c r="N340" s="11" t="s">
        <v>2087</v>
      </c>
    </row>
    <row r="341">
      <c r="A341" s="11">
        <v>6.67332983016967</v>
      </c>
      <c r="B341" s="11">
        <v>16.7592105865478</v>
      </c>
      <c r="C341" s="11">
        <v>-2.0</v>
      </c>
      <c r="D341" s="11" t="s">
        <v>1061</v>
      </c>
      <c r="E341" s="11">
        <v>-2.0</v>
      </c>
      <c r="F341" s="11" t="s">
        <v>1377</v>
      </c>
      <c r="I341" s="11">
        <v>-31.7480430603027</v>
      </c>
      <c r="J341" s="11">
        <v>8.84441184997558</v>
      </c>
      <c r="K341" s="11">
        <v>0.0</v>
      </c>
      <c r="L341" s="11" t="s">
        <v>1879</v>
      </c>
      <c r="M341" s="11">
        <v>0.0</v>
      </c>
      <c r="N341" s="11" t="s">
        <v>2089</v>
      </c>
    </row>
    <row r="342">
      <c r="A342" s="11">
        <v>-32.3453292846679</v>
      </c>
      <c r="B342" s="11">
        <v>18.5165138244628</v>
      </c>
      <c r="C342" s="11">
        <v>0.0</v>
      </c>
      <c r="D342" s="11" t="s">
        <v>1061</v>
      </c>
      <c r="E342" s="11">
        <v>0.0</v>
      </c>
      <c r="F342" s="11" t="s">
        <v>1378</v>
      </c>
      <c r="I342" s="11">
        <v>-45.8189888000488</v>
      </c>
      <c r="J342" s="11">
        <v>-15.3708782196044</v>
      </c>
      <c r="K342" s="11">
        <v>0.0</v>
      </c>
      <c r="L342" s="11" t="s">
        <v>1879</v>
      </c>
      <c r="M342" s="11">
        <v>0.0</v>
      </c>
      <c r="N342" s="11" t="s">
        <v>2091</v>
      </c>
    </row>
    <row r="343">
      <c r="A343" s="11">
        <v>-12.4964351654052</v>
      </c>
      <c r="B343" s="11">
        <v>3.14686870574951</v>
      </c>
      <c r="C343" s="11">
        <v>0.0</v>
      </c>
      <c r="D343" s="11" t="s">
        <v>1061</v>
      </c>
      <c r="E343" s="11">
        <v>0.0</v>
      </c>
      <c r="F343" s="11" t="s">
        <v>1379</v>
      </c>
      <c r="I343" s="11">
        <v>-29.6139469146728</v>
      </c>
      <c r="J343" s="11">
        <v>9.0109281539917</v>
      </c>
      <c r="K343" s="11">
        <v>0.0</v>
      </c>
      <c r="L343" s="11" t="s">
        <v>1879</v>
      </c>
      <c r="M343" s="11">
        <v>0.0</v>
      </c>
      <c r="N343" s="11" t="s">
        <v>2092</v>
      </c>
    </row>
    <row r="344">
      <c r="A344" s="11">
        <v>-0.368834555149078</v>
      </c>
      <c r="B344" s="11">
        <v>-18.4347534179687</v>
      </c>
      <c r="C344" s="11">
        <v>0.0</v>
      </c>
      <c r="D344" s="11" t="s">
        <v>1061</v>
      </c>
      <c r="E344" s="11">
        <v>0.0</v>
      </c>
      <c r="F344" s="11" t="s">
        <v>1380</v>
      </c>
      <c r="I344" s="11">
        <v>-60.0981407165527</v>
      </c>
      <c r="J344" s="11">
        <v>-17.8777103424072</v>
      </c>
      <c r="K344" s="11">
        <v>1.0</v>
      </c>
      <c r="L344" s="11" t="s">
        <v>1879</v>
      </c>
      <c r="M344" s="11">
        <v>1.0</v>
      </c>
      <c r="N344" s="11" t="s">
        <v>2094</v>
      </c>
    </row>
    <row r="345">
      <c r="A345" s="11">
        <v>-2.02969884872436</v>
      </c>
      <c r="B345" s="11">
        <v>-11.526701927185</v>
      </c>
      <c r="C345" s="11">
        <v>0.0</v>
      </c>
      <c r="D345" s="11" t="s">
        <v>1061</v>
      </c>
      <c r="E345" s="11">
        <v>0.0</v>
      </c>
      <c r="F345" s="11" t="s">
        <v>1381</v>
      </c>
      <c r="I345" s="11">
        <v>-25.7653102874755</v>
      </c>
      <c r="J345" s="11">
        <v>-26.8697929382324</v>
      </c>
      <c r="K345" s="11">
        <v>0.0</v>
      </c>
      <c r="L345" s="11" t="s">
        <v>1879</v>
      </c>
      <c r="M345" s="11">
        <v>0.0</v>
      </c>
      <c r="N345" s="11" t="s">
        <v>2097</v>
      </c>
    </row>
    <row r="346">
      <c r="A346" s="11">
        <v>-8.74641036987304</v>
      </c>
      <c r="B346" s="11">
        <v>32.1061286926269</v>
      </c>
      <c r="C346" s="11">
        <v>-1.0</v>
      </c>
      <c r="D346" s="11" t="s">
        <v>1061</v>
      </c>
      <c r="E346" s="11">
        <v>-1.0</v>
      </c>
      <c r="F346" s="11" t="s">
        <v>1382</v>
      </c>
      <c r="I346" s="11">
        <v>-42.603515625</v>
      </c>
      <c r="J346" s="11">
        <v>-25.3769397735595</v>
      </c>
      <c r="K346" s="11">
        <v>0.0</v>
      </c>
      <c r="L346" s="11" t="s">
        <v>1879</v>
      </c>
      <c r="M346" s="11">
        <v>0.0</v>
      </c>
      <c r="N346" s="11" t="s">
        <v>2099</v>
      </c>
    </row>
    <row r="347">
      <c r="A347" s="11">
        <v>77.9608078002929</v>
      </c>
      <c r="B347" s="11">
        <v>17.6361961364746</v>
      </c>
      <c r="C347" s="11">
        <v>2.0</v>
      </c>
      <c r="D347" s="11" t="s">
        <v>1061</v>
      </c>
      <c r="E347" s="11">
        <v>2.0</v>
      </c>
      <c r="F347" s="11" t="s">
        <v>1383</v>
      </c>
      <c r="I347" s="11">
        <v>-16.5183811187744</v>
      </c>
      <c r="J347" s="11">
        <v>58.7974472045898</v>
      </c>
      <c r="K347" s="11">
        <v>-1.0</v>
      </c>
      <c r="L347" s="11" t="s">
        <v>1879</v>
      </c>
      <c r="M347" s="11">
        <v>-1.0</v>
      </c>
      <c r="N347" s="11" t="s">
        <v>2101</v>
      </c>
    </row>
    <row r="348">
      <c r="A348" s="11">
        <v>3.15246272087097</v>
      </c>
      <c r="B348" s="11">
        <v>32.4078788757324</v>
      </c>
      <c r="C348" s="11">
        <v>0.0</v>
      </c>
      <c r="D348" s="11" t="s">
        <v>1061</v>
      </c>
      <c r="E348" s="11">
        <v>0.0</v>
      </c>
      <c r="F348" s="11" t="s">
        <v>1385</v>
      </c>
      <c r="I348" s="11">
        <v>-29.3450012207031</v>
      </c>
      <c r="J348" s="11">
        <v>-37.6168174743652</v>
      </c>
      <c r="K348" s="11">
        <v>-1.0</v>
      </c>
      <c r="L348" s="11" t="s">
        <v>1879</v>
      </c>
      <c r="M348" s="11">
        <v>-1.0</v>
      </c>
      <c r="N348" s="11" t="s">
        <v>2103</v>
      </c>
    </row>
    <row r="349">
      <c r="A349" s="11">
        <v>24.2680740356445</v>
      </c>
      <c r="B349" s="11">
        <v>-8.12195968627929</v>
      </c>
      <c r="C349" s="11">
        <v>-1.0</v>
      </c>
      <c r="D349" s="11" t="s">
        <v>1061</v>
      </c>
      <c r="E349" s="11">
        <v>-1.0</v>
      </c>
      <c r="F349" s="11" t="s">
        <v>1388</v>
      </c>
      <c r="I349" s="11">
        <v>-34.8030586242675</v>
      </c>
      <c r="J349" s="11">
        <v>-43.4464263916015</v>
      </c>
      <c r="K349" s="11">
        <v>-2.0</v>
      </c>
      <c r="L349" s="11" t="s">
        <v>1879</v>
      </c>
      <c r="M349" s="11">
        <v>-2.0</v>
      </c>
      <c r="N349" s="11" t="s">
        <v>2105</v>
      </c>
    </row>
    <row r="350">
      <c r="A350" s="11">
        <v>-47.3019866943359</v>
      </c>
      <c r="B350" s="11">
        <v>1.92522382736206</v>
      </c>
      <c r="C350" s="11">
        <v>0.0</v>
      </c>
      <c r="D350" s="11" t="s">
        <v>1061</v>
      </c>
      <c r="E350" s="11">
        <v>0.0</v>
      </c>
      <c r="F350" s="11" t="s">
        <v>1389</v>
      </c>
      <c r="I350" s="11">
        <v>-35.0208892822265</v>
      </c>
      <c r="J350" s="11">
        <v>-0.781107366085052</v>
      </c>
      <c r="K350" s="11">
        <v>0.0</v>
      </c>
      <c r="L350" s="11" t="s">
        <v>1879</v>
      </c>
      <c r="M350" s="11">
        <v>0.0</v>
      </c>
      <c r="N350" s="11" t="s">
        <v>2107</v>
      </c>
    </row>
    <row r="351">
      <c r="A351" s="11">
        <v>30.4019432067871</v>
      </c>
      <c r="B351" s="11">
        <v>-15.9500265121459</v>
      </c>
      <c r="C351" s="11">
        <v>0.0</v>
      </c>
      <c r="D351" s="11" t="s">
        <v>1061</v>
      </c>
      <c r="E351" s="11">
        <v>0.0</v>
      </c>
      <c r="F351" s="11" t="s">
        <v>1392</v>
      </c>
      <c r="I351" s="11">
        <v>-9.01792526245117</v>
      </c>
      <c r="J351" s="11">
        <v>53.9220314025878</v>
      </c>
      <c r="K351" s="11">
        <v>-1.0</v>
      </c>
      <c r="L351" s="11" t="s">
        <v>1879</v>
      </c>
      <c r="M351" s="11">
        <v>-1.0</v>
      </c>
      <c r="N351" s="11" t="s">
        <v>2109</v>
      </c>
    </row>
    <row r="352">
      <c r="A352" s="11">
        <v>-13.4272994995117</v>
      </c>
      <c r="B352" s="11">
        <v>-3.06154155731201</v>
      </c>
      <c r="C352" s="11">
        <v>1.0</v>
      </c>
      <c r="D352" s="11" t="s">
        <v>1061</v>
      </c>
      <c r="E352" s="11">
        <v>1.0</v>
      </c>
      <c r="F352" s="11" t="s">
        <v>1395</v>
      </c>
      <c r="I352" s="11">
        <v>-66.1168899536132</v>
      </c>
      <c r="J352" s="11">
        <v>19.4135074615478</v>
      </c>
      <c r="K352" s="11">
        <v>0.0</v>
      </c>
      <c r="L352" s="11" t="s">
        <v>1879</v>
      </c>
      <c r="M352" s="11">
        <v>0.0</v>
      </c>
      <c r="N352" s="11" t="s">
        <v>2110</v>
      </c>
    </row>
    <row r="353">
      <c r="A353" s="11">
        <v>-24.973928451538</v>
      </c>
      <c r="B353" s="11">
        <v>18.0858421325683</v>
      </c>
      <c r="C353" s="11">
        <v>0.0</v>
      </c>
      <c r="D353" s="11" t="s">
        <v>1061</v>
      </c>
      <c r="E353" s="11">
        <v>0.0</v>
      </c>
      <c r="F353" s="11" t="s">
        <v>1396</v>
      </c>
      <c r="I353" s="11">
        <v>-40.6060333251953</v>
      </c>
      <c r="J353" s="11">
        <v>3.08676052093505</v>
      </c>
      <c r="K353" s="11">
        <v>0.0</v>
      </c>
      <c r="L353" s="11" t="s">
        <v>1879</v>
      </c>
      <c r="M353" s="11">
        <v>0.0</v>
      </c>
      <c r="N353" s="11" t="s">
        <v>2112</v>
      </c>
    </row>
    <row r="354">
      <c r="A354" s="11">
        <v>4.53575229644775</v>
      </c>
      <c r="B354" s="11">
        <v>12.6959075927734</v>
      </c>
      <c r="C354" s="11">
        <v>0.0</v>
      </c>
      <c r="D354" s="11" t="s">
        <v>1061</v>
      </c>
      <c r="E354" s="11">
        <v>0.0</v>
      </c>
      <c r="F354" s="11" t="s">
        <v>1398</v>
      </c>
      <c r="I354" s="11">
        <v>-78.3368453979492</v>
      </c>
      <c r="J354" s="11">
        <v>7.06053495407104</v>
      </c>
      <c r="K354" s="11">
        <v>1.0</v>
      </c>
      <c r="L354" s="11" t="s">
        <v>1879</v>
      </c>
      <c r="M354" s="11">
        <v>1.0</v>
      </c>
      <c r="N354" s="11" t="s">
        <v>2114</v>
      </c>
    </row>
    <row r="355">
      <c r="A355" s="11">
        <v>8.05495834350586</v>
      </c>
      <c r="B355" s="11">
        <v>24.1312961578369</v>
      </c>
      <c r="C355" s="11">
        <v>0.0</v>
      </c>
      <c r="D355" s="11" t="s">
        <v>1061</v>
      </c>
      <c r="E355" s="11">
        <v>0.0</v>
      </c>
      <c r="F355" s="11" t="s">
        <v>1400</v>
      </c>
      <c r="I355" s="11">
        <v>-58.1298789978027</v>
      </c>
      <c r="J355" s="11">
        <v>-16.6562023162841</v>
      </c>
      <c r="K355" s="11">
        <v>1.0</v>
      </c>
      <c r="L355" s="11" t="s">
        <v>1879</v>
      </c>
      <c r="M355" s="11">
        <v>1.0</v>
      </c>
      <c r="N355" s="11" t="s">
        <v>2116</v>
      </c>
    </row>
    <row r="356">
      <c r="A356" s="11">
        <v>-1.89599072933197</v>
      </c>
      <c r="B356" s="11">
        <v>5.20329856872558</v>
      </c>
      <c r="C356" s="11">
        <v>0.0</v>
      </c>
      <c r="D356" s="11" t="s">
        <v>1061</v>
      </c>
      <c r="E356" s="11">
        <v>0.0</v>
      </c>
      <c r="F356" s="11" t="s">
        <v>1402</v>
      </c>
      <c r="I356" s="11">
        <v>-66.9782104492187</v>
      </c>
      <c r="J356" s="11">
        <v>-18.3113193511962</v>
      </c>
      <c r="K356" s="11">
        <v>1.0</v>
      </c>
      <c r="L356" s="11" t="s">
        <v>1879</v>
      </c>
      <c r="M356" s="11">
        <v>1.0</v>
      </c>
      <c r="N356" s="11" t="s">
        <v>2117</v>
      </c>
    </row>
    <row r="357">
      <c r="A357" s="11">
        <v>-31.3296070098876</v>
      </c>
      <c r="B357" s="11">
        <v>13.6361379623413</v>
      </c>
      <c r="C357" s="11">
        <v>0.0</v>
      </c>
      <c r="D357" s="11" t="s">
        <v>1061</v>
      </c>
      <c r="E357" s="11">
        <v>0.0</v>
      </c>
      <c r="F357" s="11" t="s">
        <v>1404</v>
      </c>
      <c r="I357" s="11">
        <v>-29.5357666015625</v>
      </c>
      <c r="J357" s="11">
        <v>6.01337480545043</v>
      </c>
      <c r="K357" s="11">
        <v>0.0</v>
      </c>
      <c r="L357" s="11" t="s">
        <v>1879</v>
      </c>
      <c r="M357" s="11">
        <v>0.0</v>
      </c>
      <c r="N357" s="11" t="s">
        <v>2119</v>
      </c>
    </row>
    <row r="358">
      <c r="A358" s="11">
        <v>22.1739082336425</v>
      </c>
      <c r="B358" s="11">
        <v>38.3020935058593</v>
      </c>
      <c r="C358" s="11">
        <v>2.0</v>
      </c>
      <c r="D358" s="11" t="s">
        <v>1061</v>
      </c>
      <c r="E358" s="11">
        <v>2.0</v>
      </c>
      <c r="F358" s="11" t="s">
        <v>2120</v>
      </c>
      <c r="I358" s="11">
        <v>-27.4973678588867</v>
      </c>
      <c r="J358" s="11">
        <v>-2.98301863670349</v>
      </c>
      <c r="K358" s="11">
        <v>-2.0</v>
      </c>
      <c r="L358" s="11" t="s">
        <v>1879</v>
      </c>
      <c r="M358" s="11">
        <v>-2.0</v>
      </c>
      <c r="N358" s="11" t="s">
        <v>2122</v>
      </c>
    </row>
    <row r="359">
      <c r="A359" s="11">
        <v>-66.2051925659179</v>
      </c>
      <c r="B359" s="11">
        <v>25.5567111968994</v>
      </c>
      <c r="C359" s="11">
        <v>0.0</v>
      </c>
      <c r="D359" s="11" t="s">
        <v>1061</v>
      </c>
      <c r="E359" s="11">
        <v>0.0</v>
      </c>
      <c r="F359" s="11" t="s">
        <v>1406</v>
      </c>
      <c r="I359" s="11">
        <v>-31.7444057464599</v>
      </c>
      <c r="J359" s="11">
        <v>-37.9569015502929</v>
      </c>
      <c r="K359" s="11">
        <v>-2.0</v>
      </c>
      <c r="L359" s="11" t="s">
        <v>1879</v>
      </c>
      <c r="M359" s="11">
        <v>-2.0</v>
      </c>
      <c r="N359" s="11" t="s">
        <v>2124</v>
      </c>
    </row>
    <row r="360">
      <c r="A360" s="11">
        <v>58.5889129638671</v>
      </c>
      <c r="B360" s="11">
        <v>-8.92668914794921</v>
      </c>
      <c r="C360" s="11">
        <v>0.0</v>
      </c>
      <c r="D360" s="11" t="s">
        <v>1061</v>
      </c>
      <c r="E360" s="11">
        <v>0.0</v>
      </c>
      <c r="F360" s="11" t="s">
        <v>1408</v>
      </c>
      <c r="I360" s="11">
        <v>-3.60901403427124</v>
      </c>
      <c r="J360" s="11">
        <v>13.4196863174438</v>
      </c>
      <c r="K360" s="11">
        <v>0.0</v>
      </c>
      <c r="L360" s="11" t="s">
        <v>1879</v>
      </c>
      <c r="M360" s="11">
        <v>0.0</v>
      </c>
      <c r="N360" s="11" t="s">
        <v>2125</v>
      </c>
    </row>
    <row r="361">
      <c r="A361" s="11">
        <v>-43.357322692871</v>
      </c>
      <c r="B361" s="11">
        <v>8.83736705780029</v>
      </c>
      <c r="C361" s="11">
        <v>0.0</v>
      </c>
      <c r="D361" s="11" t="s">
        <v>1061</v>
      </c>
      <c r="E361" s="11">
        <v>0.0</v>
      </c>
      <c r="F361" s="11" t="s">
        <v>1410</v>
      </c>
      <c r="I361" s="11">
        <v>-23.9133529663085</v>
      </c>
      <c r="J361" s="11">
        <v>-24.3306369781494</v>
      </c>
      <c r="K361" s="11">
        <v>0.0</v>
      </c>
      <c r="L361" s="11" t="s">
        <v>1879</v>
      </c>
      <c r="M361" s="11">
        <v>0.0</v>
      </c>
      <c r="N361" s="11" t="s">
        <v>2127</v>
      </c>
    </row>
    <row r="362">
      <c r="A362" s="11">
        <v>9.01202964782714</v>
      </c>
      <c r="B362" s="11">
        <v>-30.8825645446777</v>
      </c>
      <c r="C362" s="11">
        <v>0.0</v>
      </c>
      <c r="D362" s="11" t="s">
        <v>1061</v>
      </c>
      <c r="E362" s="11">
        <v>0.0</v>
      </c>
      <c r="F362" s="11" t="s">
        <v>1412</v>
      </c>
      <c r="I362" s="11">
        <v>-36.1705245971679</v>
      </c>
      <c r="J362" s="11">
        <v>15.6100816726684</v>
      </c>
      <c r="K362" s="11">
        <v>0.0</v>
      </c>
      <c r="L362" s="11" t="s">
        <v>1879</v>
      </c>
      <c r="M362" s="11">
        <v>0.0</v>
      </c>
      <c r="N362" s="11" t="s">
        <v>2129</v>
      </c>
    </row>
    <row r="363">
      <c r="A363" s="11">
        <v>-11.6328411102294</v>
      </c>
      <c r="B363" s="11">
        <v>16.3628978729248</v>
      </c>
      <c r="C363" s="11">
        <v>0.0</v>
      </c>
      <c r="D363" s="11" t="s">
        <v>1061</v>
      </c>
      <c r="E363" s="11">
        <v>0.0</v>
      </c>
      <c r="F363" s="11" t="s">
        <v>1413</v>
      </c>
      <c r="I363" s="11">
        <v>-69.1519622802734</v>
      </c>
      <c r="J363" s="11">
        <v>-2.71860313415527</v>
      </c>
      <c r="K363" s="11">
        <v>0.0</v>
      </c>
      <c r="L363" s="11" t="s">
        <v>1879</v>
      </c>
      <c r="M363" s="11">
        <v>0.0</v>
      </c>
      <c r="N363" s="11" t="s">
        <v>2131</v>
      </c>
    </row>
    <row r="364">
      <c r="A364" s="11">
        <v>13.8081455230712</v>
      </c>
      <c r="B364" s="11">
        <v>-45.2903594970703</v>
      </c>
      <c r="C364" s="11">
        <v>0.0</v>
      </c>
      <c r="D364" s="11" t="s">
        <v>1061</v>
      </c>
      <c r="E364" s="11">
        <v>0.0</v>
      </c>
      <c r="F364" s="11" t="s">
        <v>1415</v>
      </c>
      <c r="I364" s="11">
        <v>-0.943663835525512</v>
      </c>
      <c r="J364" s="11">
        <v>63.2950630187988</v>
      </c>
      <c r="K364" s="11">
        <v>-1.0</v>
      </c>
      <c r="L364" s="11" t="s">
        <v>1879</v>
      </c>
      <c r="M364" s="11">
        <v>-1.0</v>
      </c>
      <c r="N364" s="11" t="s">
        <v>2133</v>
      </c>
    </row>
    <row r="365">
      <c r="A365" s="11">
        <v>-4.38614654541015</v>
      </c>
      <c r="B365" s="11">
        <v>11.6165399551391</v>
      </c>
      <c r="C365" s="11">
        <v>-1.0</v>
      </c>
      <c r="D365" s="11" t="s">
        <v>1061</v>
      </c>
      <c r="E365" s="11">
        <v>-1.0</v>
      </c>
      <c r="F365" s="11" t="s">
        <v>1417</v>
      </c>
      <c r="I365" s="11">
        <v>-26.839277267456</v>
      </c>
      <c r="J365" s="11">
        <v>4.47084712982177</v>
      </c>
      <c r="K365" s="11">
        <v>0.0</v>
      </c>
      <c r="L365" s="11" t="s">
        <v>1879</v>
      </c>
      <c r="M365" s="11">
        <v>0.0</v>
      </c>
      <c r="N365" s="11" t="s">
        <v>2135</v>
      </c>
    </row>
    <row r="366">
      <c r="A366" s="11">
        <v>86.6724472045898</v>
      </c>
      <c r="B366" s="11">
        <v>11.4689617156982</v>
      </c>
      <c r="C366" s="11">
        <v>2.0</v>
      </c>
      <c r="D366" s="11" t="s">
        <v>1061</v>
      </c>
      <c r="E366" s="11">
        <v>2.0</v>
      </c>
      <c r="F366" s="11" t="s">
        <v>1419</v>
      </c>
      <c r="I366" s="11">
        <v>-69.4414520263671</v>
      </c>
      <c r="J366" s="11">
        <v>-19.4665832519531</v>
      </c>
      <c r="K366" s="11">
        <v>1.0</v>
      </c>
      <c r="L366" s="11" t="s">
        <v>1879</v>
      </c>
      <c r="M366" s="11">
        <v>1.0</v>
      </c>
      <c r="N366" s="11" t="s">
        <v>2138</v>
      </c>
    </row>
    <row r="367">
      <c r="A367" s="11">
        <v>88.0406188964843</v>
      </c>
      <c r="B367" s="11">
        <v>10.5499811172485</v>
      </c>
      <c r="C367" s="11">
        <v>2.0</v>
      </c>
      <c r="D367" s="11" t="s">
        <v>1061</v>
      </c>
      <c r="E367" s="11">
        <v>2.0</v>
      </c>
      <c r="F367" s="11" t="s">
        <v>1421</v>
      </c>
      <c r="I367" s="11">
        <v>-69.4414520263671</v>
      </c>
      <c r="J367" s="11">
        <v>-19.4665832519531</v>
      </c>
      <c r="K367" s="11">
        <v>1.0</v>
      </c>
      <c r="L367" s="11" t="s">
        <v>1879</v>
      </c>
      <c r="M367" s="11">
        <v>1.0</v>
      </c>
      <c r="N367" s="11" t="s">
        <v>2140</v>
      </c>
    </row>
    <row r="368">
      <c r="A368" s="11">
        <v>18.2522201538085</v>
      </c>
      <c r="B368" s="11">
        <v>-33.7293739318847</v>
      </c>
      <c r="C368" s="11">
        <v>-1.0</v>
      </c>
      <c r="D368" s="11" t="s">
        <v>1061</v>
      </c>
      <c r="E368" s="11">
        <v>-1.0</v>
      </c>
      <c r="F368" s="11" t="s">
        <v>1423</v>
      </c>
      <c r="I368" s="11">
        <v>-46.431297302246</v>
      </c>
      <c r="J368" s="11">
        <v>38.8872566223144</v>
      </c>
      <c r="K368" s="11">
        <v>0.0</v>
      </c>
      <c r="L368" s="11" t="s">
        <v>1879</v>
      </c>
      <c r="M368" s="11">
        <v>0.0</v>
      </c>
      <c r="N368" s="11" t="s">
        <v>2141</v>
      </c>
    </row>
    <row r="369">
      <c r="A369" s="11">
        <v>89.56201171875</v>
      </c>
      <c r="B369" s="11">
        <v>10.03853225708</v>
      </c>
      <c r="C369" s="11">
        <v>2.0</v>
      </c>
      <c r="D369" s="11" t="s">
        <v>1061</v>
      </c>
      <c r="E369" s="11">
        <v>2.0</v>
      </c>
      <c r="F369" s="11" t="s">
        <v>1425</v>
      </c>
      <c r="I369" s="11">
        <v>-22.9775218963623</v>
      </c>
      <c r="J369" s="11">
        <v>56.0295791625976</v>
      </c>
      <c r="K369" s="11">
        <v>-2.0</v>
      </c>
      <c r="L369" s="11" t="s">
        <v>1879</v>
      </c>
      <c r="M369" s="11">
        <v>-2.0</v>
      </c>
      <c r="N369" s="11" t="s">
        <v>2143</v>
      </c>
    </row>
    <row r="370">
      <c r="A370" s="11">
        <v>-53.6192932128906</v>
      </c>
      <c r="B370" s="11">
        <v>-44.6314353942871</v>
      </c>
      <c r="C370" s="11">
        <v>0.0</v>
      </c>
      <c r="D370" s="11" t="s">
        <v>1061</v>
      </c>
      <c r="E370" s="11">
        <v>0.0</v>
      </c>
      <c r="F370" s="11" t="s">
        <v>1426</v>
      </c>
      <c r="I370" s="11">
        <v>-42.3337974548339</v>
      </c>
      <c r="J370" s="11">
        <v>-36.394603729248</v>
      </c>
      <c r="K370" s="11">
        <v>-2.0</v>
      </c>
      <c r="L370" s="11" t="s">
        <v>1879</v>
      </c>
      <c r="M370" s="11">
        <v>-2.0</v>
      </c>
      <c r="N370" s="11" t="s">
        <v>2145</v>
      </c>
    </row>
    <row r="371">
      <c r="A371" s="11">
        <v>-0.127950325608253</v>
      </c>
      <c r="B371" s="11">
        <v>-43.6379089355468</v>
      </c>
      <c r="C371" s="11">
        <v>0.0</v>
      </c>
      <c r="D371" s="11" t="s">
        <v>1061</v>
      </c>
      <c r="E371" s="11">
        <v>0.0</v>
      </c>
      <c r="F371" s="11" t="s">
        <v>1428</v>
      </c>
      <c r="I371" s="11">
        <v>-43.7296829223632</v>
      </c>
      <c r="J371" s="11">
        <v>39.1780624389648</v>
      </c>
      <c r="K371" s="11">
        <v>0.0</v>
      </c>
      <c r="L371" s="11" t="s">
        <v>1879</v>
      </c>
      <c r="M371" s="11">
        <v>0.0</v>
      </c>
      <c r="N371" s="11" t="s">
        <v>2147</v>
      </c>
    </row>
    <row r="372">
      <c r="A372" s="11">
        <v>30.4019432067871</v>
      </c>
      <c r="B372" s="11">
        <v>-15.9500265121459</v>
      </c>
      <c r="C372" s="11">
        <v>0.0</v>
      </c>
      <c r="D372" s="11" t="s">
        <v>1061</v>
      </c>
      <c r="E372" s="11">
        <v>0.0</v>
      </c>
      <c r="F372" s="11" t="s">
        <v>1430</v>
      </c>
      <c r="I372" s="11">
        <v>-69.9523773193359</v>
      </c>
      <c r="J372" s="11">
        <v>-5.03138494491577</v>
      </c>
      <c r="K372" s="11">
        <v>0.0</v>
      </c>
      <c r="L372" s="11" t="s">
        <v>1879</v>
      </c>
      <c r="M372" s="11">
        <v>0.0</v>
      </c>
      <c r="N372" s="11" t="s">
        <v>2149</v>
      </c>
    </row>
    <row r="373">
      <c r="A373" s="11">
        <v>11.2345857620239</v>
      </c>
      <c r="B373" s="11">
        <v>-67.7841033935546</v>
      </c>
      <c r="C373" s="11">
        <v>-1.0</v>
      </c>
      <c r="D373" s="11" t="s">
        <v>1061</v>
      </c>
      <c r="E373" s="11">
        <v>-1.0</v>
      </c>
      <c r="F373" s="11" t="s">
        <v>1432</v>
      </c>
      <c r="I373" s="11">
        <v>-40.7844200134277</v>
      </c>
      <c r="J373" s="11">
        <v>6.80739641189575</v>
      </c>
      <c r="K373" s="11">
        <v>0.0</v>
      </c>
      <c r="L373" s="11" t="s">
        <v>1879</v>
      </c>
      <c r="M373" s="11">
        <v>0.0</v>
      </c>
      <c r="N373" s="11" t="s">
        <v>2153</v>
      </c>
    </row>
    <row r="374">
      <c r="A374" s="11">
        <v>-13.4158601760864</v>
      </c>
      <c r="B374" s="11">
        <v>3.28514194488525</v>
      </c>
      <c r="C374" s="11">
        <v>0.0</v>
      </c>
      <c r="D374" s="11" t="s">
        <v>1061</v>
      </c>
      <c r="E374" s="11">
        <v>0.0</v>
      </c>
      <c r="F374" s="11" t="s">
        <v>1434</v>
      </c>
      <c r="I374" s="11">
        <v>-35.5790481567382</v>
      </c>
      <c r="J374" s="11">
        <v>-44.9970474243164</v>
      </c>
      <c r="K374" s="11">
        <v>-2.0</v>
      </c>
      <c r="L374" s="11" t="s">
        <v>1879</v>
      </c>
      <c r="M374" s="11">
        <v>-2.0</v>
      </c>
      <c r="N374" s="11" t="s">
        <v>2155</v>
      </c>
    </row>
    <row r="375">
      <c r="A375" s="11">
        <v>31.5168380737304</v>
      </c>
      <c r="B375" s="11">
        <v>3.72586488723754</v>
      </c>
      <c r="C375" s="11">
        <v>2.0</v>
      </c>
      <c r="D375" s="11" t="s">
        <v>1061</v>
      </c>
      <c r="E375" s="11">
        <v>2.0</v>
      </c>
      <c r="F375" s="11" t="s">
        <v>1436</v>
      </c>
      <c r="I375" s="11">
        <v>-76.6752548217773</v>
      </c>
      <c r="J375" s="11">
        <v>4.77244710922241</v>
      </c>
      <c r="K375" s="11">
        <v>1.0</v>
      </c>
      <c r="L375" s="11" t="s">
        <v>1879</v>
      </c>
      <c r="M375" s="11">
        <v>1.0</v>
      </c>
      <c r="N375" s="11" t="s">
        <v>2158</v>
      </c>
    </row>
    <row r="376">
      <c r="A376" s="11">
        <v>11.7269210815429</v>
      </c>
      <c r="B376" s="11">
        <v>54.8678665161132</v>
      </c>
      <c r="C376" s="11">
        <v>0.0</v>
      </c>
      <c r="D376" s="11" t="s">
        <v>1061</v>
      </c>
      <c r="E376" s="11">
        <v>0.0</v>
      </c>
      <c r="F376" s="11" t="s">
        <v>1438</v>
      </c>
      <c r="I376" s="11">
        <v>-20.9891109466552</v>
      </c>
      <c r="J376" s="11">
        <v>49.0493011474609</v>
      </c>
      <c r="K376" s="11">
        <v>-2.0</v>
      </c>
      <c r="L376" s="11" t="s">
        <v>1879</v>
      </c>
      <c r="M376" s="11">
        <v>-2.0</v>
      </c>
      <c r="N376" s="11" t="s">
        <v>2160</v>
      </c>
    </row>
    <row r="377">
      <c r="A377" s="11">
        <v>-13.3552160263061</v>
      </c>
      <c r="B377" s="11">
        <v>11.9400253295898</v>
      </c>
      <c r="C377" s="11">
        <v>0.0</v>
      </c>
      <c r="D377" s="11" t="s">
        <v>1061</v>
      </c>
      <c r="E377" s="11">
        <v>0.0</v>
      </c>
      <c r="F377" s="11" t="s">
        <v>1439</v>
      </c>
      <c r="I377" s="11">
        <v>-38.3645820617675</v>
      </c>
      <c r="J377" s="11">
        <v>6.31578159332275</v>
      </c>
      <c r="K377" s="11">
        <v>0.0</v>
      </c>
      <c r="L377" s="11" t="s">
        <v>1879</v>
      </c>
      <c r="M377" s="11">
        <v>0.0</v>
      </c>
      <c r="N377" s="11" t="s">
        <v>2162</v>
      </c>
    </row>
    <row r="378">
      <c r="A378" s="11">
        <v>-52.2630882263183</v>
      </c>
      <c r="B378" s="11">
        <v>-43.4711189270019</v>
      </c>
      <c r="C378" s="11">
        <v>0.0</v>
      </c>
      <c r="D378" s="11" t="s">
        <v>1061</v>
      </c>
      <c r="E378" s="11">
        <v>0.0</v>
      </c>
      <c r="F378" s="11" t="s">
        <v>1441</v>
      </c>
      <c r="I378" s="11">
        <v>-22.0113544464111</v>
      </c>
      <c r="J378" s="11">
        <v>44.927635192871</v>
      </c>
      <c r="K378" s="11">
        <v>0.0</v>
      </c>
      <c r="L378" s="11" t="s">
        <v>1879</v>
      </c>
      <c r="M378" s="11">
        <v>0.0</v>
      </c>
      <c r="N378" s="11" t="s">
        <v>2164</v>
      </c>
    </row>
    <row r="379">
      <c r="A379" s="11">
        <v>-24.2339344024658</v>
      </c>
      <c r="B379" s="11">
        <v>19.1802654266357</v>
      </c>
      <c r="C379" s="11">
        <v>0.0</v>
      </c>
      <c r="D379" s="11" t="s">
        <v>1061</v>
      </c>
      <c r="E379" s="11">
        <v>0.0</v>
      </c>
      <c r="F379" s="11" t="s">
        <v>1442</v>
      </c>
      <c r="I379" s="11">
        <v>-56.6227722167968</v>
      </c>
      <c r="J379" s="11">
        <v>-7.16200590133667</v>
      </c>
      <c r="K379" s="11">
        <v>0.0</v>
      </c>
      <c r="L379" s="11" t="s">
        <v>1879</v>
      </c>
      <c r="M379" s="11">
        <v>0.0</v>
      </c>
      <c r="N379" s="11" t="s">
        <v>2166</v>
      </c>
    </row>
    <row r="380">
      <c r="A380" s="11">
        <v>36.0135459899902</v>
      </c>
      <c r="B380" s="11">
        <v>46.8542747497558</v>
      </c>
      <c r="C380" s="11">
        <v>0.0</v>
      </c>
      <c r="D380" s="11" t="s">
        <v>1061</v>
      </c>
      <c r="E380" s="11">
        <v>0.0</v>
      </c>
      <c r="F380" s="11" t="s">
        <v>1445</v>
      </c>
      <c r="I380" s="11">
        <v>-46.7948684692382</v>
      </c>
      <c r="J380" s="11">
        <v>18.8929347991943</v>
      </c>
      <c r="K380" s="11">
        <v>0.0</v>
      </c>
      <c r="L380" s="11" t="s">
        <v>1879</v>
      </c>
      <c r="M380" s="11">
        <v>0.0</v>
      </c>
      <c r="N380" s="11" t="s">
        <v>2169</v>
      </c>
    </row>
    <row r="381">
      <c r="A381" s="11">
        <v>-19.8759574890136</v>
      </c>
      <c r="B381" s="11">
        <v>10.2484769821167</v>
      </c>
      <c r="C381" s="11">
        <v>0.0</v>
      </c>
      <c r="D381" s="11" t="s">
        <v>1061</v>
      </c>
      <c r="E381" s="11">
        <v>0.0</v>
      </c>
      <c r="F381" s="11" t="s">
        <v>1446</v>
      </c>
      <c r="I381" s="11">
        <v>-15.4876928329467</v>
      </c>
      <c r="J381" s="11">
        <v>57.2170639038085</v>
      </c>
      <c r="K381" s="11">
        <v>-2.0</v>
      </c>
      <c r="L381" s="11" t="s">
        <v>1879</v>
      </c>
      <c r="M381" s="11">
        <v>-2.0</v>
      </c>
      <c r="N381" s="11" t="s">
        <v>2171</v>
      </c>
    </row>
    <row r="382">
      <c r="A382" s="11">
        <v>30.6452522277832</v>
      </c>
      <c r="B382" s="11">
        <v>-9.46377754211425</v>
      </c>
      <c r="C382" s="11">
        <v>0.0</v>
      </c>
      <c r="D382" s="11" t="s">
        <v>1061</v>
      </c>
      <c r="E382" s="11">
        <v>0.0</v>
      </c>
      <c r="F382" s="11" t="s">
        <v>1447</v>
      </c>
      <c r="I382" s="11">
        <v>-46.4277267456054</v>
      </c>
      <c r="J382" s="11">
        <v>-17.4750747680664</v>
      </c>
      <c r="K382" s="11">
        <v>0.0</v>
      </c>
      <c r="L382" s="11" t="s">
        <v>1879</v>
      </c>
      <c r="M382" s="11">
        <v>0.0</v>
      </c>
      <c r="N382" s="11" t="s">
        <v>2173</v>
      </c>
    </row>
    <row r="383">
      <c r="A383" s="11">
        <v>-39.1217575073242</v>
      </c>
      <c r="B383" s="11">
        <v>17.4475994110107</v>
      </c>
      <c r="C383" s="11">
        <v>0.0</v>
      </c>
      <c r="D383" s="11" t="s">
        <v>1061</v>
      </c>
      <c r="E383" s="11">
        <v>0.0</v>
      </c>
      <c r="F383" s="11" t="s">
        <v>1448</v>
      </c>
      <c r="I383" s="11">
        <v>-69.4414520263671</v>
      </c>
      <c r="J383" s="11">
        <v>-19.4665832519531</v>
      </c>
      <c r="K383" s="11">
        <v>1.0</v>
      </c>
      <c r="L383" s="11" t="s">
        <v>1879</v>
      </c>
      <c r="M383" s="11">
        <v>1.0</v>
      </c>
      <c r="N383" s="11" t="s">
        <v>2175</v>
      </c>
    </row>
    <row r="384">
      <c r="A384" s="11">
        <v>-17.4264030456542</v>
      </c>
      <c r="B384" s="11">
        <v>20.3814830780029</v>
      </c>
      <c r="C384" s="11">
        <v>0.0</v>
      </c>
      <c r="D384" s="11" t="s">
        <v>1061</v>
      </c>
      <c r="E384" s="11">
        <v>0.0</v>
      </c>
      <c r="F384" s="11" t="s">
        <v>1450</v>
      </c>
      <c r="I384" s="11">
        <v>-62.0281372070312</v>
      </c>
      <c r="J384" s="11">
        <v>1.11273264884948</v>
      </c>
      <c r="K384" s="11">
        <v>0.0</v>
      </c>
      <c r="L384" s="11" t="s">
        <v>1879</v>
      </c>
      <c r="M384" s="11">
        <v>0.0</v>
      </c>
      <c r="N384" s="11" t="s">
        <v>2177</v>
      </c>
    </row>
    <row r="385">
      <c r="A385" s="11">
        <v>88.8374786376953</v>
      </c>
      <c r="B385" s="11">
        <v>14.7589979171752</v>
      </c>
      <c r="C385" s="11">
        <v>2.0</v>
      </c>
      <c r="D385" s="11" t="s">
        <v>1061</v>
      </c>
      <c r="E385" s="11">
        <v>2.0</v>
      </c>
      <c r="F385" s="11" t="s">
        <v>1452</v>
      </c>
      <c r="I385" s="11">
        <v>-22.6082782745361</v>
      </c>
      <c r="J385" s="11">
        <v>10.7512512207031</v>
      </c>
      <c r="K385" s="11">
        <v>0.0</v>
      </c>
      <c r="L385" s="11" t="s">
        <v>1879</v>
      </c>
      <c r="M385" s="11">
        <v>0.0</v>
      </c>
      <c r="N385" s="11" t="s">
        <v>2179</v>
      </c>
    </row>
    <row r="386">
      <c r="A386" s="11">
        <v>22.8937835693359</v>
      </c>
      <c r="B386" s="11">
        <v>15.7676181793212</v>
      </c>
      <c r="C386" s="11">
        <v>-1.0</v>
      </c>
      <c r="D386" s="11" t="s">
        <v>1061</v>
      </c>
      <c r="E386" s="11">
        <v>-1.0</v>
      </c>
      <c r="F386" s="11" t="s">
        <v>1453</v>
      </c>
      <c r="I386" s="11">
        <v>-23.6942977905273</v>
      </c>
      <c r="J386" s="11">
        <v>2.25961232185363</v>
      </c>
      <c r="K386" s="11">
        <v>0.0</v>
      </c>
      <c r="L386" s="11" t="s">
        <v>1879</v>
      </c>
      <c r="M386" s="11">
        <v>0.0</v>
      </c>
      <c r="N386" s="11" t="s">
        <v>2181</v>
      </c>
    </row>
    <row r="387">
      <c r="A387" s="11">
        <v>-34.8921394348144</v>
      </c>
      <c r="B387" s="11">
        <v>14.4724245071411</v>
      </c>
      <c r="C387" s="11">
        <v>0.0</v>
      </c>
      <c r="D387" s="11" t="s">
        <v>1061</v>
      </c>
      <c r="E387" s="11">
        <v>0.0</v>
      </c>
      <c r="F387" s="11" t="s">
        <v>1455</v>
      </c>
      <c r="I387" s="11">
        <v>-41.9647674560546</v>
      </c>
      <c r="J387" s="11">
        <v>1.62916600704193</v>
      </c>
      <c r="K387" s="11">
        <v>0.0</v>
      </c>
      <c r="L387" s="11" t="s">
        <v>1879</v>
      </c>
      <c r="M387" s="11">
        <v>0.0</v>
      </c>
      <c r="N387" s="11" t="s">
        <v>2182</v>
      </c>
    </row>
    <row r="388">
      <c r="A388" s="11">
        <v>-18.4892292022705</v>
      </c>
      <c r="B388" s="11">
        <v>46.7391204833984</v>
      </c>
      <c r="C388" s="11">
        <v>0.0</v>
      </c>
      <c r="D388" s="11" t="s">
        <v>1061</v>
      </c>
      <c r="E388" s="11">
        <v>0.0</v>
      </c>
      <c r="F388" s="11" t="s">
        <v>1457</v>
      </c>
      <c r="I388" s="11">
        <v>-23.4476737976074</v>
      </c>
      <c r="J388" s="11">
        <v>-14.7171974182128</v>
      </c>
      <c r="K388" s="11">
        <v>0.0</v>
      </c>
      <c r="L388" s="11" t="s">
        <v>1879</v>
      </c>
      <c r="M388" s="11">
        <v>0.0</v>
      </c>
      <c r="N388" s="11" t="s">
        <v>2184</v>
      </c>
    </row>
    <row r="389">
      <c r="A389" s="11">
        <v>-39.8983268737793</v>
      </c>
      <c r="B389" s="11">
        <v>16.211534500122</v>
      </c>
      <c r="C389" s="11">
        <v>0.0</v>
      </c>
      <c r="D389" s="11" t="s">
        <v>1061</v>
      </c>
      <c r="E389" s="11">
        <v>0.0</v>
      </c>
      <c r="F389" s="11" t="s">
        <v>1459</v>
      </c>
      <c r="I389" s="11">
        <v>-25.0731563568115</v>
      </c>
      <c r="J389" s="11">
        <v>-16.1892261505126</v>
      </c>
      <c r="K389" s="11">
        <v>0.0</v>
      </c>
      <c r="L389" s="11" t="s">
        <v>1879</v>
      </c>
      <c r="M389" s="11">
        <v>0.0</v>
      </c>
      <c r="N389" s="11" t="s">
        <v>2186</v>
      </c>
    </row>
    <row r="390">
      <c r="A390" s="11">
        <v>14.5311031341552</v>
      </c>
      <c r="B390" s="11">
        <v>19.0216388702392</v>
      </c>
      <c r="C390" s="11">
        <v>0.0</v>
      </c>
      <c r="D390" s="11" t="s">
        <v>1061</v>
      </c>
      <c r="E390" s="11">
        <v>0.0</v>
      </c>
      <c r="F390" s="11" t="s">
        <v>1461</v>
      </c>
      <c r="I390" s="11">
        <v>-33.7596282958984</v>
      </c>
      <c r="J390" s="11">
        <v>-34.2517623901367</v>
      </c>
      <c r="K390" s="11">
        <v>-1.0</v>
      </c>
      <c r="L390" s="11" t="s">
        <v>1879</v>
      </c>
      <c r="M390" s="11">
        <v>-1.0</v>
      </c>
      <c r="N390" s="11" t="s">
        <v>2187</v>
      </c>
    </row>
    <row r="391">
      <c r="A391" s="11">
        <v>57.9862213134765</v>
      </c>
      <c r="B391" s="11">
        <v>-2.1888563632965</v>
      </c>
      <c r="C391" s="11">
        <v>2.0</v>
      </c>
      <c r="D391" s="11" t="s">
        <v>1061</v>
      </c>
      <c r="E391" s="11">
        <v>2.0</v>
      </c>
      <c r="F391" s="11" t="s">
        <v>1463</v>
      </c>
      <c r="I391" s="11">
        <v>-43.7296829223632</v>
      </c>
      <c r="J391" s="11">
        <v>39.1780624389648</v>
      </c>
      <c r="K391" s="11">
        <v>0.0</v>
      </c>
      <c r="L391" s="11" t="s">
        <v>1879</v>
      </c>
      <c r="M391" s="11">
        <v>0.0</v>
      </c>
      <c r="N391" s="11" t="s">
        <v>2189</v>
      </c>
    </row>
    <row r="392">
      <c r="A392" s="11">
        <v>-42.9405937194824</v>
      </c>
      <c r="B392" s="11">
        <v>9.7446870803833</v>
      </c>
      <c r="C392" s="11">
        <v>0.0</v>
      </c>
      <c r="D392" s="11" t="s">
        <v>1061</v>
      </c>
      <c r="E392" s="11">
        <v>0.0</v>
      </c>
      <c r="F392" s="11" t="s">
        <v>1465</v>
      </c>
      <c r="I392" s="11">
        <v>-6.34130144119262</v>
      </c>
      <c r="J392" s="11">
        <v>54.3639488220214</v>
      </c>
      <c r="K392" s="11">
        <v>-1.0</v>
      </c>
      <c r="L392" s="11" t="s">
        <v>1879</v>
      </c>
      <c r="M392" s="11">
        <v>-1.0</v>
      </c>
      <c r="N392" s="11" t="s">
        <v>2191</v>
      </c>
    </row>
    <row r="393">
      <c r="A393" s="11">
        <v>9.63809871673584</v>
      </c>
      <c r="B393" s="11">
        <v>-32.0452499389648</v>
      </c>
      <c r="C393" s="11">
        <v>0.0</v>
      </c>
      <c r="D393" s="11" t="s">
        <v>1061</v>
      </c>
      <c r="E393" s="11">
        <v>0.0</v>
      </c>
      <c r="F393" s="11" t="s">
        <v>1466</v>
      </c>
      <c r="I393" s="11">
        <v>-29.6745147705078</v>
      </c>
      <c r="J393" s="11">
        <v>3.21022295951843</v>
      </c>
      <c r="K393" s="11">
        <v>0.0</v>
      </c>
      <c r="L393" s="11" t="s">
        <v>1879</v>
      </c>
      <c r="M393" s="11">
        <v>0.0</v>
      </c>
      <c r="N393" s="11" t="s">
        <v>2193</v>
      </c>
    </row>
    <row r="394">
      <c r="A394" s="11">
        <v>91.5478973388671</v>
      </c>
      <c r="B394" s="11">
        <v>12.2996988296508</v>
      </c>
      <c r="C394" s="11">
        <v>2.0</v>
      </c>
      <c r="D394" s="11" t="s">
        <v>1061</v>
      </c>
      <c r="E394" s="11">
        <v>2.0</v>
      </c>
      <c r="F394" s="11" t="s">
        <v>1468</v>
      </c>
      <c r="I394" s="11">
        <v>-47.5953712463378</v>
      </c>
      <c r="J394" s="11">
        <v>21.207498550415</v>
      </c>
      <c r="K394" s="11">
        <v>0.0</v>
      </c>
      <c r="L394" s="11" t="s">
        <v>1879</v>
      </c>
      <c r="M394" s="11">
        <v>0.0</v>
      </c>
      <c r="N394" s="11" t="s">
        <v>2194</v>
      </c>
    </row>
    <row r="395">
      <c r="A395" s="11">
        <v>-18.4892292022705</v>
      </c>
      <c r="B395" s="11">
        <v>46.7391204833984</v>
      </c>
      <c r="C395" s="11">
        <v>0.0</v>
      </c>
      <c r="D395" s="11" t="s">
        <v>1061</v>
      </c>
      <c r="E395" s="11">
        <v>0.0</v>
      </c>
      <c r="F395" s="11" t="s">
        <v>1470</v>
      </c>
      <c r="I395" s="11">
        <v>-50.3959274291992</v>
      </c>
      <c r="J395" s="11">
        <v>20.2815132141113</v>
      </c>
      <c r="K395" s="11">
        <v>0.0</v>
      </c>
      <c r="L395" s="11" t="s">
        <v>1879</v>
      </c>
      <c r="M395" s="11">
        <v>0.0</v>
      </c>
      <c r="N395" s="11" t="s">
        <v>2196</v>
      </c>
    </row>
    <row r="396">
      <c r="A396" s="11">
        <v>-8.28581237792968</v>
      </c>
      <c r="B396" s="11">
        <v>12.0618515014648</v>
      </c>
      <c r="C396" s="11">
        <v>0.0</v>
      </c>
      <c r="D396" s="11" t="s">
        <v>1061</v>
      </c>
      <c r="E396" s="11">
        <v>0.0</v>
      </c>
      <c r="F396" s="11" t="s">
        <v>1472</v>
      </c>
      <c r="I396" s="11">
        <v>-67.5023803710937</v>
      </c>
      <c r="J396" s="11">
        <v>-5.36895275115966</v>
      </c>
      <c r="K396" s="11">
        <v>0.0</v>
      </c>
      <c r="L396" s="11" t="s">
        <v>1879</v>
      </c>
      <c r="M396" s="11">
        <v>0.0</v>
      </c>
      <c r="N396" s="11" t="s">
        <v>2197</v>
      </c>
    </row>
    <row r="397">
      <c r="A397" s="11">
        <v>-0.934003353118896</v>
      </c>
      <c r="B397" s="11">
        <v>4.59030485153198</v>
      </c>
      <c r="C397" s="11">
        <v>0.0</v>
      </c>
      <c r="D397" s="11" t="s">
        <v>1061</v>
      </c>
      <c r="E397" s="11">
        <v>0.0</v>
      </c>
      <c r="F397" s="11" t="s">
        <v>1474</v>
      </c>
      <c r="I397" s="11">
        <v>-32.7617416381835</v>
      </c>
      <c r="J397" s="11">
        <v>-40.5722503662109</v>
      </c>
      <c r="K397" s="11">
        <v>0.0</v>
      </c>
      <c r="L397" s="11" t="s">
        <v>1879</v>
      </c>
      <c r="M397" s="11">
        <v>0.0</v>
      </c>
      <c r="N397" s="11" t="s">
        <v>2199</v>
      </c>
    </row>
    <row r="398">
      <c r="A398" s="11">
        <v>-42.4846611022949</v>
      </c>
      <c r="B398" s="11">
        <v>8.44636535644531</v>
      </c>
      <c r="C398" s="11">
        <v>0.0</v>
      </c>
      <c r="D398" s="11" t="s">
        <v>1061</v>
      </c>
      <c r="E398" s="11">
        <v>0.0</v>
      </c>
      <c r="F398" s="11" t="s">
        <v>1476</v>
      </c>
      <c r="I398" s="11">
        <v>-63.3773078918457</v>
      </c>
      <c r="J398" s="11">
        <v>35.2777519226074</v>
      </c>
      <c r="K398" s="11">
        <v>0.0</v>
      </c>
      <c r="L398" s="11" t="s">
        <v>1879</v>
      </c>
      <c r="M398" s="11">
        <v>0.0</v>
      </c>
      <c r="N398" s="11" t="s">
        <v>2200</v>
      </c>
    </row>
    <row r="399">
      <c r="A399" s="11">
        <v>-19.1398906707763</v>
      </c>
      <c r="B399" s="11">
        <v>25.6120147705078</v>
      </c>
      <c r="C399" s="11">
        <v>-1.0</v>
      </c>
      <c r="D399" s="11" t="s">
        <v>1061</v>
      </c>
      <c r="E399" s="11">
        <v>-1.0</v>
      </c>
      <c r="F399" s="11" t="s">
        <v>1478</v>
      </c>
      <c r="I399" s="11">
        <v>-39.219482421875</v>
      </c>
      <c r="J399" s="11">
        <v>8.17573070526123</v>
      </c>
      <c r="K399" s="11">
        <v>0.0</v>
      </c>
      <c r="L399" s="11" t="s">
        <v>1879</v>
      </c>
      <c r="M399" s="11">
        <v>0.0</v>
      </c>
      <c r="N399" s="11" t="s">
        <v>2202</v>
      </c>
    </row>
    <row r="400">
      <c r="A400" s="11">
        <v>11.7269210815429</v>
      </c>
      <c r="B400" s="11">
        <v>54.8678665161132</v>
      </c>
      <c r="C400" s="11">
        <v>0.0</v>
      </c>
      <c r="D400" s="11" t="s">
        <v>1061</v>
      </c>
      <c r="E400" s="11">
        <v>0.0</v>
      </c>
      <c r="F400" s="11" t="s">
        <v>1479</v>
      </c>
      <c r="I400" s="11">
        <v>-59.9432296752929</v>
      </c>
      <c r="J400" s="11">
        <v>0.15585957467556</v>
      </c>
      <c r="K400" s="11">
        <v>0.0</v>
      </c>
      <c r="L400" s="11" t="s">
        <v>1879</v>
      </c>
      <c r="M400" s="11">
        <v>0.0</v>
      </c>
      <c r="N400" s="11" t="s">
        <v>2204</v>
      </c>
    </row>
    <row r="401">
      <c r="A401" s="11">
        <v>0.514723598957061</v>
      </c>
      <c r="B401" s="11">
        <v>13.8571624755859</v>
      </c>
      <c r="C401" s="11">
        <v>0.0</v>
      </c>
      <c r="D401" s="11" t="s">
        <v>1061</v>
      </c>
      <c r="E401" s="11">
        <v>0.0</v>
      </c>
      <c r="F401" s="11" t="s">
        <v>1481</v>
      </c>
      <c r="I401" s="11">
        <v>-23.4766025543212</v>
      </c>
      <c r="J401" s="11">
        <v>8.88763618469238</v>
      </c>
      <c r="K401" s="11">
        <v>0.0</v>
      </c>
      <c r="L401" s="11" t="s">
        <v>1879</v>
      </c>
      <c r="M401" s="11">
        <v>0.0</v>
      </c>
      <c r="N401" s="11" t="s">
        <v>2206</v>
      </c>
    </row>
    <row r="402">
      <c r="A402" s="11">
        <v>-60.7864608764648</v>
      </c>
      <c r="B402" s="11">
        <v>36.612449645996</v>
      </c>
      <c r="C402" s="11">
        <v>-1.0</v>
      </c>
      <c r="D402" s="11" t="s">
        <v>1061</v>
      </c>
      <c r="E402" s="11">
        <v>-1.0</v>
      </c>
      <c r="F402" s="11" t="s">
        <v>1483</v>
      </c>
      <c r="I402" s="11">
        <v>-54.4929885864257</v>
      </c>
      <c r="J402" s="11">
        <v>-43.985065460205</v>
      </c>
      <c r="K402" s="11">
        <v>0.0</v>
      </c>
      <c r="L402" s="11" t="s">
        <v>1879</v>
      </c>
      <c r="M402" s="11">
        <v>0.0</v>
      </c>
      <c r="N402" s="11" t="s">
        <v>2209</v>
      </c>
    </row>
    <row r="403">
      <c r="A403" s="11">
        <v>-28.1456756591796</v>
      </c>
      <c r="B403" s="11">
        <v>16.0353527069091</v>
      </c>
      <c r="C403" s="11">
        <v>0.0</v>
      </c>
      <c r="D403" s="11" t="s">
        <v>1061</v>
      </c>
      <c r="E403" s="11">
        <v>0.0</v>
      </c>
      <c r="F403" s="11" t="s">
        <v>1484</v>
      </c>
      <c r="I403" s="11">
        <v>-52.963882446289</v>
      </c>
      <c r="J403" s="11">
        <v>-4.09143877029418</v>
      </c>
      <c r="K403" s="11">
        <v>0.0</v>
      </c>
      <c r="L403" s="11" t="s">
        <v>1879</v>
      </c>
      <c r="M403" s="11">
        <v>0.0</v>
      </c>
      <c r="N403" s="11" t="s">
        <v>2211</v>
      </c>
    </row>
    <row r="404">
      <c r="A404" s="11">
        <v>11.5972366333007</v>
      </c>
      <c r="B404" s="11">
        <v>-8.54665374755859</v>
      </c>
      <c r="C404" s="11">
        <v>0.0</v>
      </c>
      <c r="D404" s="11" t="s">
        <v>1061</v>
      </c>
      <c r="E404" s="11">
        <v>0.0</v>
      </c>
      <c r="F404" s="11" t="s">
        <v>1486</v>
      </c>
      <c r="I404" s="11">
        <v>-26.17919921875</v>
      </c>
      <c r="J404" s="11">
        <v>11.968747138977</v>
      </c>
      <c r="K404" s="11">
        <v>0.0</v>
      </c>
      <c r="L404" s="11" t="s">
        <v>1879</v>
      </c>
      <c r="M404" s="11">
        <v>0.0</v>
      </c>
      <c r="N404" s="11" t="s">
        <v>2213</v>
      </c>
    </row>
    <row r="405">
      <c r="A405" s="11">
        <v>27.6667938232421</v>
      </c>
      <c r="B405" s="11">
        <v>-33.4763755798339</v>
      </c>
      <c r="C405" s="11">
        <v>0.0</v>
      </c>
      <c r="D405" s="11" t="s">
        <v>1061</v>
      </c>
      <c r="E405" s="11">
        <v>0.0</v>
      </c>
      <c r="F405" s="11" t="s">
        <v>1488</v>
      </c>
      <c r="I405" s="11">
        <v>-46.5737037658691</v>
      </c>
      <c r="J405" s="11">
        <v>-2.93588328361511</v>
      </c>
      <c r="K405" s="11">
        <v>0.0</v>
      </c>
      <c r="L405" s="11" t="s">
        <v>1879</v>
      </c>
      <c r="M405" s="11">
        <v>0.0</v>
      </c>
      <c r="N405" s="11" t="s">
        <v>2215</v>
      </c>
    </row>
    <row r="406">
      <c r="A406" s="11">
        <v>-41.7154998779296</v>
      </c>
      <c r="B406" s="11">
        <v>16.9834899902343</v>
      </c>
      <c r="C406" s="11">
        <v>0.0</v>
      </c>
      <c r="D406" s="11" t="s">
        <v>1061</v>
      </c>
      <c r="E406" s="11">
        <v>0.0</v>
      </c>
      <c r="F406" s="11" t="s">
        <v>1490</v>
      </c>
      <c r="I406" s="11">
        <v>-62.2858123779296</v>
      </c>
      <c r="J406" s="11">
        <v>3.45171332359313</v>
      </c>
      <c r="K406" s="11">
        <v>0.0</v>
      </c>
      <c r="L406" s="11" t="s">
        <v>1879</v>
      </c>
      <c r="M406" s="11">
        <v>0.0</v>
      </c>
      <c r="N406" s="11" t="s">
        <v>2217</v>
      </c>
    </row>
    <row r="407">
      <c r="A407" s="11">
        <v>-25.5441131591796</v>
      </c>
      <c r="B407" s="11">
        <v>19.2863788604736</v>
      </c>
      <c r="C407" s="11">
        <v>0.0</v>
      </c>
      <c r="D407" s="11" t="s">
        <v>1061</v>
      </c>
      <c r="E407" s="11">
        <v>0.0</v>
      </c>
      <c r="F407" s="11" t="s">
        <v>1492</v>
      </c>
      <c r="I407" s="11">
        <v>16.7915649414062</v>
      </c>
      <c r="J407" s="11">
        <v>37.0192375183105</v>
      </c>
      <c r="K407" s="11">
        <v>0.0</v>
      </c>
      <c r="L407" s="11" t="s">
        <v>1390</v>
      </c>
      <c r="M407" s="11">
        <v>0.0</v>
      </c>
      <c r="N407" s="11" t="s">
        <v>2219</v>
      </c>
    </row>
    <row r="408">
      <c r="A408" s="11">
        <v>-18.4892292022705</v>
      </c>
      <c r="B408" s="11">
        <v>46.7391204833984</v>
      </c>
      <c r="C408" s="11">
        <v>0.0</v>
      </c>
      <c r="D408" s="11" t="s">
        <v>1061</v>
      </c>
      <c r="E408" s="11">
        <v>0.0</v>
      </c>
      <c r="F408" s="11" t="s">
        <v>1494</v>
      </c>
      <c r="I408" s="11">
        <v>18.6478843688964</v>
      </c>
      <c r="J408" s="11">
        <v>3.71832203865051</v>
      </c>
      <c r="K408" s="11">
        <v>1.0</v>
      </c>
      <c r="L408" s="11" t="s">
        <v>1390</v>
      </c>
      <c r="M408" s="11">
        <v>1.0</v>
      </c>
      <c r="N408" s="11" t="s">
        <v>2221</v>
      </c>
    </row>
    <row r="409">
      <c r="A409" s="11">
        <v>-26.4832935333251</v>
      </c>
      <c r="B409" s="11">
        <v>2.95716953277587</v>
      </c>
      <c r="C409" s="11">
        <v>0.0</v>
      </c>
      <c r="D409" s="11" t="s">
        <v>1061</v>
      </c>
      <c r="E409" s="11">
        <v>0.0</v>
      </c>
      <c r="F409" s="11" t="s">
        <v>1495</v>
      </c>
      <c r="I409" s="11">
        <v>6.2773699760437</v>
      </c>
      <c r="J409" s="11">
        <v>12.6766157150268</v>
      </c>
      <c r="K409" s="11">
        <v>0.0</v>
      </c>
      <c r="L409" s="11" t="s">
        <v>1390</v>
      </c>
      <c r="M409" s="11">
        <v>0.0</v>
      </c>
      <c r="N409" s="11" t="s">
        <v>2223</v>
      </c>
    </row>
    <row r="410">
      <c r="A410" s="11">
        <v>-52.7960548400878</v>
      </c>
      <c r="B410" s="11">
        <v>-46.0614852905273</v>
      </c>
      <c r="C410" s="11">
        <v>0.0</v>
      </c>
      <c r="D410" s="11" t="s">
        <v>1061</v>
      </c>
      <c r="E410" s="11">
        <v>0.0</v>
      </c>
      <c r="F410" s="11" t="s">
        <v>1498</v>
      </c>
      <c r="I410" s="11">
        <v>-12.1434326171875</v>
      </c>
      <c r="J410" s="11">
        <v>-28.372179031372</v>
      </c>
      <c r="K410" s="11">
        <v>0.0</v>
      </c>
      <c r="L410" s="11" t="s">
        <v>1390</v>
      </c>
      <c r="M410" s="11">
        <v>0.0</v>
      </c>
      <c r="N410" s="11" t="s">
        <v>2225</v>
      </c>
    </row>
    <row r="411">
      <c r="A411" s="11">
        <v>-4.08734655380249</v>
      </c>
      <c r="B411" s="11">
        <v>27.0450401306152</v>
      </c>
      <c r="C411" s="11">
        <v>0.0</v>
      </c>
      <c r="D411" s="11" t="s">
        <v>1061</v>
      </c>
      <c r="E411" s="11">
        <v>0.0</v>
      </c>
      <c r="F411" s="11" t="s">
        <v>1500</v>
      </c>
      <c r="I411" s="11">
        <v>37.2774200439453</v>
      </c>
      <c r="J411" s="11">
        <v>-38.0159530639648</v>
      </c>
      <c r="K411" s="11">
        <v>0.0</v>
      </c>
      <c r="L411" s="11" t="s">
        <v>1390</v>
      </c>
      <c r="M411" s="11">
        <v>0.0</v>
      </c>
      <c r="N411" s="11" t="s">
        <v>2227</v>
      </c>
    </row>
    <row r="412">
      <c r="A412" s="11">
        <v>3.34681010246276</v>
      </c>
      <c r="B412" s="11">
        <v>-20.0051383972167</v>
      </c>
      <c r="C412" s="11">
        <v>0.0</v>
      </c>
      <c r="D412" s="11" t="s">
        <v>1061</v>
      </c>
      <c r="E412" s="11">
        <v>0.0</v>
      </c>
      <c r="F412" s="11" t="s">
        <v>1501</v>
      </c>
      <c r="I412" s="11">
        <v>37.9474067687988</v>
      </c>
      <c r="J412" s="11">
        <v>-40.8707046508789</v>
      </c>
      <c r="K412" s="11">
        <v>0.0</v>
      </c>
      <c r="L412" s="11" t="s">
        <v>1390</v>
      </c>
      <c r="M412" s="11">
        <v>0.0</v>
      </c>
      <c r="N412" s="11" t="s">
        <v>2229</v>
      </c>
    </row>
    <row r="413">
      <c r="A413" s="11">
        <v>87.9595870971679</v>
      </c>
      <c r="B413" s="11">
        <v>13.7876319885253</v>
      </c>
      <c r="C413" s="11">
        <v>2.0</v>
      </c>
      <c r="D413" s="11" t="s">
        <v>1061</v>
      </c>
      <c r="E413" s="11">
        <v>2.0</v>
      </c>
      <c r="F413" s="11" t="s">
        <v>1503</v>
      </c>
      <c r="I413" s="11">
        <v>16.7915649414062</v>
      </c>
      <c r="J413" s="11">
        <v>37.0192375183105</v>
      </c>
      <c r="K413" s="11">
        <v>0.0</v>
      </c>
      <c r="L413" s="11" t="s">
        <v>1390</v>
      </c>
      <c r="M413" s="11">
        <v>0.0</v>
      </c>
      <c r="N413" s="11" t="s">
        <v>2231</v>
      </c>
    </row>
    <row r="414">
      <c r="A414" s="11">
        <v>-10.2576217651367</v>
      </c>
      <c r="B414" s="11">
        <v>16.4958705902099</v>
      </c>
      <c r="C414" s="11">
        <v>0.0</v>
      </c>
      <c r="D414" s="11" t="s">
        <v>1061</v>
      </c>
      <c r="E414" s="11">
        <v>0.0</v>
      </c>
      <c r="F414" s="11" t="s">
        <v>1505</v>
      </c>
      <c r="I414" s="11">
        <v>0.0264723431318998</v>
      </c>
      <c r="J414" s="11">
        <v>-26.5155277252197</v>
      </c>
      <c r="K414" s="11">
        <v>-1.0</v>
      </c>
      <c r="L414" s="11" t="s">
        <v>1390</v>
      </c>
      <c r="M414" s="11">
        <v>-1.0</v>
      </c>
      <c r="N414" s="11" t="s">
        <v>2234</v>
      </c>
    </row>
    <row r="415">
      <c r="A415" s="11">
        <v>-10.8850326538085</v>
      </c>
      <c r="B415" s="11">
        <v>15.7708377838134</v>
      </c>
      <c r="C415" s="11">
        <v>0.0</v>
      </c>
      <c r="D415" s="11" t="s">
        <v>1061</v>
      </c>
      <c r="E415" s="11">
        <v>0.0</v>
      </c>
      <c r="F415" s="11" t="s">
        <v>1506</v>
      </c>
      <c r="I415" s="11">
        <v>48.5044860839843</v>
      </c>
      <c r="J415" s="11">
        <v>20.3400363922119</v>
      </c>
      <c r="K415" s="11">
        <v>0.0</v>
      </c>
      <c r="L415" s="11" t="s">
        <v>1390</v>
      </c>
      <c r="M415" s="11">
        <v>0.0</v>
      </c>
      <c r="N415" s="11" t="s">
        <v>2236</v>
      </c>
    </row>
    <row r="416">
      <c r="A416" s="11">
        <v>15.6404790878295</v>
      </c>
      <c r="B416" s="11">
        <v>18.9701290130615</v>
      </c>
      <c r="C416" s="11">
        <v>0.0</v>
      </c>
      <c r="D416" s="11" t="s">
        <v>1061</v>
      </c>
      <c r="E416" s="11">
        <v>0.0</v>
      </c>
      <c r="F416" s="11" t="s">
        <v>1508</v>
      </c>
      <c r="I416" s="11">
        <v>39.9924430847168</v>
      </c>
      <c r="J416" s="11">
        <v>-39.1859970092773</v>
      </c>
      <c r="K416" s="11">
        <v>0.0</v>
      </c>
      <c r="L416" s="11" t="s">
        <v>1390</v>
      </c>
      <c r="M416" s="11">
        <v>0.0</v>
      </c>
      <c r="N416" s="11" t="s">
        <v>2237</v>
      </c>
    </row>
    <row r="417">
      <c r="A417" s="11">
        <v>9.01202964782714</v>
      </c>
      <c r="B417" s="11">
        <v>-30.8825645446777</v>
      </c>
      <c r="C417" s="11">
        <v>0.0</v>
      </c>
      <c r="D417" s="11" t="s">
        <v>1061</v>
      </c>
      <c r="E417" s="11">
        <v>0.0</v>
      </c>
      <c r="F417" s="11" t="s">
        <v>1511</v>
      </c>
      <c r="I417" s="11">
        <v>27.7963008880615</v>
      </c>
      <c r="J417" s="11">
        <v>-8.70913791656494</v>
      </c>
      <c r="K417" s="11">
        <v>1.0</v>
      </c>
      <c r="L417" s="11" t="s">
        <v>1390</v>
      </c>
      <c r="M417" s="11">
        <v>1.0</v>
      </c>
      <c r="N417" s="11" t="s">
        <v>2239</v>
      </c>
    </row>
    <row r="418">
      <c r="A418" s="11">
        <v>30.4019432067871</v>
      </c>
      <c r="B418" s="11">
        <v>-15.9500265121459</v>
      </c>
      <c r="C418" s="11">
        <v>0.0</v>
      </c>
      <c r="D418" s="11" t="s">
        <v>1061</v>
      </c>
      <c r="E418" s="11">
        <v>0.0</v>
      </c>
      <c r="F418" s="11" t="s">
        <v>1513</v>
      </c>
      <c r="I418" s="11">
        <v>-0.0474700033664703</v>
      </c>
      <c r="J418" s="11">
        <v>-5.32686710357666</v>
      </c>
      <c r="K418" s="11">
        <v>0.0</v>
      </c>
      <c r="L418" s="11" t="s">
        <v>1390</v>
      </c>
      <c r="M418" s="11">
        <v>0.0</v>
      </c>
      <c r="N418" s="11" t="s">
        <v>2241</v>
      </c>
    </row>
    <row r="419">
      <c r="A419" s="11">
        <v>-36.76753616333</v>
      </c>
      <c r="B419" s="11">
        <v>-51.3219718933105</v>
      </c>
      <c r="C419" s="11">
        <v>0.0</v>
      </c>
      <c r="D419" s="11" t="s">
        <v>1515</v>
      </c>
      <c r="E419" s="11">
        <v>0.0</v>
      </c>
      <c r="F419" s="11" t="s">
        <v>1517</v>
      </c>
      <c r="I419" s="11">
        <v>16.7915649414062</v>
      </c>
      <c r="J419" s="11">
        <v>37.0192375183105</v>
      </c>
      <c r="K419" s="11">
        <v>0.0</v>
      </c>
      <c r="L419" s="11" t="s">
        <v>1390</v>
      </c>
      <c r="M419" s="11">
        <v>0.0</v>
      </c>
      <c r="N419" s="11" t="s">
        <v>2243</v>
      </c>
    </row>
    <row r="420">
      <c r="A420" s="11">
        <v>-51.9650154113769</v>
      </c>
      <c r="B420" s="11">
        <v>-14.1486415863037</v>
      </c>
      <c r="C420" s="11">
        <v>0.0</v>
      </c>
      <c r="D420" s="11" t="s">
        <v>1515</v>
      </c>
      <c r="E420" s="11">
        <v>0.0</v>
      </c>
      <c r="F420" s="11" t="s">
        <v>1519</v>
      </c>
      <c r="I420" s="11">
        <v>65.7146606445312</v>
      </c>
      <c r="J420" s="11">
        <v>2.50455522537231</v>
      </c>
      <c r="K420" s="11">
        <v>2.0</v>
      </c>
      <c r="L420" s="11" t="s">
        <v>1390</v>
      </c>
      <c r="M420" s="11">
        <v>2.0</v>
      </c>
      <c r="N420" s="11" t="s">
        <v>2245</v>
      </c>
    </row>
    <row r="421">
      <c r="A421" s="11">
        <v>29.1982898712158</v>
      </c>
      <c r="B421" s="11">
        <v>17.7768535614013</v>
      </c>
      <c r="C421" s="11">
        <v>0.0</v>
      </c>
      <c r="D421" s="11" t="s">
        <v>1515</v>
      </c>
      <c r="E421" s="11">
        <v>0.0</v>
      </c>
      <c r="F421" s="11" t="s">
        <v>2247</v>
      </c>
      <c r="I421" s="11">
        <v>82.1104507446289</v>
      </c>
      <c r="J421" s="11">
        <v>-21.5135173797607</v>
      </c>
      <c r="K421" s="11">
        <v>0.0</v>
      </c>
      <c r="L421" s="11" t="s">
        <v>1390</v>
      </c>
      <c r="M421" s="11">
        <v>0.0</v>
      </c>
      <c r="N421" s="11" t="s">
        <v>2248</v>
      </c>
    </row>
    <row r="422">
      <c r="A422" s="11">
        <v>-50.0065231323242</v>
      </c>
      <c r="B422" s="11">
        <v>-34.2007598876953</v>
      </c>
      <c r="C422" s="11">
        <v>0.0</v>
      </c>
      <c r="D422" s="11" t="s">
        <v>1515</v>
      </c>
      <c r="E422" s="11">
        <v>0.0</v>
      </c>
      <c r="F422" s="11" t="s">
        <v>1522</v>
      </c>
      <c r="I422" s="11">
        <v>16.1950397491455</v>
      </c>
      <c r="J422" s="11">
        <v>39.8183937072753</v>
      </c>
      <c r="K422" s="11">
        <v>-1.0</v>
      </c>
      <c r="L422" s="11" t="s">
        <v>1390</v>
      </c>
      <c r="M422" s="11">
        <v>-1.0</v>
      </c>
      <c r="N422" s="11" t="s">
        <v>2250</v>
      </c>
    </row>
    <row r="423">
      <c r="A423" s="11">
        <v>38.179458618164</v>
      </c>
      <c r="B423" s="11">
        <v>-14.0203275680542</v>
      </c>
      <c r="C423" s="11">
        <v>0.0</v>
      </c>
      <c r="D423" s="11" t="s">
        <v>1515</v>
      </c>
      <c r="E423" s="11">
        <v>0.0</v>
      </c>
      <c r="F423" s="11" t="s">
        <v>1524</v>
      </c>
      <c r="I423" s="11">
        <v>39.9924430847168</v>
      </c>
      <c r="J423" s="11">
        <v>-39.1859970092773</v>
      </c>
      <c r="K423" s="11">
        <v>0.0</v>
      </c>
      <c r="L423" s="11" t="s">
        <v>1390</v>
      </c>
      <c r="M423" s="11">
        <v>0.0</v>
      </c>
      <c r="N423" s="11" t="s">
        <v>2251</v>
      </c>
    </row>
    <row r="424">
      <c r="A424" s="11">
        <v>-41.0272712707519</v>
      </c>
      <c r="B424" s="11">
        <v>-23.8184185028076</v>
      </c>
      <c r="C424" s="11">
        <v>0.0</v>
      </c>
      <c r="D424" s="11" t="s">
        <v>1515</v>
      </c>
      <c r="E424" s="11">
        <v>0.0</v>
      </c>
      <c r="F424" s="11" t="s">
        <v>1526</v>
      </c>
      <c r="I424" s="11">
        <v>39.9924430847168</v>
      </c>
      <c r="J424" s="11">
        <v>-39.1859970092773</v>
      </c>
      <c r="K424" s="11">
        <v>0.0</v>
      </c>
      <c r="L424" s="11" t="s">
        <v>1390</v>
      </c>
      <c r="M424" s="11">
        <v>0.0</v>
      </c>
      <c r="N424" s="11" t="s">
        <v>2253</v>
      </c>
    </row>
    <row r="425">
      <c r="A425" s="11">
        <v>0.513670146465301</v>
      </c>
      <c r="B425" s="11">
        <v>48.6871452331543</v>
      </c>
      <c r="C425" s="11">
        <v>0.0</v>
      </c>
      <c r="D425" s="11" t="s">
        <v>1515</v>
      </c>
      <c r="E425" s="11">
        <v>0.0</v>
      </c>
      <c r="F425" s="11" t="s">
        <v>1528</v>
      </c>
      <c r="I425" s="11">
        <v>28.4498023986816</v>
      </c>
      <c r="J425" s="11">
        <v>-19.4926490783691</v>
      </c>
      <c r="K425" s="11">
        <v>-2.0</v>
      </c>
      <c r="L425" s="11" t="s">
        <v>1390</v>
      </c>
      <c r="M425" s="11">
        <v>-2.0</v>
      </c>
      <c r="N425" s="11" t="s">
        <v>2255</v>
      </c>
    </row>
    <row r="426">
      <c r="A426" s="11">
        <v>27.0089874267578</v>
      </c>
      <c r="B426" s="11">
        <v>36.6058082580566</v>
      </c>
      <c r="C426" s="11">
        <v>2.0</v>
      </c>
      <c r="D426" s="11" t="s">
        <v>1515</v>
      </c>
      <c r="E426" s="11">
        <v>2.0</v>
      </c>
      <c r="F426" s="11" t="s">
        <v>2256</v>
      </c>
      <c r="I426" s="11">
        <v>-10.7749671936035</v>
      </c>
      <c r="J426" s="11">
        <v>-26.5693054199218</v>
      </c>
      <c r="K426" s="11">
        <v>0.0</v>
      </c>
      <c r="L426" s="11" t="s">
        <v>1390</v>
      </c>
      <c r="M426" s="11">
        <v>0.0</v>
      </c>
      <c r="N426" s="11" t="s">
        <v>2258</v>
      </c>
    </row>
    <row r="427">
      <c r="A427" s="11">
        <v>7.5264549255371</v>
      </c>
      <c r="B427" s="11">
        <v>61.3688507080078</v>
      </c>
      <c r="C427" s="11">
        <v>0.0</v>
      </c>
      <c r="D427" s="11" t="s">
        <v>1515</v>
      </c>
      <c r="E427" s="11">
        <v>0.0</v>
      </c>
      <c r="F427" s="11" t="s">
        <v>1530</v>
      </c>
      <c r="I427" s="11">
        <v>25.3424415588378</v>
      </c>
      <c r="J427" s="11">
        <v>-1.88763511180877</v>
      </c>
      <c r="K427" s="11">
        <v>0.0</v>
      </c>
      <c r="L427" s="11" t="s">
        <v>1390</v>
      </c>
      <c r="M427" s="11">
        <v>0.0</v>
      </c>
      <c r="N427" s="11" t="s">
        <v>2259</v>
      </c>
    </row>
    <row r="428">
      <c r="A428" s="11">
        <v>-30.7061824798584</v>
      </c>
      <c r="B428" s="11">
        <v>-7.8486738204956</v>
      </c>
      <c r="C428" s="11">
        <v>0.0</v>
      </c>
      <c r="D428" s="11" t="s">
        <v>1515</v>
      </c>
      <c r="E428" s="11">
        <v>0.0</v>
      </c>
      <c r="F428" s="11" t="s">
        <v>1532</v>
      </c>
      <c r="I428" s="11">
        <v>13.2900276184082</v>
      </c>
      <c r="J428" s="11">
        <v>10.5930929183959</v>
      </c>
      <c r="K428" s="11">
        <v>0.0</v>
      </c>
      <c r="L428" s="11" t="s">
        <v>1390</v>
      </c>
      <c r="M428" s="11">
        <v>0.0</v>
      </c>
      <c r="N428" s="11" t="s">
        <v>2261</v>
      </c>
    </row>
    <row r="429">
      <c r="A429" s="11">
        <v>-60.31294631958</v>
      </c>
      <c r="B429" s="11">
        <v>-19.614761352539</v>
      </c>
      <c r="C429" s="11">
        <v>0.0</v>
      </c>
      <c r="D429" s="11" t="s">
        <v>1515</v>
      </c>
      <c r="E429" s="11">
        <v>0.0</v>
      </c>
      <c r="F429" s="11" t="s">
        <v>1534</v>
      </c>
      <c r="I429" s="11">
        <v>-12.8063335418701</v>
      </c>
      <c r="J429" s="11">
        <v>-27.0763359069824</v>
      </c>
      <c r="K429" s="11">
        <v>0.0</v>
      </c>
      <c r="L429" s="11" t="s">
        <v>1390</v>
      </c>
      <c r="M429" s="11">
        <v>0.0</v>
      </c>
      <c r="N429" s="11" t="s">
        <v>2263</v>
      </c>
    </row>
    <row r="430">
      <c r="A430" s="11">
        <v>-76.2557907104492</v>
      </c>
      <c r="B430" s="11">
        <v>-15.4695358276367</v>
      </c>
      <c r="C430" s="11">
        <v>0.0</v>
      </c>
      <c r="D430" s="11" t="s">
        <v>1515</v>
      </c>
      <c r="E430" s="11">
        <v>0.0</v>
      </c>
      <c r="F430" s="11" t="s">
        <v>1536</v>
      </c>
      <c r="I430" s="11">
        <v>82.1104507446289</v>
      </c>
      <c r="J430" s="11">
        <v>-21.5135173797607</v>
      </c>
      <c r="K430" s="11">
        <v>0.0</v>
      </c>
      <c r="L430" s="11" t="s">
        <v>1390</v>
      </c>
      <c r="M430" s="11">
        <v>0.0</v>
      </c>
      <c r="N430" s="11" t="s">
        <v>2265</v>
      </c>
    </row>
    <row r="431">
      <c r="A431" s="11">
        <v>-10.2214946746826</v>
      </c>
      <c r="B431" s="11">
        <v>24.9988746643066</v>
      </c>
      <c r="C431" s="11">
        <v>-1.0</v>
      </c>
      <c r="D431" s="11" t="s">
        <v>1515</v>
      </c>
      <c r="E431" s="11">
        <v>-1.0</v>
      </c>
      <c r="F431" s="11" t="s">
        <v>1537</v>
      </c>
      <c r="I431" s="11">
        <v>24.3928279876709</v>
      </c>
      <c r="J431" s="11">
        <v>-20.9389572143554</v>
      </c>
      <c r="K431" s="11">
        <v>-1.0</v>
      </c>
      <c r="L431" s="11" t="s">
        <v>1390</v>
      </c>
      <c r="M431" s="11">
        <v>-1.0</v>
      </c>
      <c r="N431" s="11" t="s">
        <v>2267</v>
      </c>
    </row>
    <row r="432">
      <c r="A432" s="11">
        <v>34.0648078918457</v>
      </c>
      <c r="B432" s="11">
        <v>-39.8403244018554</v>
      </c>
      <c r="C432" s="11">
        <v>-1.0</v>
      </c>
      <c r="D432" s="11" t="s">
        <v>1515</v>
      </c>
      <c r="E432" s="11">
        <v>-1.0</v>
      </c>
      <c r="F432" s="11" t="s">
        <v>1538</v>
      </c>
      <c r="I432" s="11">
        <v>10.8124055862426</v>
      </c>
      <c r="J432" s="11">
        <v>-14.8847522735595</v>
      </c>
      <c r="K432" s="11">
        <v>0.0</v>
      </c>
      <c r="L432" s="11" t="s">
        <v>1390</v>
      </c>
      <c r="M432" s="11">
        <v>0.0</v>
      </c>
      <c r="N432" s="11" t="s">
        <v>2269</v>
      </c>
    </row>
    <row r="433">
      <c r="A433" s="11">
        <v>-41.3500213623046</v>
      </c>
      <c r="B433" s="11">
        <v>-22.7050094604492</v>
      </c>
      <c r="C433" s="11">
        <v>0.0</v>
      </c>
      <c r="D433" s="11" t="s">
        <v>1515</v>
      </c>
      <c r="E433" s="11">
        <v>0.0</v>
      </c>
      <c r="F433" s="11" t="s">
        <v>1540</v>
      </c>
      <c r="I433" s="11">
        <v>20.3282680511474</v>
      </c>
      <c r="J433" s="11">
        <v>37.0164718627929</v>
      </c>
      <c r="K433" s="11">
        <v>-1.0</v>
      </c>
      <c r="L433" s="11" t="s">
        <v>1390</v>
      </c>
      <c r="M433" s="11">
        <v>-1.0</v>
      </c>
      <c r="N433" s="11" t="s">
        <v>2270</v>
      </c>
    </row>
    <row r="434">
      <c r="A434" s="11">
        <v>-14.9988985061645</v>
      </c>
      <c r="B434" s="11">
        <v>-23.7149257659912</v>
      </c>
      <c r="C434" s="11">
        <v>0.0</v>
      </c>
      <c r="D434" s="11" t="s">
        <v>1515</v>
      </c>
      <c r="E434" s="11">
        <v>0.0</v>
      </c>
      <c r="F434" s="11" t="s">
        <v>1543</v>
      </c>
      <c r="I434" s="11">
        <v>49.7834129333496</v>
      </c>
      <c r="J434" s="11">
        <v>20.454927444458</v>
      </c>
      <c r="K434" s="11">
        <v>0.0</v>
      </c>
      <c r="L434" s="11" t="s">
        <v>1390</v>
      </c>
      <c r="M434" s="11">
        <v>0.0</v>
      </c>
      <c r="N434" s="11" t="s">
        <v>2272</v>
      </c>
    </row>
    <row r="435">
      <c r="A435" s="11">
        <v>-42.7414321899414</v>
      </c>
      <c r="B435" s="11">
        <v>-13.5607032775878</v>
      </c>
      <c r="C435" s="11">
        <v>0.0</v>
      </c>
      <c r="D435" s="11" t="s">
        <v>1515</v>
      </c>
      <c r="E435" s="11">
        <v>0.0</v>
      </c>
      <c r="F435" s="11" t="s">
        <v>1545</v>
      </c>
      <c r="I435" s="11">
        <v>-9.96838283538818</v>
      </c>
      <c r="J435" s="11">
        <v>63.0201797485351</v>
      </c>
      <c r="K435" s="11">
        <v>-2.0</v>
      </c>
      <c r="L435" s="11" t="s">
        <v>1879</v>
      </c>
      <c r="M435" s="11">
        <v>-2.0</v>
      </c>
      <c r="N435" s="11" t="s">
        <v>2274</v>
      </c>
    </row>
    <row r="436">
      <c r="A436" s="11">
        <v>14.7533950805664</v>
      </c>
      <c r="B436" s="11">
        <v>-17.833438873291</v>
      </c>
      <c r="C436" s="11">
        <v>0.0</v>
      </c>
      <c r="D436" s="11" t="s">
        <v>1515</v>
      </c>
      <c r="E436" s="11">
        <v>0.0</v>
      </c>
      <c r="F436" s="11" t="s">
        <v>1547</v>
      </c>
      <c r="I436" s="11">
        <v>-33.7083625793457</v>
      </c>
      <c r="J436" s="11">
        <v>1.652508020401</v>
      </c>
      <c r="K436" s="11">
        <v>0.0</v>
      </c>
      <c r="L436" s="11" t="s">
        <v>1879</v>
      </c>
      <c r="M436" s="11">
        <v>0.0</v>
      </c>
      <c r="N436" s="11" t="s">
        <v>2276</v>
      </c>
    </row>
    <row r="437">
      <c r="A437" s="11">
        <v>-3.51922297477722</v>
      </c>
      <c r="B437" s="11">
        <v>-28.4330940246582</v>
      </c>
      <c r="C437" s="11">
        <v>0.0</v>
      </c>
      <c r="D437" s="11" t="s">
        <v>1515</v>
      </c>
      <c r="E437" s="11">
        <v>0.0</v>
      </c>
      <c r="F437" s="11" t="s">
        <v>1549</v>
      </c>
      <c r="I437" s="11">
        <v>-50.3657684326171</v>
      </c>
      <c r="J437" s="11">
        <v>7.57598638534545</v>
      </c>
      <c r="K437" s="11">
        <v>0.0</v>
      </c>
      <c r="L437" s="11" t="s">
        <v>1879</v>
      </c>
      <c r="M437" s="11">
        <v>0.0</v>
      </c>
      <c r="N437" s="11" t="s">
        <v>2278</v>
      </c>
    </row>
    <row r="438">
      <c r="A438" s="11">
        <v>-25.7729187011718</v>
      </c>
      <c r="B438" s="11">
        <v>-36.6237335205078</v>
      </c>
      <c r="C438" s="11">
        <v>0.0</v>
      </c>
      <c r="D438" s="11" t="s">
        <v>1515</v>
      </c>
      <c r="E438" s="11">
        <v>0.0</v>
      </c>
      <c r="F438" s="11" t="s">
        <v>1551</v>
      </c>
      <c r="I438" s="11">
        <v>-51.8067321777343</v>
      </c>
      <c r="J438" s="11">
        <v>5.23229360580444</v>
      </c>
      <c r="K438" s="11">
        <v>0.0</v>
      </c>
      <c r="L438" s="11" t="s">
        <v>1879</v>
      </c>
      <c r="M438" s="11">
        <v>0.0</v>
      </c>
      <c r="N438" s="11" t="s">
        <v>2280</v>
      </c>
    </row>
    <row r="439">
      <c r="A439" s="11">
        <v>71.0292358398437</v>
      </c>
      <c r="B439" s="11">
        <v>-3.55038785934448</v>
      </c>
      <c r="C439" s="11">
        <v>2.0</v>
      </c>
      <c r="D439" s="11" t="s">
        <v>1515</v>
      </c>
      <c r="E439" s="11">
        <v>2.0</v>
      </c>
      <c r="F439" s="11" t="s">
        <v>1553</v>
      </c>
      <c r="I439" s="11">
        <v>-68.4626770019531</v>
      </c>
      <c r="J439" s="11">
        <v>19.5999374389648</v>
      </c>
      <c r="K439" s="11">
        <v>0.0</v>
      </c>
      <c r="L439" s="11" t="s">
        <v>1879</v>
      </c>
      <c r="M439" s="11">
        <v>0.0</v>
      </c>
      <c r="N439" s="11" t="s">
        <v>2282</v>
      </c>
    </row>
    <row r="440">
      <c r="A440" s="11">
        <v>-4.83694839477539</v>
      </c>
      <c r="B440" s="11">
        <v>20.6083946228027</v>
      </c>
      <c r="C440" s="11">
        <v>0.0</v>
      </c>
      <c r="D440" s="11" t="s">
        <v>1515</v>
      </c>
      <c r="E440" s="11">
        <v>0.0</v>
      </c>
      <c r="F440" s="11" t="s">
        <v>1554</v>
      </c>
      <c r="I440" s="11">
        <v>-16.4351634979248</v>
      </c>
      <c r="J440" s="11">
        <v>62.8664398193359</v>
      </c>
      <c r="K440" s="11">
        <v>-2.0</v>
      </c>
      <c r="L440" s="11" t="s">
        <v>1879</v>
      </c>
      <c r="M440" s="11">
        <v>-2.0</v>
      </c>
      <c r="N440" s="11" t="s">
        <v>2284</v>
      </c>
    </row>
    <row r="441">
      <c r="A441" s="11">
        <v>66.9289932250976</v>
      </c>
      <c r="B441" s="11">
        <v>8.38710880279541</v>
      </c>
      <c r="C441" s="11">
        <v>2.0</v>
      </c>
      <c r="D441" s="11" t="s">
        <v>1515</v>
      </c>
      <c r="E441" s="11">
        <v>2.0</v>
      </c>
      <c r="F441" s="11" t="s">
        <v>1556</v>
      </c>
      <c r="I441" s="11">
        <v>-48.8464202880859</v>
      </c>
      <c r="J441" s="11">
        <v>5.79783725738525</v>
      </c>
      <c r="K441" s="11">
        <v>0.0</v>
      </c>
      <c r="L441" s="11" t="s">
        <v>1879</v>
      </c>
      <c r="M441" s="11">
        <v>0.0</v>
      </c>
      <c r="N441" s="11" t="s">
        <v>2286</v>
      </c>
    </row>
    <row r="442">
      <c r="A442" s="11">
        <v>-6.22528409957885</v>
      </c>
      <c r="B442" s="11">
        <v>19.6142482757568</v>
      </c>
      <c r="C442" s="11">
        <v>0.0</v>
      </c>
      <c r="D442" s="11" t="s">
        <v>1515</v>
      </c>
      <c r="E442" s="11">
        <v>0.0</v>
      </c>
      <c r="F442" s="11" t="s">
        <v>1558</v>
      </c>
      <c r="I442" s="11">
        <v>-2.78785848617553</v>
      </c>
      <c r="J442" s="11">
        <v>57.0308761596679</v>
      </c>
      <c r="K442" s="11">
        <v>0.0</v>
      </c>
      <c r="L442" s="11" t="s">
        <v>1879</v>
      </c>
      <c r="M442" s="11">
        <v>0.0</v>
      </c>
      <c r="N442" s="11" t="s">
        <v>2288</v>
      </c>
    </row>
    <row r="443">
      <c r="A443" s="11">
        <v>59.6819534301757</v>
      </c>
      <c r="B443" s="11">
        <v>5.59018182754516</v>
      </c>
      <c r="C443" s="11">
        <v>0.0</v>
      </c>
      <c r="D443" s="11" t="s">
        <v>1515</v>
      </c>
      <c r="E443" s="11">
        <v>0.0</v>
      </c>
      <c r="F443" s="11" t="s">
        <v>1559</v>
      </c>
      <c r="I443" s="11">
        <v>-52.442153930664</v>
      </c>
      <c r="J443" s="11">
        <v>-26.5079231262207</v>
      </c>
      <c r="K443" s="11">
        <v>0.0</v>
      </c>
      <c r="L443" s="11" t="s">
        <v>1879</v>
      </c>
      <c r="M443" s="11">
        <v>0.0</v>
      </c>
      <c r="N443" s="11" t="s">
        <v>2289</v>
      </c>
    </row>
    <row r="444">
      <c r="A444" s="11">
        <v>54.5325241088867</v>
      </c>
      <c r="B444" s="11">
        <v>9.77334117889404</v>
      </c>
      <c r="C444" s="11">
        <v>0.0</v>
      </c>
      <c r="D444" s="11" t="s">
        <v>1515</v>
      </c>
      <c r="E444" s="11">
        <v>0.0</v>
      </c>
      <c r="F444" s="11" t="s">
        <v>1561</v>
      </c>
      <c r="I444" s="11">
        <v>-81.0225219726562</v>
      </c>
      <c r="J444" s="11">
        <v>-19.3968410491943</v>
      </c>
      <c r="K444" s="11">
        <v>0.0</v>
      </c>
      <c r="L444" s="11" t="s">
        <v>1879</v>
      </c>
      <c r="M444" s="11">
        <v>0.0</v>
      </c>
      <c r="N444" s="11" t="s">
        <v>2291</v>
      </c>
    </row>
    <row r="445">
      <c r="A445" s="11">
        <v>23.4294414520263</v>
      </c>
      <c r="B445" s="11">
        <v>-12.9141769409179</v>
      </c>
      <c r="C445" s="11">
        <v>0.0</v>
      </c>
      <c r="D445" s="11" t="s">
        <v>1515</v>
      </c>
      <c r="E445" s="11">
        <v>0.0</v>
      </c>
      <c r="F445" s="11" t="s">
        <v>2292</v>
      </c>
      <c r="I445" s="11">
        <v>-66.1168899536132</v>
      </c>
      <c r="J445" s="11">
        <v>19.4135074615478</v>
      </c>
      <c r="K445" s="11">
        <v>0.0</v>
      </c>
      <c r="L445" s="11" t="s">
        <v>1879</v>
      </c>
      <c r="M445" s="11">
        <v>0.0</v>
      </c>
      <c r="N445" s="11" t="s">
        <v>2294</v>
      </c>
    </row>
    <row r="446">
      <c r="A446" s="11">
        <v>-17.8959712982177</v>
      </c>
      <c r="B446" s="11">
        <v>-4.18584775924682</v>
      </c>
      <c r="C446" s="11">
        <v>0.0</v>
      </c>
      <c r="D446" s="11" t="s">
        <v>1515</v>
      </c>
      <c r="E446" s="11">
        <v>0.0</v>
      </c>
      <c r="F446" s="11" t="s">
        <v>1563</v>
      </c>
      <c r="I446" s="11">
        <v>-49.8082733154296</v>
      </c>
      <c r="J446" s="11">
        <v>3.29999732971191</v>
      </c>
      <c r="K446" s="11">
        <v>0.0</v>
      </c>
      <c r="L446" s="11" t="s">
        <v>1879</v>
      </c>
      <c r="M446" s="11">
        <v>0.0</v>
      </c>
      <c r="N446" s="11" t="s">
        <v>2296</v>
      </c>
    </row>
    <row r="447">
      <c r="A447" s="11">
        <v>6.9378023147583</v>
      </c>
      <c r="B447" s="11">
        <v>-40.723087310791</v>
      </c>
      <c r="C447" s="11">
        <v>0.0</v>
      </c>
      <c r="D447" s="11" t="s">
        <v>1515</v>
      </c>
      <c r="E447" s="11">
        <v>0.0</v>
      </c>
      <c r="F447" s="11" t="s">
        <v>1565</v>
      </c>
      <c r="I447" s="11">
        <v>-51.8067321777343</v>
      </c>
      <c r="J447" s="11">
        <v>5.23229360580444</v>
      </c>
      <c r="K447" s="11">
        <v>0.0</v>
      </c>
      <c r="L447" s="11" t="s">
        <v>1879</v>
      </c>
      <c r="M447" s="11">
        <v>0.0</v>
      </c>
      <c r="N447" s="11" t="s">
        <v>2298</v>
      </c>
    </row>
    <row r="448">
      <c r="A448" s="11">
        <v>49.0352668762207</v>
      </c>
      <c r="B448" s="11">
        <v>13.1997346878051</v>
      </c>
      <c r="C448" s="11">
        <v>0.0</v>
      </c>
      <c r="D448" s="11" t="s">
        <v>1515</v>
      </c>
      <c r="E448" s="11">
        <v>0.0</v>
      </c>
      <c r="F448" s="11" t="s">
        <v>1567</v>
      </c>
      <c r="I448" s="11">
        <v>-49.8082733154296</v>
      </c>
      <c r="J448" s="11">
        <v>3.29999732971191</v>
      </c>
      <c r="K448" s="11">
        <v>0.0</v>
      </c>
      <c r="L448" s="11" t="s">
        <v>1879</v>
      </c>
      <c r="M448" s="11">
        <v>0.0</v>
      </c>
      <c r="N448" s="11" t="s">
        <v>2300</v>
      </c>
    </row>
    <row r="449">
      <c r="A449" s="11">
        <v>-27.2056465148925</v>
      </c>
      <c r="B449" s="11">
        <v>-31.4683723449707</v>
      </c>
      <c r="C449" s="11">
        <v>0.0</v>
      </c>
      <c r="D449" s="11" t="s">
        <v>1515</v>
      </c>
      <c r="E449" s="11">
        <v>0.0</v>
      </c>
      <c r="F449" s="11" t="s">
        <v>1569</v>
      </c>
      <c r="I449" s="11">
        <v>-6.91389083862304</v>
      </c>
      <c r="J449" s="11">
        <v>66.2173385620117</v>
      </c>
      <c r="K449" s="11">
        <v>-2.0</v>
      </c>
      <c r="L449" s="11" t="s">
        <v>1879</v>
      </c>
      <c r="M449" s="11">
        <v>-2.0</v>
      </c>
      <c r="N449" s="11" t="s">
        <v>2301</v>
      </c>
    </row>
    <row r="450">
      <c r="A450" s="11">
        <v>18.919958114624</v>
      </c>
      <c r="B450" s="11">
        <v>-5.01605653762817</v>
      </c>
      <c r="C450" s="11">
        <v>1.0</v>
      </c>
      <c r="D450" s="11" t="s">
        <v>1515</v>
      </c>
      <c r="E450" s="11">
        <v>1.0</v>
      </c>
      <c r="F450" s="11" t="s">
        <v>1571</v>
      </c>
      <c r="I450" s="11">
        <v>-59.0078773498535</v>
      </c>
      <c r="J450" s="11">
        <v>11.9611911773681</v>
      </c>
      <c r="K450" s="11">
        <v>0.0</v>
      </c>
      <c r="L450" s="11" t="s">
        <v>1879</v>
      </c>
      <c r="M450" s="11">
        <v>0.0</v>
      </c>
      <c r="N450" s="11" t="s">
        <v>2303</v>
      </c>
    </row>
    <row r="451">
      <c r="A451" s="11">
        <v>36.7656059265136</v>
      </c>
      <c r="B451" s="11">
        <v>6.38733530044555</v>
      </c>
      <c r="C451" s="11">
        <v>-2.0</v>
      </c>
      <c r="D451" s="11" t="s">
        <v>1515</v>
      </c>
      <c r="E451" s="11">
        <v>-2.0</v>
      </c>
      <c r="F451" s="11" t="s">
        <v>1574</v>
      </c>
      <c r="I451" s="11">
        <v>-81.0225219726562</v>
      </c>
      <c r="J451" s="11">
        <v>-19.3968410491943</v>
      </c>
      <c r="K451" s="11">
        <v>0.0</v>
      </c>
      <c r="L451" s="11" t="s">
        <v>1879</v>
      </c>
      <c r="M451" s="11">
        <v>0.0</v>
      </c>
      <c r="N451" s="11" t="s">
        <v>2305</v>
      </c>
    </row>
    <row r="452">
      <c r="A452" s="11">
        <v>10.2855434417724</v>
      </c>
      <c r="B452" s="11">
        <v>40.3413543701171</v>
      </c>
      <c r="C452" s="11">
        <v>2.0</v>
      </c>
      <c r="D452" s="11" t="s">
        <v>1515</v>
      </c>
      <c r="E452" s="11">
        <v>2.0</v>
      </c>
      <c r="F452" s="11" t="s">
        <v>2306</v>
      </c>
      <c r="I452" s="11">
        <v>-17.3536434173584</v>
      </c>
      <c r="J452" s="11">
        <v>44.5838432312011</v>
      </c>
      <c r="K452" s="11">
        <v>-1.0</v>
      </c>
      <c r="L452" s="11" t="s">
        <v>1879</v>
      </c>
      <c r="M452" s="11">
        <v>-1.0</v>
      </c>
      <c r="N452" s="11" t="s">
        <v>2307</v>
      </c>
    </row>
    <row r="453">
      <c r="A453" s="11">
        <v>-26.3005466461181</v>
      </c>
      <c r="B453" s="11">
        <v>-2.11389660835266</v>
      </c>
      <c r="C453" s="11">
        <v>1.0</v>
      </c>
      <c r="D453" s="11" t="s">
        <v>1515</v>
      </c>
      <c r="E453" s="11">
        <v>1.0</v>
      </c>
      <c r="F453" s="11" t="s">
        <v>1576</v>
      </c>
      <c r="I453" s="11">
        <v>-51.8067321777343</v>
      </c>
      <c r="J453" s="11">
        <v>5.23229360580444</v>
      </c>
      <c r="K453" s="11">
        <v>0.0</v>
      </c>
      <c r="L453" s="11" t="s">
        <v>1879</v>
      </c>
      <c r="M453" s="11">
        <v>0.0</v>
      </c>
      <c r="N453" s="11" t="s">
        <v>2309</v>
      </c>
    </row>
    <row r="454">
      <c r="A454" s="11">
        <v>2.36700081825256</v>
      </c>
      <c r="B454" s="11">
        <v>-30.367935180664</v>
      </c>
      <c r="C454" s="11">
        <v>0.0</v>
      </c>
      <c r="D454" s="11" t="s">
        <v>1515</v>
      </c>
      <c r="E454" s="11">
        <v>0.0</v>
      </c>
      <c r="F454" s="11" t="s">
        <v>1578</v>
      </c>
      <c r="I454" s="11">
        <v>-65.4354019165039</v>
      </c>
      <c r="J454" s="11">
        <v>21.670087814331</v>
      </c>
      <c r="K454" s="11">
        <v>0.0</v>
      </c>
      <c r="L454" s="11" t="s">
        <v>1879</v>
      </c>
      <c r="M454" s="11">
        <v>0.0</v>
      </c>
      <c r="N454" s="11" t="s">
        <v>2311</v>
      </c>
    </row>
    <row r="455">
      <c r="A455" s="11">
        <v>67.1809692382812</v>
      </c>
      <c r="B455" s="11">
        <v>6.91436672210693</v>
      </c>
      <c r="C455" s="11">
        <v>1.0</v>
      </c>
      <c r="D455" s="11" t="s">
        <v>1515</v>
      </c>
      <c r="E455" s="11">
        <v>1.0</v>
      </c>
      <c r="F455" s="11" t="s">
        <v>1580</v>
      </c>
      <c r="I455" s="11">
        <v>-81.0965118408203</v>
      </c>
      <c r="J455" s="11">
        <v>-17.1580505371093</v>
      </c>
      <c r="K455" s="11">
        <v>0.0</v>
      </c>
      <c r="L455" s="11" t="s">
        <v>1879</v>
      </c>
      <c r="M455" s="11">
        <v>0.0</v>
      </c>
      <c r="N455" s="11" t="s">
        <v>2312</v>
      </c>
    </row>
    <row r="456">
      <c r="A456" s="11">
        <v>-29.7660369873046</v>
      </c>
      <c r="B456" s="11">
        <v>55.5669136047363</v>
      </c>
      <c r="C456" s="11">
        <v>0.0</v>
      </c>
      <c r="D456" s="11" t="s">
        <v>1515</v>
      </c>
      <c r="E456" s="11">
        <v>0.0</v>
      </c>
      <c r="F456" s="11" t="s">
        <v>1582</v>
      </c>
      <c r="I456" s="11">
        <v>-81.0225219726562</v>
      </c>
      <c r="J456" s="11">
        <v>-19.3968410491943</v>
      </c>
      <c r="K456" s="11">
        <v>0.0</v>
      </c>
      <c r="L456" s="11" t="s">
        <v>1879</v>
      </c>
      <c r="M456" s="11">
        <v>0.0</v>
      </c>
      <c r="N456" s="11" t="s">
        <v>2315</v>
      </c>
    </row>
    <row r="457">
      <c r="A457" s="11">
        <v>26.3616199493408</v>
      </c>
      <c r="B457" s="11">
        <v>12.1442213058471</v>
      </c>
      <c r="C457" s="11">
        <v>0.0</v>
      </c>
      <c r="D457" s="11" t="s">
        <v>1515</v>
      </c>
      <c r="E457" s="11">
        <v>0.0</v>
      </c>
      <c r="F457" s="11" t="s">
        <v>1585</v>
      </c>
      <c r="I457" s="11">
        <v>11.3081502914428</v>
      </c>
      <c r="J457" s="11">
        <v>11.840763092041</v>
      </c>
      <c r="K457" s="11">
        <v>0.0</v>
      </c>
      <c r="L457" s="11" t="s">
        <v>1390</v>
      </c>
      <c r="M457" s="11">
        <v>0.0</v>
      </c>
      <c r="N457" s="11" t="s">
        <v>2317</v>
      </c>
    </row>
    <row r="458">
      <c r="A458" s="11">
        <v>51.922019958496</v>
      </c>
      <c r="B458" s="11">
        <v>16.666913986206</v>
      </c>
      <c r="C458" s="11">
        <v>2.0</v>
      </c>
      <c r="D458" s="11" t="s">
        <v>1515</v>
      </c>
      <c r="E458" s="11">
        <v>2.0</v>
      </c>
      <c r="F458" s="11" t="s">
        <v>1587</v>
      </c>
      <c r="I458" s="11">
        <v>73.4393081665039</v>
      </c>
      <c r="J458" s="11">
        <v>-21.3716926574707</v>
      </c>
      <c r="K458" s="11">
        <v>1.0</v>
      </c>
      <c r="L458" s="11" t="s">
        <v>1390</v>
      </c>
      <c r="M458" s="11">
        <v>1.0</v>
      </c>
      <c r="N458" s="11" t="s">
        <v>2319</v>
      </c>
    </row>
    <row r="459">
      <c r="A459" s="11">
        <v>56.4950103759765</v>
      </c>
      <c r="B459" s="11">
        <v>7.35437488555908</v>
      </c>
      <c r="C459" s="11">
        <v>2.0</v>
      </c>
      <c r="D459" s="11" t="s">
        <v>1515</v>
      </c>
      <c r="E459" s="11">
        <v>2.0</v>
      </c>
      <c r="F459" s="11" t="s">
        <v>1589</v>
      </c>
      <c r="I459" s="11">
        <v>33.5818977355957</v>
      </c>
      <c r="J459" s="11">
        <v>-11.9272575378417</v>
      </c>
      <c r="K459" s="11">
        <v>0.0</v>
      </c>
      <c r="L459" s="11" t="s">
        <v>1390</v>
      </c>
      <c r="M459" s="11">
        <v>0.0</v>
      </c>
      <c r="N459" s="11" t="s">
        <v>2321</v>
      </c>
    </row>
    <row r="460">
      <c r="A460" s="11">
        <v>7.5264549255371</v>
      </c>
      <c r="B460" s="11">
        <v>61.3688507080078</v>
      </c>
      <c r="C460" s="11">
        <v>0.0</v>
      </c>
      <c r="D460" s="11" t="s">
        <v>1515</v>
      </c>
      <c r="E460" s="11">
        <v>0.0</v>
      </c>
      <c r="F460" s="11" t="s">
        <v>1591</v>
      </c>
      <c r="I460" s="11">
        <v>50.9544486999511</v>
      </c>
      <c r="J460" s="11">
        <v>10.5031099319458</v>
      </c>
      <c r="K460" s="11">
        <v>-1.0</v>
      </c>
      <c r="L460" s="11" t="s">
        <v>1390</v>
      </c>
      <c r="M460" s="11">
        <v>-1.0</v>
      </c>
      <c r="N460" s="11" t="s">
        <v>2322</v>
      </c>
    </row>
    <row r="461">
      <c r="A461" s="11">
        <v>-38.035846710205</v>
      </c>
      <c r="B461" s="11">
        <v>-41.3324394226074</v>
      </c>
      <c r="C461" s="11">
        <v>0.0</v>
      </c>
      <c r="D461" s="11" t="s">
        <v>1515</v>
      </c>
      <c r="E461" s="11">
        <v>0.0</v>
      </c>
      <c r="F461" s="11" t="s">
        <v>1593</v>
      </c>
      <c r="I461" s="11">
        <v>3.19729852676391</v>
      </c>
      <c r="J461" s="11">
        <v>-1.73212790489196</v>
      </c>
      <c r="K461" s="11">
        <v>0.0</v>
      </c>
      <c r="L461" s="11" t="s">
        <v>1390</v>
      </c>
      <c r="M461" s="11">
        <v>0.0</v>
      </c>
      <c r="N461" s="11" t="s">
        <v>2324</v>
      </c>
    </row>
    <row r="462">
      <c r="A462" s="11">
        <v>-24.6452026367187</v>
      </c>
      <c r="B462" s="11">
        <v>-39.6204719543457</v>
      </c>
      <c r="C462" s="11">
        <v>0.0</v>
      </c>
      <c r="D462" s="11" t="s">
        <v>1515</v>
      </c>
      <c r="E462" s="11">
        <v>0.0</v>
      </c>
      <c r="F462" s="11" t="s">
        <v>1595</v>
      </c>
      <c r="I462" s="11">
        <v>18.2921466827392</v>
      </c>
      <c r="J462" s="11">
        <v>-38.084415435791</v>
      </c>
      <c r="K462" s="11">
        <v>1.0</v>
      </c>
      <c r="L462" s="11" t="s">
        <v>1390</v>
      </c>
      <c r="M462" s="11">
        <v>1.0</v>
      </c>
      <c r="N462" s="11" t="s">
        <v>2326</v>
      </c>
    </row>
    <row r="463">
      <c r="A463" s="11">
        <v>-61.6082458496093</v>
      </c>
      <c r="B463" s="11">
        <v>-20.2905769348144</v>
      </c>
      <c r="C463" s="11">
        <v>0.0</v>
      </c>
      <c r="D463" s="11" t="s">
        <v>1515</v>
      </c>
      <c r="E463" s="11">
        <v>0.0</v>
      </c>
      <c r="F463" s="11" t="s">
        <v>1598</v>
      </c>
      <c r="I463" s="11">
        <v>14.3852663040161</v>
      </c>
      <c r="J463" s="11">
        <v>-12.0281410217285</v>
      </c>
      <c r="K463" s="11">
        <v>0.0</v>
      </c>
      <c r="L463" s="11" t="s">
        <v>1390</v>
      </c>
      <c r="M463" s="11">
        <v>0.0</v>
      </c>
      <c r="N463" s="11" t="s">
        <v>2328</v>
      </c>
    </row>
    <row r="464">
      <c r="A464" s="11">
        <v>-61.685619354248</v>
      </c>
      <c r="B464" s="11">
        <v>-31.1232109069824</v>
      </c>
      <c r="C464" s="11">
        <v>0.0</v>
      </c>
      <c r="D464" s="11" t="s">
        <v>1515</v>
      </c>
      <c r="E464" s="11">
        <v>0.0</v>
      </c>
      <c r="F464" s="11" t="s">
        <v>1600</v>
      </c>
      <c r="I464" s="11">
        <v>26.5565757751464</v>
      </c>
      <c r="J464" s="11">
        <v>6.56101703643798</v>
      </c>
      <c r="K464" s="11">
        <v>1.0</v>
      </c>
      <c r="L464" s="11" t="s">
        <v>1390</v>
      </c>
      <c r="M464" s="11">
        <v>1.0</v>
      </c>
      <c r="N464" s="11" t="s">
        <v>2330</v>
      </c>
    </row>
    <row r="465">
      <c r="A465" s="11">
        <v>37.6336708068847</v>
      </c>
      <c r="B465" s="11">
        <v>-13.0754709243774</v>
      </c>
      <c r="C465" s="11">
        <v>0.0</v>
      </c>
      <c r="D465" s="11" t="s">
        <v>1515</v>
      </c>
      <c r="E465" s="11">
        <v>0.0</v>
      </c>
      <c r="F465" s="11" t="s">
        <v>1602</v>
      </c>
      <c r="I465" s="11">
        <v>7.84381675720214</v>
      </c>
      <c r="J465" s="11">
        <v>7.21717119216918</v>
      </c>
      <c r="K465" s="11">
        <v>0.0</v>
      </c>
      <c r="L465" s="11" t="s">
        <v>1390</v>
      </c>
      <c r="M465" s="11">
        <v>0.0</v>
      </c>
      <c r="N465" s="11" t="s">
        <v>2331</v>
      </c>
    </row>
    <row r="466">
      <c r="A466" s="11">
        <v>-50.0065231323242</v>
      </c>
      <c r="B466" s="11">
        <v>-34.2007598876953</v>
      </c>
      <c r="C466" s="11">
        <v>0.0</v>
      </c>
      <c r="D466" s="11" t="s">
        <v>1515</v>
      </c>
      <c r="E466" s="11">
        <v>0.0</v>
      </c>
      <c r="F466" s="11" t="s">
        <v>1604</v>
      </c>
      <c r="I466" s="11">
        <v>26.498643875122</v>
      </c>
      <c r="J466" s="11">
        <v>-4.94353485107421</v>
      </c>
      <c r="K466" s="11">
        <v>0.0</v>
      </c>
      <c r="L466" s="11" t="s">
        <v>1390</v>
      </c>
      <c r="M466" s="11">
        <v>0.0</v>
      </c>
      <c r="N466" s="11" t="s">
        <v>2333</v>
      </c>
    </row>
    <row r="467">
      <c r="A467" s="11">
        <v>-43.9990501403808</v>
      </c>
      <c r="B467" s="11">
        <v>-16.0154800415039</v>
      </c>
      <c r="C467" s="11">
        <v>0.0</v>
      </c>
      <c r="D467" s="11" t="s">
        <v>1515</v>
      </c>
      <c r="E467" s="11">
        <v>0.0</v>
      </c>
      <c r="F467" s="11" t="s">
        <v>1606</v>
      </c>
      <c r="I467" s="11">
        <v>51.0992469787597</v>
      </c>
      <c r="J467" s="11">
        <v>9.23264694213867</v>
      </c>
      <c r="K467" s="11">
        <v>-1.0</v>
      </c>
      <c r="L467" s="11" t="s">
        <v>1390</v>
      </c>
      <c r="M467" s="11">
        <v>-1.0</v>
      </c>
      <c r="N467" s="11" t="s">
        <v>2334</v>
      </c>
    </row>
    <row r="468">
      <c r="A468" s="11">
        <v>-56.1477355957031</v>
      </c>
      <c r="B468" s="11">
        <v>-3.42917561531066</v>
      </c>
      <c r="C468" s="11">
        <v>0.0</v>
      </c>
      <c r="D468" s="11" t="s">
        <v>1515</v>
      </c>
      <c r="E468" s="11">
        <v>0.0</v>
      </c>
      <c r="F468" s="11" t="s">
        <v>1608</v>
      </c>
      <c r="I468" s="11">
        <v>-6.0660982131958</v>
      </c>
      <c r="J468" s="11">
        <v>-8.26324081420898</v>
      </c>
      <c r="K468" s="11">
        <v>0.0</v>
      </c>
      <c r="L468" s="11" t="s">
        <v>1390</v>
      </c>
      <c r="M468" s="11">
        <v>0.0</v>
      </c>
      <c r="N468" s="11" t="s">
        <v>2336</v>
      </c>
    </row>
    <row r="469">
      <c r="A469" s="11">
        <v>-58.069408416748</v>
      </c>
      <c r="B469" s="11">
        <v>-2.57181477546691</v>
      </c>
      <c r="C469" s="11">
        <v>0.0</v>
      </c>
      <c r="D469" s="11" t="s">
        <v>1515</v>
      </c>
      <c r="E469" s="11">
        <v>0.0</v>
      </c>
      <c r="F469" s="11" t="s">
        <v>1610</v>
      </c>
      <c r="I469" s="11">
        <v>-4.52864646911621</v>
      </c>
      <c r="J469" s="11">
        <v>-11.6561088562011</v>
      </c>
      <c r="K469" s="11">
        <v>0.0</v>
      </c>
      <c r="L469" s="11" t="s">
        <v>1390</v>
      </c>
      <c r="M469" s="11">
        <v>0.0</v>
      </c>
      <c r="N469" s="11" t="s">
        <v>2338</v>
      </c>
    </row>
    <row r="470">
      <c r="A470" s="11">
        <v>0.513670146465301</v>
      </c>
      <c r="B470" s="11">
        <v>48.6871452331543</v>
      </c>
      <c r="C470" s="11">
        <v>0.0</v>
      </c>
      <c r="D470" s="11" t="s">
        <v>1515</v>
      </c>
      <c r="E470" s="11">
        <v>0.0</v>
      </c>
      <c r="F470" s="11" t="s">
        <v>1612</v>
      </c>
      <c r="I470" s="11">
        <v>35.9261779785156</v>
      </c>
      <c r="J470" s="11">
        <v>-11.7601613998413</v>
      </c>
      <c r="K470" s="11">
        <v>0.0</v>
      </c>
      <c r="L470" s="11" t="s">
        <v>1390</v>
      </c>
      <c r="M470" s="11">
        <v>0.0</v>
      </c>
      <c r="N470" s="11" t="s">
        <v>2340</v>
      </c>
    </row>
    <row r="471">
      <c r="A471" s="11">
        <v>-46.0086708068847</v>
      </c>
      <c r="B471" s="11">
        <v>-28.8339939117431</v>
      </c>
      <c r="C471" s="11">
        <v>0.0</v>
      </c>
      <c r="D471" s="11" t="s">
        <v>1515</v>
      </c>
      <c r="E471" s="11">
        <v>0.0</v>
      </c>
      <c r="F471" s="11" t="s">
        <v>1614</v>
      </c>
      <c r="I471" s="11">
        <v>33.5818977355957</v>
      </c>
      <c r="J471" s="11">
        <v>-11.9272575378417</v>
      </c>
      <c r="K471" s="11">
        <v>0.0</v>
      </c>
      <c r="L471" s="11" t="s">
        <v>1390</v>
      </c>
      <c r="M471" s="11">
        <v>0.0</v>
      </c>
      <c r="N471" s="11" t="s">
        <v>2342</v>
      </c>
    </row>
    <row r="472">
      <c r="A472" s="11">
        <v>-54.4241752624511</v>
      </c>
      <c r="B472" s="11">
        <v>-14.2458524703979</v>
      </c>
      <c r="C472" s="11">
        <v>0.0</v>
      </c>
      <c r="D472" s="11" t="s">
        <v>1515</v>
      </c>
      <c r="E472" s="11">
        <v>0.0</v>
      </c>
      <c r="F472" s="11" t="s">
        <v>1616</v>
      </c>
      <c r="I472" s="11">
        <v>3.83706474304199</v>
      </c>
      <c r="J472" s="11">
        <v>2.90075397491455</v>
      </c>
      <c r="K472" s="11">
        <v>0.0</v>
      </c>
      <c r="L472" s="11" t="s">
        <v>1390</v>
      </c>
      <c r="M472" s="11">
        <v>0.0</v>
      </c>
      <c r="N472" s="11" t="s">
        <v>2343</v>
      </c>
    </row>
    <row r="473">
      <c r="A473" s="11">
        <v>35.2697257995605</v>
      </c>
      <c r="B473" s="11">
        <v>-5.59945106506347</v>
      </c>
      <c r="C473" s="11">
        <v>0.0</v>
      </c>
      <c r="D473" s="11" t="s">
        <v>1515</v>
      </c>
      <c r="E473" s="11">
        <v>0.0</v>
      </c>
      <c r="F473" s="11" t="s">
        <v>1618</v>
      </c>
      <c r="I473" s="11">
        <v>73.4393081665039</v>
      </c>
      <c r="J473" s="11">
        <v>-21.3716926574707</v>
      </c>
      <c r="K473" s="11">
        <v>0.0</v>
      </c>
      <c r="L473" s="11" t="s">
        <v>1390</v>
      </c>
      <c r="M473" s="11">
        <v>0.0</v>
      </c>
      <c r="N473" s="11" t="s">
        <v>2345</v>
      </c>
    </row>
    <row r="474">
      <c r="A474" s="11">
        <v>26.3497104644775</v>
      </c>
      <c r="B474" s="11">
        <v>1.40434205532073</v>
      </c>
      <c r="C474" s="11">
        <v>0.0</v>
      </c>
      <c r="D474" s="11" t="s">
        <v>1515</v>
      </c>
      <c r="E474" s="11">
        <v>0.0</v>
      </c>
      <c r="F474" s="11" t="s">
        <v>1620</v>
      </c>
      <c r="I474" s="11">
        <v>27.6420516967773</v>
      </c>
      <c r="J474" s="11">
        <v>-62.2566108703613</v>
      </c>
      <c r="K474" s="11">
        <v>0.0</v>
      </c>
      <c r="L474" s="11" t="s">
        <v>1390</v>
      </c>
      <c r="M474" s="11">
        <v>0.0</v>
      </c>
      <c r="N474" s="11" t="s">
        <v>2347</v>
      </c>
    </row>
    <row r="475">
      <c r="A475" s="11">
        <v>-7.51274490356445</v>
      </c>
      <c r="B475" s="11">
        <v>-21.293550491333</v>
      </c>
      <c r="C475" s="11">
        <v>0.0</v>
      </c>
      <c r="D475" s="11" t="s">
        <v>1515</v>
      </c>
      <c r="E475" s="11">
        <v>0.0</v>
      </c>
      <c r="F475" s="11" t="s">
        <v>1622</v>
      </c>
      <c r="I475" s="11">
        <v>27.6420516967773</v>
      </c>
      <c r="J475" s="11">
        <v>-62.2566108703613</v>
      </c>
      <c r="K475" s="11">
        <v>0.0</v>
      </c>
      <c r="L475" s="11" t="s">
        <v>1390</v>
      </c>
      <c r="M475" s="11">
        <v>0.0</v>
      </c>
      <c r="N475" s="11" t="s">
        <v>2349</v>
      </c>
    </row>
    <row r="476">
      <c r="A476" s="11">
        <v>-18.9467678070068</v>
      </c>
      <c r="B476" s="11">
        <v>-17.0896568298339</v>
      </c>
      <c r="C476" s="11">
        <v>0.0</v>
      </c>
      <c r="D476" s="11" t="s">
        <v>1515</v>
      </c>
      <c r="E476" s="11">
        <v>0.0</v>
      </c>
      <c r="F476" s="11" t="s">
        <v>1624</v>
      </c>
      <c r="I476" s="11">
        <v>73.4393081665039</v>
      </c>
      <c r="J476" s="11">
        <v>-21.3716926574707</v>
      </c>
      <c r="K476" s="11">
        <v>0.0</v>
      </c>
      <c r="L476" s="11" t="s">
        <v>1390</v>
      </c>
      <c r="M476" s="11">
        <v>0.0</v>
      </c>
      <c r="N476" s="11" t="s">
        <v>2350</v>
      </c>
    </row>
    <row r="477">
      <c r="A477" s="11">
        <v>33.155288696289</v>
      </c>
      <c r="B477" s="11">
        <v>-38.9821739196777</v>
      </c>
      <c r="C477" s="11">
        <v>-1.0</v>
      </c>
      <c r="D477" s="11" t="s">
        <v>1515</v>
      </c>
      <c r="E477" s="11">
        <v>-1.0</v>
      </c>
      <c r="F477" s="11" t="s">
        <v>1627</v>
      </c>
      <c r="I477" s="11">
        <v>3.64292192459106</v>
      </c>
      <c r="J477" s="11">
        <v>7.3841962814331</v>
      </c>
      <c r="K477" s="11">
        <v>0.0</v>
      </c>
      <c r="L477" s="11" t="s">
        <v>1390</v>
      </c>
      <c r="M477" s="11">
        <v>0.0</v>
      </c>
      <c r="N477" s="11" t="s">
        <v>2352</v>
      </c>
    </row>
    <row r="478">
      <c r="A478" s="11">
        <v>-10.2558431625366</v>
      </c>
      <c r="B478" s="11">
        <v>-41.6500663757324</v>
      </c>
      <c r="C478" s="11">
        <v>0.0</v>
      </c>
      <c r="D478" s="11" t="s">
        <v>1515</v>
      </c>
      <c r="E478" s="11">
        <v>0.0</v>
      </c>
      <c r="F478" s="11" t="s">
        <v>1629</v>
      </c>
      <c r="I478" s="11">
        <v>33.5818977355957</v>
      </c>
      <c r="J478" s="11">
        <v>-11.9272575378417</v>
      </c>
      <c r="K478" s="11">
        <v>0.0</v>
      </c>
      <c r="L478" s="11" t="s">
        <v>1390</v>
      </c>
      <c r="M478" s="11">
        <v>0.0</v>
      </c>
      <c r="N478" s="11" t="s">
        <v>2354</v>
      </c>
    </row>
    <row r="479">
      <c r="A479" s="11">
        <v>-6.6532597541809</v>
      </c>
      <c r="B479" s="11">
        <v>20.55810546875</v>
      </c>
      <c r="C479" s="11">
        <v>0.0</v>
      </c>
      <c r="D479" s="11" t="s">
        <v>1515</v>
      </c>
      <c r="E479" s="11">
        <v>0.0</v>
      </c>
      <c r="F479" s="11" t="s">
        <v>1631</v>
      </c>
      <c r="I479" s="11">
        <v>-3.24896001815795</v>
      </c>
      <c r="J479" s="11">
        <v>-10.1292839050292</v>
      </c>
      <c r="K479" s="11">
        <v>0.0</v>
      </c>
      <c r="L479" s="11" t="s">
        <v>1390</v>
      </c>
      <c r="M479" s="11">
        <v>0.0</v>
      </c>
      <c r="N479" s="11" t="s">
        <v>2356</v>
      </c>
    </row>
    <row r="480">
      <c r="A480" s="11">
        <v>52.1028137207031</v>
      </c>
      <c r="B480" s="11">
        <v>10.8357391357421</v>
      </c>
      <c r="C480" s="11">
        <v>0.0</v>
      </c>
      <c r="D480" s="11" t="s">
        <v>1515</v>
      </c>
      <c r="E480" s="11">
        <v>0.0</v>
      </c>
      <c r="F480" s="11" t="s">
        <v>1633</v>
      </c>
      <c r="I480" s="11">
        <v>27.6420516967773</v>
      </c>
      <c r="J480" s="11">
        <v>-62.2566108703613</v>
      </c>
      <c r="K480" s="11">
        <v>0.0</v>
      </c>
      <c r="L480" s="11" t="s">
        <v>1390</v>
      </c>
      <c r="M480" s="11">
        <v>0.0</v>
      </c>
      <c r="N480" s="11" t="s">
        <v>2357</v>
      </c>
    </row>
    <row r="481">
      <c r="A481" s="11">
        <v>-35.291404724121</v>
      </c>
      <c r="B481" s="11">
        <v>-61.7744445800781</v>
      </c>
      <c r="C481" s="11">
        <v>0.0</v>
      </c>
      <c r="D481" s="11" t="s">
        <v>1515</v>
      </c>
      <c r="E481" s="11">
        <v>0.0</v>
      </c>
      <c r="F481" s="11" t="s">
        <v>1636</v>
      </c>
      <c r="I481" s="11">
        <v>-4.04660320281982</v>
      </c>
      <c r="J481" s="11">
        <v>-8.32171726226806</v>
      </c>
      <c r="K481" s="11">
        <v>0.0</v>
      </c>
      <c r="L481" s="11" t="s">
        <v>1390</v>
      </c>
      <c r="M481" s="11">
        <v>0.0</v>
      </c>
      <c r="N481" s="11" t="s">
        <v>2359</v>
      </c>
    </row>
    <row r="482">
      <c r="A482" s="11">
        <v>-6.53852415084838</v>
      </c>
      <c r="B482" s="11">
        <v>-21.999584197998</v>
      </c>
      <c r="C482" s="11">
        <v>0.0</v>
      </c>
      <c r="D482" s="11" t="s">
        <v>1515</v>
      </c>
      <c r="E482" s="11">
        <v>0.0</v>
      </c>
      <c r="F482" s="11" t="s">
        <v>1639</v>
      </c>
      <c r="I482" s="11">
        <v>30.2550258636474</v>
      </c>
      <c r="J482" s="11">
        <v>-15.1305723190307</v>
      </c>
      <c r="K482" s="11">
        <v>-2.0</v>
      </c>
      <c r="L482" s="11" t="s">
        <v>1390</v>
      </c>
      <c r="M482" s="11">
        <v>-2.0</v>
      </c>
      <c r="N482" s="11" t="s">
        <v>2361</v>
      </c>
    </row>
    <row r="483">
      <c r="A483" s="11">
        <v>-28.2021713256835</v>
      </c>
      <c r="B483" s="11">
        <v>-22.634687423706</v>
      </c>
      <c r="C483" s="11">
        <v>0.0</v>
      </c>
      <c r="D483" s="11" t="s">
        <v>1515</v>
      </c>
      <c r="E483" s="11">
        <v>0.0</v>
      </c>
      <c r="F483" s="11" t="s">
        <v>1641</v>
      </c>
      <c r="I483" s="11">
        <v>-5.78804016113281</v>
      </c>
      <c r="J483" s="11">
        <v>-10.2090826034545</v>
      </c>
      <c r="K483" s="11">
        <v>0.0</v>
      </c>
      <c r="L483" s="11" t="s">
        <v>1390</v>
      </c>
      <c r="M483" s="11">
        <v>0.0</v>
      </c>
      <c r="N483" s="11" t="s">
        <v>2363</v>
      </c>
    </row>
    <row r="484">
      <c r="A484" s="11">
        <v>-65.6736373901367</v>
      </c>
      <c r="B484" s="11">
        <v>-36.1669921875</v>
      </c>
      <c r="C484" s="11">
        <v>0.0</v>
      </c>
      <c r="D484" s="11" t="s">
        <v>1515</v>
      </c>
      <c r="E484" s="11">
        <v>0.0</v>
      </c>
      <c r="F484" s="11" t="s">
        <v>1644</v>
      </c>
      <c r="I484" s="11">
        <v>2.03489637374877</v>
      </c>
      <c r="J484" s="11">
        <v>-1.22884106636047</v>
      </c>
      <c r="K484" s="11">
        <v>0.0</v>
      </c>
      <c r="L484" s="11" t="s">
        <v>1390</v>
      </c>
      <c r="M484" s="11">
        <v>0.0</v>
      </c>
      <c r="N484" s="11" t="s">
        <v>2365</v>
      </c>
    </row>
    <row r="485">
      <c r="A485" s="11">
        <v>3.02295446395874</v>
      </c>
      <c r="B485" s="11">
        <v>-5.55240678787231</v>
      </c>
      <c r="C485" s="11">
        <v>0.0</v>
      </c>
      <c r="D485" s="11" t="s">
        <v>1515</v>
      </c>
      <c r="E485" s="11">
        <v>0.0</v>
      </c>
      <c r="F485" s="11" t="s">
        <v>1648</v>
      </c>
      <c r="I485" s="11">
        <v>-64.8041763305664</v>
      </c>
      <c r="J485" s="11">
        <v>-31.1207904815673</v>
      </c>
      <c r="K485" s="11">
        <v>0.0</v>
      </c>
      <c r="L485" s="11" t="s">
        <v>1879</v>
      </c>
      <c r="M485" s="11">
        <v>0.0</v>
      </c>
      <c r="N485" s="11" t="s">
        <v>2367</v>
      </c>
    </row>
    <row r="486">
      <c r="A486" s="11">
        <v>-6.53852415084838</v>
      </c>
      <c r="B486" s="11">
        <v>-21.999584197998</v>
      </c>
      <c r="C486" s="11">
        <v>0.0</v>
      </c>
      <c r="D486" s="11" t="s">
        <v>1515</v>
      </c>
      <c r="E486" s="11">
        <v>0.0</v>
      </c>
      <c r="F486" s="11" t="s">
        <v>1651</v>
      </c>
      <c r="I486" s="11">
        <v>-33.1091384887695</v>
      </c>
      <c r="J486" s="11">
        <v>27.0340995788574</v>
      </c>
      <c r="K486" s="11">
        <v>0.0</v>
      </c>
      <c r="L486" s="11" t="s">
        <v>1879</v>
      </c>
      <c r="M486" s="11">
        <v>0.0</v>
      </c>
      <c r="N486" s="11" t="s">
        <v>2369</v>
      </c>
    </row>
    <row r="487">
      <c r="A487" s="11">
        <v>65.8090057373046</v>
      </c>
      <c r="B487" s="11">
        <v>7.39733123779296</v>
      </c>
      <c r="C487" s="11">
        <v>1.0</v>
      </c>
      <c r="D487" s="11" t="s">
        <v>1515</v>
      </c>
      <c r="E487" s="11">
        <v>1.0</v>
      </c>
      <c r="F487" s="11" t="s">
        <v>1652</v>
      </c>
      <c r="I487" s="11">
        <v>-35.34228515625</v>
      </c>
      <c r="J487" s="11">
        <v>-17.3709163665771</v>
      </c>
      <c r="K487" s="11">
        <v>0.0</v>
      </c>
      <c r="L487" s="11" t="s">
        <v>1879</v>
      </c>
      <c r="M487" s="11">
        <v>0.0</v>
      </c>
      <c r="N487" s="11" t="s">
        <v>2371</v>
      </c>
    </row>
    <row r="488">
      <c r="A488" s="11">
        <v>-16.1499519348144</v>
      </c>
      <c r="B488" s="11">
        <v>-8.81829643249511</v>
      </c>
      <c r="C488" s="11">
        <v>0.0</v>
      </c>
      <c r="D488" s="11" t="s">
        <v>1515</v>
      </c>
      <c r="E488" s="11">
        <v>0.0</v>
      </c>
      <c r="F488" s="11" t="s">
        <v>1654</v>
      </c>
      <c r="I488" s="11">
        <v>-14.0252027511596</v>
      </c>
      <c r="J488" s="11">
        <v>61.7129516601562</v>
      </c>
      <c r="K488" s="11">
        <v>-2.0</v>
      </c>
      <c r="L488" s="11" t="s">
        <v>1879</v>
      </c>
      <c r="M488" s="11">
        <v>-2.0</v>
      </c>
      <c r="N488" s="11" t="s">
        <v>2373</v>
      </c>
    </row>
    <row r="489">
      <c r="A489" s="11">
        <v>12.3610363006591</v>
      </c>
      <c r="B489" s="11">
        <v>-13.5317068099975</v>
      </c>
      <c r="C489" s="11">
        <v>2.0</v>
      </c>
      <c r="D489" s="11" t="s">
        <v>1515</v>
      </c>
      <c r="E489" s="11">
        <v>2.0</v>
      </c>
      <c r="F489" s="11" t="s">
        <v>1656</v>
      </c>
      <c r="I489" s="11">
        <v>-35.6558647155761</v>
      </c>
      <c r="J489" s="11">
        <v>-19.297342300415</v>
      </c>
      <c r="K489" s="11">
        <v>0.0</v>
      </c>
      <c r="L489" s="11" t="s">
        <v>1879</v>
      </c>
      <c r="M489" s="11">
        <v>0.0</v>
      </c>
      <c r="N489" s="11" t="s">
        <v>2375</v>
      </c>
    </row>
    <row r="490">
      <c r="A490" s="11">
        <v>-74.296142578125</v>
      </c>
      <c r="B490" s="11">
        <v>-6.58610105514526</v>
      </c>
      <c r="C490" s="11">
        <v>0.0</v>
      </c>
      <c r="D490" s="11" t="s">
        <v>1515</v>
      </c>
      <c r="E490" s="11">
        <v>0.0</v>
      </c>
      <c r="F490" s="11" t="s">
        <v>1658</v>
      </c>
      <c r="I490" s="11">
        <v>-10.086215019226</v>
      </c>
      <c r="J490" s="11">
        <v>52.0685653686523</v>
      </c>
      <c r="K490" s="11">
        <v>-1.0</v>
      </c>
      <c r="L490" s="11" t="s">
        <v>1879</v>
      </c>
      <c r="M490" s="11">
        <v>-1.0</v>
      </c>
      <c r="N490" s="11" t="s">
        <v>2377</v>
      </c>
    </row>
    <row r="491">
      <c r="A491" s="11">
        <v>-21.6180934906005</v>
      </c>
      <c r="B491" s="11">
        <v>-42.3730430603027</v>
      </c>
      <c r="C491" s="11">
        <v>0.0</v>
      </c>
      <c r="D491" s="11" t="s">
        <v>1515</v>
      </c>
      <c r="E491" s="11">
        <v>0.0</v>
      </c>
      <c r="F491" s="11" t="s">
        <v>1660</v>
      </c>
      <c r="I491" s="11">
        <v>-65.497329711914</v>
      </c>
      <c r="J491" s="11">
        <v>-28.7395229339599</v>
      </c>
      <c r="K491" s="11">
        <v>1.0</v>
      </c>
      <c r="L491" s="11" t="s">
        <v>1879</v>
      </c>
      <c r="M491" s="11">
        <v>1.0</v>
      </c>
      <c r="N491" s="11" t="s">
        <v>2378</v>
      </c>
    </row>
    <row r="492">
      <c r="A492" s="11">
        <v>-16.092638015747</v>
      </c>
      <c r="B492" s="11">
        <v>-55.6719093322753</v>
      </c>
      <c r="C492" s="11">
        <v>0.0</v>
      </c>
      <c r="D492" s="11" t="s">
        <v>1515</v>
      </c>
      <c r="E492" s="11">
        <v>0.0</v>
      </c>
      <c r="F492" s="11" t="s">
        <v>1662</v>
      </c>
      <c r="I492" s="11">
        <v>-67.6636123657226</v>
      </c>
      <c r="J492" s="11">
        <v>21.6695041656494</v>
      </c>
      <c r="K492" s="11">
        <v>0.0</v>
      </c>
      <c r="L492" s="11" t="s">
        <v>1879</v>
      </c>
      <c r="M492" s="11">
        <v>0.0</v>
      </c>
      <c r="N492" s="11" t="s">
        <v>2380</v>
      </c>
    </row>
    <row r="493">
      <c r="A493" s="11">
        <v>-26.0926704406738</v>
      </c>
      <c r="B493" s="11">
        <v>-3.35528588294982</v>
      </c>
      <c r="C493" s="11">
        <v>1.0</v>
      </c>
      <c r="D493" s="11" t="s">
        <v>1515</v>
      </c>
      <c r="E493" s="11">
        <v>1.0</v>
      </c>
      <c r="F493" s="11" t="s">
        <v>1664</v>
      </c>
      <c r="I493" s="11">
        <v>-63.0013313293457</v>
      </c>
      <c r="J493" s="11">
        <v>-28.7490692138671</v>
      </c>
      <c r="K493" s="11">
        <v>0.0</v>
      </c>
      <c r="L493" s="11" t="s">
        <v>1879</v>
      </c>
      <c r="M493" s="11">
        <v>0.0</v>
      </c>
      <c r="N493" s="11" t="s">
        <v>2382</v>
      </c>
    </row>
    <row r="494">
      <c r="A494" s="11">
        <v>66.9289932250976</v>
      </c>
      <c r="B494" s="11">
        <v>8.38710880279541</v>
      </c>
      <c r="C494" s="11">
        <v>2.0</v>
      </c>
      <c r="D494" s="11" t="s">
        <v>1515</v>
      </c>
      <c r="E494" s="11">
        <v>2.0</v>
      </c>
      <c r="F494" s="11" t="s">
        <v>1666</v>
      </c>
      <c r="I494" s="11">
        <v>-65.497329711914</v>
      </c>
      <c r="J494" s="11">
        <v>-28.7395229339599</v>
      </c>
      <c r="K494" s="11">
        <v>1.0</v>
      </c>
      <c r="L494" s="11" t="s">
        <v>1879</v>
      </c>
      <c r="M494" s="11">
        <v>1.0</v>
      </c>
      <c r="N494" s="11" t="s">
        <v>2384</v>
      </c>
    </row>
    <row r="495">
      <c r="A495" s="11">
        <v>71.8109588623046</v>
      </c>
      <c r="B495" s="11">
        <v>-5.03688192367553</v>
      </c>
      <c r="C495" s="11">
        <v>2.0</v>
      </c>
      <c r="D495" s="11" t="s">
        <v>1515</v>
      </c>
      <c r="E495" s="11">
        <v>2.0</v>
      </c>
      <c r="F495" s="11" t="s">
        <v>1669</v>
      </c>
      <c r="I495" s="11">
        <v>-67.6002883911132</v>
      </c>
      <c r="J495" s="11">
        <v>-30.1212368011474</v>
      </c>
      <c r="K495" s="11">
        <v>0.0</v>
      </c>
      <c r="L495" s="11" t="s">
        <v>1879</v>
      </c>
      <c r="M495" s="11">
        <v>0.0</v>
      </c>
      <c r="N495" s="11" t="s">
        <v>2386</v>
      </c>
    </row>
    <row r="496">
      <c r="A496" s="11">
        <v>49.9866371154785</v>
      </c>
      <c r="B496" s="11">
        <v>14.3465194702148</v>
      </c>
      <c r="C496" s="11">
        <v>0.0</v>
      </c>
      <c r="D496" s="11" t="s">
        <v>1515</v>
      </c>
      <c r="E496" s="11">
        <v>0.0</v>
      </c>
      <c r="F496" s="11" t="s">
        <v>1671</v>
      </c>
      <c r="I496" s="11">
        <v>-34.5054740905761</v>
      </c>
      <c r="J496" s="11">
        <v>-10.168996810913</v>
      </c>
      <c r="K496" s="11">
        <v>0.0</v>
      </c>
      <c r="L496" s="11" t="s">
        <v>1879</v>
      </c>
      <c r="M496" s="11">
        <v>0.0</v>
      </c>
      <c r="N496" s="11" t="s">
        <v>2388</v>
      </c>
    </row>
    <row r="497">
      <c r="A497" s="11">
        <v>-43.0434913635253</v>
      </c>
      <c r="B497" s="11">
        <v>-12.6731529235839</v>
      </c>
      <c r="C497" s="11">
        <v>0.0</v>
      </c>
      <c r="D497" s="11" t="s">
        <v>1515</v>
      </c>
      <c r="E497" s="11">
        <v>0.0</v>
      </c>
      <c r="F497" s="11" t="s">
        <v>1673</v>
      </c>
      <c r="I497" s="11">
        <v>-33.6912117004394</v>
      </c>
      <c r="J497" s="11">
        <v>-19.5291328430175</v>
      </c>
      <c r="K497" s="11">
        <v>0.0</v>
      </c>
      <c r="L497" s="11" t="s">
        <v>1879</v>
      </c>
      <c r="M497" s="11">
        <v>0.0</v>
      </c>
      <c r="N497" s="11" t="s">
        <v>2390</v>
      </c>
    </row>
    <row r="498">
      <c r="A498" s="11">
        <v>-7.70817327499389</v>
      </c>
      <c r="B498" s="11">
        <v>-15.6540145874023</v>
      </c>
      <c r="C498" s="11">
        <v>0.0</v>
      </c>
      <c r="D498" s="11" t="s">
        <v>1515</v>
      </c>
      <c r="E498" s="11">
        <v>0.0</v>
      </c>
      <c r="F498" s="11" t="s">
        <v>1675</v>
      </c>
      <c r="I498" s="11">
        <v>-18.426794052124</v>
      </c>
      <c r="J498" s="11">
        <v>39.8637733459472</v>
      </c>
      <c r="K498" s="11">
        <v>0.0</v>
      </c>
      <c r="L498" s="11" t="s">
        <v>1879</v>
      </c>
      <c r="M498" s="11">
        <v>0.0</v>
      </c>
      <c r="N498" s="11" t="s">
        <v>2392</v>
      </c>
    </row>
    <row r="499">
      <c r="A499" s="11">
        <v>-60.5691299438476</v>
      </c>
      <c r="B499" s="11">
        <v>-29.2611503601074</v>
      </c>
      <c r="C499" s="11">
        <v>0.0</v>
      </c>
      <c r="D499" s="11" t="s">
        <v>1515</v>
      </c>
      <c r="E499" s="11">
        <v>0.0</v>
      </c>
      <c r="F499" s="11" t="s">
        <v>1677</v>
      </c>
      <c r="I499" s="11">
        <v>-33.3702545166015</v>
      </c>
      <c r="J499" s="11">
        <v>-17.5993041992187</v>
      </c>
      <c r="K499" s="11">
        <v>0.0</v>
      </c>
      <c r="L499" s="11" t="s">
        <v>1879</v>
      </c>
      <c r="M499" s="11">
        <v>0.0</v>
      </c>
      <c r="N499" s="11" t="s">
        <v>2395</v>
      </c>
    </row>
    <row r="500">
      <c r="A500" s="11">
        <v>7.5264549255371</v>
      </c>
      <c r="B500" s="11">
        <v>61.3688507080078</v>
      </c>
      <c r="C500" s="11">
        <v>0.0</v>
      </c>
      <c r="D500" s="11" t="s">
        <v>1515</v>
      </c>
      <c r="E500" s="11">
        <v>0.0</v>
      </c>
      <c r="F500" s="11" t="s">
        <v>1679</v>
      </c>
      <c r="I500" s="11">
        <v>-67.4896392822265</v>
      </c>
      <c r="J500" s="11">
        <v>-27.2387313842773</v>
      </c>
      <c r="K500" s="11">
        <v>0.0</v>
      </c>
      <c r="L500" s="11" t="s">
        <v>1879</v>
      </c>
      <c r="M500" s="11">
        <v>0.0</v>
      </c>
      <c r="N500" s="11" t="s">
        <v>2398</v>
      </c>
    </row>
    <row r="501">
      <c r="A501" s="11">
        <v>15.5980033874511</v>
      </c>
      <c r="B501" s="11">
        <v>-55.9822006225585</v>
      </c>
      <c r="C501" s="11">
        <v>0.0</v>
      </c>
      <c r="D501" s="11" t="s">
        <v>1515</v>
      </c>
      <c r="E501" s="11">
        <v>0.0</v>
      </c>
      <c r="F501" s="11" t="s">
        <v>1682</v>
      </c>
      <c r="I501" s="11">
        <v>-34.0947227478027</v>
      </c>
      <c r="J501" s="11">
        <v>24.7526226043701</v>
      </c>
      <c r="K501" s="11">
        <v>0.0</v>
      </c>
      <c r="L501" s="11" t="s">
        <v>1879</v>
      </c>
      <c r="M501" s="11">
        <v>0.0</v>
      </c>
      <c r="N501" s="11" t="s">
        <v>2400</v>
      </c>
    </row>
    <row r="502">
      <c r="A502" s="11">
        <v>-20.0955162048339</v>
      </c>
      <c r="B502" s="11">
        <v>-22.5880889892578</v>
      </c>
      <c r="C502" s="11">
        <v>0.0</v>
      </c>
      <c r="D502" s="11" t="s">
        <v>1515</v>
      </c>
      <c r="E502" s="11">
        <v>0.0</v>
      </c>
      <c r="F502" s="11" t="s">
        <v>2401</v>
      </c>
      <c r="I502" s="11">
        <v>-33.1091384887695</v>
      </c>
      <c r="J502" s="11">
        <v>27.0340995788574</v>
      </c>
      <c r="K502" s="11">
        <v>0.0</v>
      </c>
      <c r="L502" s="11" t="s">
        <v>1879</v>
      </c>
      <c r="M502" s="11">
        <v>0.0</v>
      </c>
      <c r="N502" s="11" t="s">
        <v>2403</v>
      </c>
    </row>
    <row r="503">
      <c r="A503" s="11">
        <v>-12.850149154663</v>
      </c>
      <c r="B503" s="11">
        <v>-9.72001361846923</v>
      </c>
      <c r="C503" s="11">
        <v>0.0</v>
      </c>
      <c r="D503" s="11" t="s">
        <v>1515</v>
      </c>
      <c r="E503" s="11">
        <v>0.0</v>
      </c>
      <c r="F503" s="11" t="s">
        <v>1684</v>
      </c>
      <c r="I503" s="11">
        <v>-64.6549606323242</v>
      </c>
      <c r="J503" s="11">
        <v>-26.3975028991699</v>
      </c>
      <c r="K503" s="11">
        <v>0.0</v>
      </c>
      <c r="L503" s="11" t="s">
        <v>1879</v>
      </c>
      <c r="M503" s="11">
        <v>0.0</v>
      </c>
      <c r="N503" s="11" t="s">
        <v>2405</v>
      </c>
    </row>
    <row r="504">
      <c r="A504" s="11">
        <v>-43.6524429321289</v>
      </c>
      <c r="B504" s="11">
        <v>-13.2951927185058</v>
      </c>
      <c r="C504" s="11">
        <v>0.0</v>
      </c>
      <c r="D504" s="11" t="s">
        <v>1515</v>
      </c>
      <c r="E504" s="11">
        <v>0.0</v>
      </c>
      <c r="F504" s="11" t="s">
        <v>1686</v>
      </c>
      <c r="I504" s="11">
        <v>56.5173149108886</v>
      </c>
      <c r="J504" s="11">
        <v>1.2884167432785</v>
      </c>
      <c r="K504" s="11">
        <v>-1.0</v>
      </c>
      <c r="L504" s="11" t="s">
        <v>1390</v>
      </c>
      <c r="M504" s="11">
        <v>-1.0</v>
      </c>
      <c r="N504" s="11" t="s">
        <v>2407</v>
      </c>
    </row>
    <row r="505">
      <c r="A505" s="11">
        <v>74.1055297851562</v>
      </c>
      <c r="B505" s="11">
        <v>-1.9700344800949</v>
      </c>
      <c r="C505" s="11">
        <v>2.0</v>
      </c>
      <c r="D505" s="11" t="s">
        <v>1515</v>
      </c>
      <c r="E505" s="11">
        <v>2.0</v>
      </c>
      <c r="F505" s="11" t="s">
        <v>1688</v>
      </c>
      <c r="I505" s="11">
        <v>39.7261924743652</v>
      </c>
      <c r="J505" s="11">
        <v>20.1382961273193</v>
      </c>
      <c r="K505" s="11">
        <v>-1.0</v>
      </c>
      <c r="L505" s="11" t="s">
        <v>1390</v>
      </c>
      <c r="M505" s="11">
        <v>-1.0</v>
      </c>
      <c r="N505" s="11" t="s">
        <v>2408</v>
      </c>
    </row>
    <row r="506">
      <c r="A506" s="11">
        <v>7.5264549255371</v>
      </c>
      <c r="B506" s="11">
        <v>61.3688507080078</v>
      </c>
      <c r="C506" s="11">
        <v>0.0</v>
      </c>
      <c r="D506" s="11" t="s">
        <v>1515</v>
      </c>
      <c r="E506" s="11">
        <v>0.0</v>
      </c>
      <c r="F506" s="11" t="s">
        <v>1690</v>
      </c>
      <c r="I506" s="11">
        <v>-17.289041519165</v>
      </c>
      <c r="J506" s="11">
        <v>-41.9469871520996</v>
      </c>
      <c r="K506" s="11">
        <v>-1.0</v>
      </c>
      <c r="L506" s="11" t="s">
        <v>1390</v>
      </c>
      <c r="M506" s="11">
        <v>-1.0</v>
      </c>
      <c r="N506" s="11" t="s">
        <v>2410</v>
      </c>
    </row>
    <row r="507">
      <c r="A507" s="11">
        <v>51.5160026550293</v>
      </c>
      <c r="B507" s="11">
        <v>11.9792642593383</v>
      </c>
      <c r="C507" s="11">
        <v>1.0</v>
      </c>
      <c r="D507" s="11" t="s">
        <v>1515</v>
      </c>
      <c r="E507" s="11">
        <v>1.0</v>
      </c>
      <c r="F507" s="11" t="s">
        <v>1692</v>
      </c>
      <c r="I507" s="11">
        <v>-1.10677826404571</v>
      </c>
      <c r="J507" s="11">
        <v>4.86973428726196</v>
      </c>
      <c r="K507" s="11">
        <v>-1.0</v>
      </c>
      <c r="L507" s="11" t="s">
        <v>1390</v>
      </c>
      <c r="M507" s="11">
        <v>-1.0</v>
      </c>
      <c r="N507" s="11" t="s">
        <v>2412</v>
      </c>
    </row>
    <row r="508">
      <c r="A508" s="11">
        <v>-61.6082458496093</v>
      </c>
      <c r="B508" s="11">
        <v>-20.2905769348144</v>
      </c>
      <c r="C508" s="11">
        <v>0.0</v>
      </c>
      <c r="D508" s="11" t="s">
        <v>1515</v>
      </c>
      <c r="E508" s="11">
        <v>0.0</v>
      </c>
      <c r="F508" s="11" t="s">
        <v>1694</v>
      </c>
      <c r="I508" s="11">
        <v>21.8333053588867</v>
      </c>
      <c r="J508" s="11">
        <v>-27.7875709533691</v>
      </c>
      <c r="K508" s="11">
        <v>-1.0</v>
      </c>
      <c r="L508" s="11" t="s">
        <v>1390</v>
      </c>
      <c r="M508" s="11">
        <v>-1.0</v>
      </c>
      <c r="N508" s="11" t="s">
        <v>2415</v>
      </c>
    </row>
    <row r="509">
      <c r="A509" s="11">
        <v>-36.76753616333</v>
      </c>
      <c r="B509" s="11">
        <v>-51.3219718933105</v>
      </c>
      <c r="C509" s="11">
        <v>0.0</v>
      </c>
      <c r="D509" s="11" t="s">
        <v>1515</v>
      </c>
      <c r="E509" s="11">
        <v>0.0</v>
      </c>
      <c r="F509" s="11" t="s">
        <v>1696</v>
      </c>
      <c r="I509" s="11">
        <v>55.2572288513183</v>
      </c>
      <c r="J509" s="11">
        <v>1.02076983451843</v>
      </c>
      <c r="K509" s="11">
        <v>-1.0</v>
      </c>
      <c r="L509" s="11" t="s">
        <v>1390</v>
      </c>
      <c r="M509" s="11">
        <v>-1.0</v>
      </c>
      <c r="N509" s="11" t="s">
        <v>2416</v>
      </c>
    </row>
    <row r="510">
      <c r="A510" s="11">
        <v>-28.6575317382812</v>
      </c>
      <c r="B510" s="11">
        <v>-43.7419967651367</v>
      </c>
      <c r="C510" s="11">
        <v>0.0</v>
      </c>
      <c r="D510" s="11" t="s">
        <v>1515</v>
      </c>
      <c r="E510" s="11">
        <v>0.0</v>
      </c>
      <c r="F510" s="11" t="s">
        <v>1698</v>
      </c>
      <c r="I510" s="11">
        <v>39.9614372253418</v>
      </c>
      <c r="J510" s="11">
        <v>21.3968696594238</v>
      </c>
      <c r="K510" s="11">
        <v>-1.0</v>
      </c>
      <c r="L510" s="11" t="s">
        <v>1390</v>
      </c>
      <c r="M510" s="11">
        <v>-1.0</v>
      </c>
      <c r="N510" s="11" t="s">
        <v>2418</v>
      </c>
    </row>
    <row r="511">
      <c r="A511" s="11">
        <v>48.9327926635742</v>
      </c>
      <c r="B511" s="11">
        <v>8.85654067993164</v>
      </c>
      <c r="C511" s="11">
        <v>0.0</v>
      </c>
      <c r="D511" s="11" t="s">
        <v>1515</v>
      </c>
      <c r="E511" s="11">
        <v>0.0</v>
      </c>
      <c r="F511" s="11" t="s">
        <v>1700</v>
      </c>
      <c r="I511" s="11">
        <v>-17.4540863037109</v>
      </c>
      <c r="J511" s="11">
        <v>-40.681583404541</v>
      </c>
      <c r="K511" s="11">
        <v>-1.0</v>
      </c>
      <c r="L511" s="11" t="s">
        <v>1390</v>
      </c>
      <c r="M511" s="11">
        <v>-1.0</v>
      </c>
      <c r="N511" s="11" t="s">
        <v>2420</v>
      </c>
    </row>
    <row r="512">
      <c r="A512" s="11">
        <v>28.9109096527099</v>
      </c>
      <c r="B512" s="11">
        <v>23.999132156372</v>
      </c>
      <c r="C512" s="11">
        <v>0.0</v>
      </c>
      <c r="D512" s="11" t="s">
        <v>1515</v>
      </c>
      <c r="E512" s="11">
        <v>0.0</v>
      </c>
      <c r="F512" s="11" t="s">
        <v>2422</v>
      </c>
      <c r="I512" s="11">
        <v>-0.986814558506012</v>
      </c>
      <c r="J512" s="11">
        <v>3.58913850784301</v>
      </c>
      <c r="K512" s="11">
        <v>-1.0</v>
      </c>
      <c r="L512" s="11" t="s">
        <v>1390</v>
      </c>
      <c r="M512" s="11">
        <v>-1.0</v>
      </c>
      <c r="N512" s="11" t="s">
        <v>2423</v>
      </c>
    </row>
    <row r="513">
      <c r="A513" s="11">
        <v>-39.0258140563964</v>
      </c>
      <c r="B513" s="11">
        <v>-22.241491317749</v>
      </c>
      <c r="C513" s="11">
        <v>0.0</v>
      </c>
      <c r="D513" s="11" t="s">
        <v>1515</v>
      </c>
      <c r="E513" s="11">
        <v>0.0</v>
      </c>
      <c r="F513" s="11" t="s">
        <v>1702</v>
      </c>
      <c r="I513" s="11">
        <v>23.0826549530029</v>
      </c>
      <c r="J513" s="11">
        <v>-27.5400695800781</v>
      </c>
      <c r="K513" s="11">
        <v>-1.0</v>
      </c>
      <c r="L513" s="11" t="s">
        <v>1390</v>
      </c>
      <c r="M513" s="11">
        <v>-1.0</v>
      </c>
      <c r="N513" s="11" t="s">
        <v>2426</v>
      </c>
    </row>
    <row r="514">
      <c r="A514" s="11">
        <v>76.0606384277343</v>
      </c>
      <c r="B514" s="11">
        <v>-0.290459901094436</v>
      </c>
      <c r="C514" s="11">
        <v>0.0</v>
      </c>
      <c r="D514" s="11" t="s">
        <v>1515</v>
      </c>
      <c r="E514" s="11">
        <v>0.0</v>
      </c>
      <c r="F514" s="11" t="s">
        <v>1704</v>
      </c>
      <c r="I514" s="11">
        <v>56.4089317321777</v>
      </c>
      <c r="J514" s="11">
        <v>-1.45922482013702</v>
      </c>
      <c r="K514" s="11">
        <v>-1.0</v>
      </c>
      <c r="L514" s="11" t="s">
        <v>1390</v>
      </c>
      <c r="M514" s="11">
        <v>-1.0</v>
      </c>
      <c r="N514" s="11" t="s">
        <v>2428</v>
      </c>
    </row>
    <row r="515">
      <c r="A515" s="11">
        <v>53.3038787841796</v>
      </c>
      <c r="B515" s="11">
        <v>8.72092914581298</v>
      </c>
      <c r="C515" s="11">
        <v>0.0</v>
      </c>
      <c r="D515" s="11" t="s">
        <v>1515</v>
      </c>
      <c r="E515" s="11">
        <v>0.0</v>
      </c>
      <c r="F515" s="11" t="s">
        <v>1706</v>
      </c>
      <c r="I515" s="11">
        <v>38.3634147644043</v>
      </c>
      <c r="J515" s="11">
        <v>-14.0657577514648</v>
      </c>
      <c r="K515" s="11">
        <v>-1.0</v>
      </c>
      <c r="L515" s="11" t="s">
        <v>1390</v>
      </c>
      <c r="M515" s="11">
        <v>-1.0</v>
      </c>
      <c r="N515" s="11" t="s">
        <v>2430</v>
      </c>
    </row>
    <row r="516">
      <c r="A516" s="11">
        <v>-33.4097747802734</v>
      </c>
      <c r="B516" s="11">
        <v>-25.3673820495605</v>
      </c>
      <c r="C516" s="11">
        <v>0.0</v>
      </c>
      <c r="D516" s="11" t="s">
        <v>1515</v>
      </c>
      <c r="E516" s="11">
        <v>0.0</v>
      </c>
      <c r="F516" s="11" t="s">
        <v>1708</v>
      </c>
      <c r="I516" s="11">
        <v>30.4682273864746</v>
      </c>
      <c r="J516" s="11">
        <v>23.574722290039</v>
      </c>
      <c r="K516" s="11">
        <v>0.0</v>
      </c>
      <c r="L516" s="11" t="s">
        <v>1390</v>
      </c>
      <c r="M516" s="11">
        <v>0.0</v>
      </c>
      <c r="N516" s="11" t="s">
        <v>2432</v>
      </c>
    </row>
    <row r="517">
      <c r="A517" s="11">
        <v>-60.1947898864746</v>
      </c>
      <c r="B517" s="11">
        <v>-31.5619945526123</v>
      </c>
      <c r="C517" s="11">
        <v>0.0</v>
      </c>
      <c r="D517" s="11" t="s">
        <v>1515</v>
      </c>
      <c r="E517" s="11">
        <v>0.0</v>
      </c>
      <c r="F517" s="11" t="s">
        <v>1710</v>
      </c>
      <c r="I517" s="11">
        <v>63.7264442443847</v>
      </c>
      <c r="J517" s="11">
        <v>4.47059249877929</v>
      </c>
      <c r="K517" s="11">
        <v>0.0</v>
      </c>
      <c r="L517" s="11" t="s">
        <v>1390</v>
      </c>
      <c r="M517" s="11">
        <v>0.0</v>
      </c>
      <c r="N517" s="11" t="s">
        <v>2434</v>
      </c>
    </row>
    <row r="518">
      <c r="A518" s="11">
        <v>-16.4024486541748</v>
      </c>
      <c r="B518" s="11">
        <v>-56.7739639282226</v>
      </c>
      <c r="C518" s="11">
        <v>0.0</v>
      </c>
      <c r="D518" s="11" t="s">
        <v>1515</v>
      </c>
      <c r="E518" s="11">
        <v>0.0</v>
      </c>
      <c r="F518" s="11" t="s">
        <v>1712</v>
      </c>
      <c r="I518" s="11">
        <v>-12.6464500427246</v>
      </c>
      <c r="J518" s="11">
        <v>-6.13614130020141</v>
      </c>
      <c r="K518" s="11">
        <v>0.0</v>
      </c>
      <c r="L518" s="11" t="s">
        <v>1390</v>
      </c>
      <c r="M518" s="11">
        <v>0.0</v>
      </c>
      <c r="N518" s="11" t="s">
        <v>2436</v>
      </c>
    </row>
    <row r="519">
      <c r="A519" s="11">
        <v>14.7193899154663</v>
      </c>
      <c r="B519" s="11">
        <v>-17.8533325195312</v>
      </c>
      <c r="C519" s="11">
        <v>0.0</v>
      </c>
      <c r="D519" s="11" t="s">
        <v>1515</v>
      </c>
      <c r="E519" s="11">
        <v>0.0</v>
      </c>
      <c r="F519" s="11" t="s">
        <v>1714</v>
      </c>
      <c r="I519" s="11">
        <v>52.2885856628418</v>
      </c>
      <c r="J519" s="11">
        <v>-12.0235195159912</v>
      </c>
      <c r="K519" s="11">
        <v>0.0</v>
      </c>
      <c r="L519" s="11" t="s">
        <v>1390</v>
      </c>
      <c r="M519" s="11">
        <v>0.0</v>
      </c>
      <c r="N519" s="11" t="s">
        <v>2437</v>
      </c>
    </row>
    <row r="520">
      <c r="A520" s="11">
        <v>1.72529828548431</v>
      </c>
      <c r="B520" s="11">
        <v>17.5123405456542</v>
      </c>
      <c r="C520" s="11">
        <v>0.0</v>
      </c>
      <c r="D520" s="11" t="s">
        <v>1515</v>
      </c>
      <c r="E520" s="11">
        <v>0.0</v>
      </c>
      <c r="F520" s="11" t="s">
        <v>1716</v>
      </c>
      <c r="I520" s="11">
        <v>63.8721275329589</v>
      </c>
      <c r="J520" s="11">
        <v>2.42771816253662</v>
      </c>
      <c r="K520" s="11">
        <v>1.0</v>
      </c>
      <c r="L520" s="11" t="s">
        <v>1390</v>
      </c>
      <c r="M520" s="11">
        <v>1.0</v>
      </c>
      <c r="N520" s="11" t="s">
        <v>2438</v>
      </c>
    </row>
    <row r="521">
      <c r="A521" s="11">
        <v>-60.5691299438476</v>
      </c>
      <c r="B521" s="11">
        <v>-29.2611503601074</v>
      </c>
      <c r="C521" s="11">
        <v>0.0</v>
      </c>
      <c r="D521" s="11" t="s">
        <v>1515</v>
      </c>
      <c r="E521" s="11">
        <v>0.0</v>
      </c>
      <c r="F521" s="11" t="s">
        <v>1718</v>
      </c>
      <c r="I521" s="11">
        <v>65.7205429077148</v>
      </c>
      <c r="J521" s="11">
        <v>4.58029842376709</v>
      </c>
      <c r="K521" s="11">
        <v>1.0</v>
      </c>
      <c r="L521" s="11" t="s">
        <v>1390</v>
      </c>
      <c r="M521" s="11">
        <v>1.0</v>
      </c>
      <c r="N521" s="11" t="s">
        <v>2439</v>
      </c>
    </row>
    <row r="522">
      <c r="A522" s="11">
        <v>43.4612655639648</v>
      </c>
      <c r="B522" s="11">
        <v>-39.6428642272949</v>
      </c>
      <c r="C522" s="11">
        <v>0.0</v>
      </c>
      <c r="D522" s="11" t="s">
        <v>1515</v>
      </c>
      <c r="E522" s="11">
        <v>0.0</v>
      </c>
      <c r="F522" s="11" t="s">
        <v>1720</v>
      </c>
      <c r="I522" s="11">
        <v>-4.85212612152099</v>
      </c>
      <c r="J522" s="11">
        <v>-1.67802131175994</v>
      </c>
      <c r="K522" s="11">
        <v>0.0</v>
      </c>
      <c r="L522" s="11" t="s">
        <v>1390</v>
      </c>
      <c r="M522" s="11">
        <v>0.0</v>
      </c>
      <c r="N522" s="11" t="s">
        <v>2440</v>
      </c>
    </row>
    <row r="523">
      <c r="A523" s="11">
        <v>-5.23339653015136</v>
      </c>
      <c r="B523" s="11">
        <v>19.6517829895019</v>
      </c>
      <c r="C523" s="11">
        <v>0.0</v>
      </c>
      <c r="D523" s="11" t="s">
        <v>1515</v>
      </c>
      <c r="E523" s="11">
        <v>0.0</v>
      </c>
      <c r="F523" s="11" t="s">
        <v>1723</v>
      </c>
      <c r="I523" s="11">
        <v>39.6731147766113</v>
      </c>
      <c r="J523" s="11">
        <v>-28.7289009094238</v>
      </c>
      <c r="K523" s="11">
        <v>0.0</v>
      </c>
      <c r="L523" s="11" t="s">
        <v>1390</v>
      </c>
      <c r="M523" s="11">
        <v>0.0</v>
      </c>
      <c r="N523" s="11" t="s">
        <v>2441</v>
      </c>
    </row>
    <row r="524">
      <c r="A524" s="11">
        <v>7.22440719604492</v>
      </c>
      <c r="B524" s="11">
        <v>0.938684165477752</v>
      </c>
      <c r="C524" s="11">
        <v>0.0</v>
      </c>
      <c r="D524" s="11" t="s">
        <v>1515</v>
      </c>
      <c r="E524" s="11">
        <v>0.0</v>
      </c>
      <c r="F524" s="11" t="s">
        <v>1725</v>
      </c>
      <c r="I524" s="11">
        <v>33.6088485717773</v>
      </c>
      <c r="J524" s="11">
        <v>-19.2859935760498</v>
      </c>
      <c r="K524" s="11">
        <v>-1.0</v>
      </c>
      <c r="L524" s="11" t="s">
        <v>1390</v>
      </c>
      <c r="M524" s="11">
        <v>-1.0</v>
      </c>
      <c r="N524" s="11" t="s">
        <v>2442</v>
      </c>
    </row>
    <row r="525">
      <c r="A525" s="11">
        <v>14.4723901748657</v>
      </c>
      <c r="B525" s="11">
        <v>-56.8576736450195</v>
      </c>
      <c r="C525" s="11">
        <v>0.0</v>
      </c>
      <c r="D525" s="11" t="s">
        <v>1515</v>
      </c>
      <c r="E525" s="11">
        <v>0.0</v>
      </c>
      <c r="F525" s="11" t="s">
        <v>1728</v>
      </c>
      <c r="I525" s="11">
        <v>37.0324325561523</v>
      </c>
      <c r="J525" s="11">
        <v>-21.3812408447265</v>
      </c>
      <c r="K525" s="11">
        <v>-1.0</v>
      </c>
      <c r="L525" s="11" t="s">
        <v>1390</v>
      </c>
      <c r="M525" s="11">
        <v>-1.0</v>
      </c>
      <c r="N525" s="11" t="s">
        <v>2443</v>
      </c>
    </row>
    <row r="526">
      <c r="A526" s="11">
        <v>-26.9945526123046</v>
      </c>
      <c r="B526" s="11">
        <v>-52.2547531127929</v>
      </c>
      <c r="C526" s="11">
        <v>0.0</v>
      </c>
      <c r="D526" s="11" t="s">
        <v>1515</v>
      </c>
      <c r="E526" s="11">
        <v>0.0</v>
      </c>
      <c r="F526" s="11" t="s">
        <v>1730</v>
      </c>
      <c r="I526" s="11">
        <v>32.2202491760253</v>
      </c>
      <c r="J526" s="11">
        <v>-27.9814262390136</v>
      </c>
      <c r="K526" s="11">
        <v>-1.0</v>
      </c>
      <c r="L526" s="11" t="s">
        <v>1390</v>
      </c>
      <c r="M526" s="11">
        <v>-1.0</v>
      </c>
      <c r="N526" s="11" t="s">
        <v>2444</v>
      </c>
    </row>
    <row r="527">
      <c r="A527" s="11">
        <v>-46.5772857666015</v>
      </c>
      <c r="B527" s="11">
        <v>-12.6236677169799</v>
      </c>
      <c r="C527" s="11">
        <v>0.0</v>
      </c>
      <c r="D527" s="11" t="s">
        <v>1515</v>
      </c>
      <c r="E527" s="11">
        <v>0.0</v>
      </c>
      <c r="F527" s="11" t="s">
        <v>1731</v>
      </c>
      <c r="I527" s="11">
        <v>-23.0119132995605</v>
      </c>
      <c r="J527" s="11">
        <v>42.5131187438964</v>
      </c>
      <c r="K527" s="11">
        <v>0.0</v>
      </c>
      <c r="L527" s="11" t="s">
        <v>1879</v>
      </c>
      <c r="M527" s="11">
        <v>0.0</v>
      </c>
      <c r="N527" s="11" t="s">
        <v>2445</v>
      </c>
    </row>
    <row r="528">
      <c r="A528" s="11">
        <v>-25.5959300994873</v>
      </c>
      <c r="B528" s="11">
        <v>-36.5509567260742</v>
      </c>
      <c r="C528" s="11">
        <v>0.0</v>
      </c>
      <c r="D528" s="11" t="s">
        <v>1515</v>
      </c>
      <c r="E528" s="11">
        <v>0.0</v>
      </c>
      <c r="F528" s="11" t="s">
        <v>1733</v>
      </c>
      <c r="I528" s="11">
        <v>-22.1956539154052</v>
      </c>
      <c r="J528" s="11">
        <v>41.10786819458</v>
      </c>
      <c r="K528" s="11">
        <v>0.0</v>
      </c>
      <c r="L528" s="11" t="s">
        <v>1879</v>
      </c>
      <c r="M528" s="11">
        <v>0.0</v>
      </c>
      <c r="N528" s="11" t="s">
        <v>2446</v>
      </c>
    </row>
    <row r="529">
      <c r="A529" s="11">
        <v>-26.3850193023681</v>
      </c>
      <c r="B529" s="11">
        <v>-32.2411842346191</v>
      </c>
      <c r="C529" s="11">
        <v>0.0</v>
      </c>
      <c r="D529" s="11" t="s">
        <v>1515</v>
      </c>
      <c r="E529" s="11">
        <v>0.0</v>
      </c>
      <c r="F529" s="11" t="s">
        <v>1735</v>
      </c>
      <c r="I529" s="11">
        <v>15.2640590667724</v>
      </c>
      <c r="J529" s="11">
        <v>19.4634246826171</v>
      </c>
      <c r="K529" s="11">
        <v>0.0</v>
      </c>
      <c r="L529" s="11" t="s">
        <v>1390</v>
      </c>
      <c r="M529" s="11">
        <v>0.0</v>
      </c>
      <c r="N529" s="11" t="s">
        <v>2447</v>
      </c>
    </row>
    <row r="530">
      <c r="A530" s="11">
        <v>51.997688293457</v>
      </c>
      <c r="B530" s="11">
        <v>8.07184410095214</v>
      </c>
      <c r="C530" s="11">
        <v>0.0</v>
      </c>
      <c r="D530" s="11" t="s">
        <v>1515</v>
      </c>
      <c r="E530" s="11">
        <v>0.0</v>
      </c>
      <c r="F530" s="11" t="s">
        <v>1737</v>
      </c>
      <c r="I530" s="11">
        <v>15.642123222351</v>
      </c>
      <c r="J530" s="11">
        <v>57.8672904968261</v>
      </c>
      <c r="K530" s="11">
        <v>-1.0</v>
      </c>
      <c r="L530" s="11" t="s">
        <v>1390</v>
      </c>
      <c r="M530" s="11">
        <v>-1.0</v>
      </c>
      <c r="N530" s="11" t="s">
        <v>2448</v>
      </c>
    </row>
    <row r="531">
      <c r="A531" s="11">
        <v>-10.2063989639282</v>
      </c>
      <c r="B531" s="11">
        <v>-20.1790180206298</v>
      </c>
      <c r="C531" s="11">
        <v>0.0</v>
      </c>
      <c r="D531" s="11" t="s">
        <v>1515</v>
      </c>
      <c r="E531" s="11">
        <v>0.0</v>
      </c>
      <c r="F531" s="11" t="s">
        <v>1738</v>
      </c>
      <c r="I531" s="11">
        <v>17.4621257781982</v>
      </c>
      <c r="J531" s="11">
        <v>20.4769039154052</v>
      </c>
      <c r="K531" s="11">
        <v>0.0</v>
      </c>
      <c r="L531" s="11" t="s">
        <v>1390</v>
      </c>
      <c r="M531" s="11">
        <v>0.0</v>
      </c>
      <c r="N531" s="11" t="s">
        <v>2449</v>
      </c>
    </row>
    <row r="532">
      <c r="A532" s="11">
        <v>-12.2682456970214</v>
      </c>
      <c r="B532" s="11">
        <v>-42.8734550476074</v>
      </c>
      <c r="C532" s="11">
        <v>0.0</v>
      </c>
      <c r="D532" s="11" t="s">
        <v>1515</v>
      </c>
      <c r="E532" s="11">
        <v>0.0</v>
      </c>
      <c r="F532" s="11" t="s">
        <v>1740</v>
      </c>
      <c r="I532" s="11">
        <v>14.3407192230224</v>
      </c>
      <c r="J532" s="11">
        <v>59.8471336364746</v>
      </c>
      <c r="K532" s="11">
        <v>-1.0</v>
      </c>
      <c r="L532" s="11" t="s">
        <v>1390</v>
      </c>
      <c r="M532" s="11">
        <v>-1.0</v>
      </c>
      <c r="N532" s="11" t="s">
        <v>2450</v>
      </c>
    </row>
    <row r="533">
      <c r="A533" s="11">
        <v>43.4612655639648</v>
      </c>
      <c r="B533" s="11">
        <v>-39.6428642272949</v>
      </c>
      <c r="C533" s="11">
        <v>0.0</v>
      </c>
      <c r="D533" s="11" t="s">
        <v>1515</v>
      </c>
      <c r="E533" s="11">
        <v>0.0</v>
      </c>
      <c r="F533" s="11" t="s">
        <v>1742</v>
      </c>
      <c r="I533" s="11">
        <v>14.6091890335083</v>
      </c>
      <c r="J533" s="11">
        <v>24.1314105987548</v>
      </c>
      <c r="K533" s="11">
        <v>0.0</v>
      </c>
      <c r="L533" s="11" t="s">
        <v>1390</v>
      </c>
      <c r="M533" s="11">
        <v>0.0</v>
      </c>
      <c r="N533" s="11" t="s">
        <v>2451</v>
      </c>
    </row>
    <row r="534">
      <c r="A534" s="11">
        <v>-20.7298126220703</v>
      </c>
      <c r="B534" s="11">
        <v>-30.094347000122</v>
      </c>
      <c r="C534" s="11">
        <v>0.0</v>
      </c>
      <c r="D534" s="11" t="s">
        <v>1515</v>
      </c>
      <c r="E534" s="11">
        <v>0.0</v>
      </c>
      <c r="F534" s="11" t="s">
        <v>1744</v>
      </c>
      <c r="I534" s="11">
        <v>16.8881473541259</v>
      </c>
      <c r="J534" s="11">
        <v>60.1060371398925</v>
      </c>
      <c r="K534" s="11">
        <v>0.0</v>
      </c>
      <c r="L534" s="11" t="s">
        <v>1390</v>
      </c>
      <c r="M534" s="11">
        <v>0.0</v>
      </c>
      <c r="N534" s="11" t="s">
        <v>2452</v>
      </c>
    </row>
    <row r="535">
      <c r="A535" s="11">
        <v>28.2005500793457</v>
      </c>
      <c r="B535" s="11">
        <v>32.4198341369628</v>
      </c>
      <c r="C535" s="11">
        <v>2.0</v>
      </c>
      <c r="D535" s="11" t="s">
        <v>1515</v>
      </c>
      <c r="E535" s="11">
        <v>2.0</v>
      </c>
      <c r="F535" s="11" t="s">
        <v>2453</v>
      </c>
      <c r="I535" s="11">
        <v>17.0012531280517</v>
      </c>
      <c r="J535" s="11">
        <v>24.8127288818359</v>
      </c>
      <c r="K535" s="11">
        <v>0.0</v>
      </c>
      <c r="L535" s="11" t="s">
        <v>1390</v>
      </c>
      <c r="M535" s="11">
        <v>0.0</v>
      </c>
      <c r="N535" s="11" t="s">
        <v>2454</v>
      </c>
    </row>
    <row r="536">
      <c r="A536" s="11">
        <v>17.2480525970459</v>
      </c>
      <c r="B536" s="11">
        <v>-10.7506284713745</v>
      </c>
      <c r="C536" s="11">
        <v>0.0</v>
      </c>
      <c r="D536" s="11" t="s">
        <v>1515</v>
      </c>
      <c r="E536" s="11">
        <v>0.0</v>
      </c>
      <c r="F536" s="11" t="s">
        <v>1746</v>
      </c>
      <c r="I536" s="11">
        <v>19.6256027221679</v>
      </c>
      <c r="J536" s="11">
        <v>56.0644302368164</v>
      </c>
      <c r="K536" s="11">
        <v>0.0</v>
      </c>
      <c r="L536" s="11" t="s">
        <v>1390</v>
      </c>
      <c r="M536" s="11">
        <v>0.0</v>
      </c>
      <c r="N536" s="11" t="s">
        <v>2455</v>
      </c>
    </row>
    <row r="537">
      <c r="A537" s="11">
        <v>-71.385871887207</v>
      </c>
      <c r="B537" s="11">
        <v>-8.97086334228515</v>
      </c>
      <c r="C537" s="11">
        <v>0.0</v>
      </c>
      <c r="D537" s="11" t="s">
        <v>1515</v>
      </c>
      <c r="E537" s="11">
        <v>0.0</v>
      </c>
      <c r="F537" s="11" t="s">
        <v>1748</v>
      </c>
      <c r="I537" s="11">
        <v>19.4712810516357</v>
      </c>
      <c r="J537" s="11">
        <v>24.7278861999511</v>
      </c>
      <c r="K537" s="11">
        <v>0.0</v>
      </c>
      <c r="L537" s="11" t="s">
        <v>1390</v>
      </c>
      <c r="M537" s="11">
        <v>0.0</v>
      </c>
      <c r="N537" s="11" t="s">
        <v>2456</v>
      </c>
    </row>
    <row r="538">
      <c r="A538" s="11">
        <v>44.5324554443359</v>
      </c>
      <c r="B538" s="11">
        <v>-39.0773620605468</v>
      </c>
      <c r="C538" s="11">
        <v>0.0</v>
      </c>
      <c r="D538" s="11" t="s">
        <v>1515</v>
      </c>
      <c r="E538" s="11">
        <v>0.0</v>
      </c>
      <c r="F538" s="11" t="s">
        <v>1750</v>
      </c>
      <c r="I538" s="11">
        <v>15.371898651123</v>
      </c>
      <c r="J538" s="11">
        <v>62.2389183044433</v>
      </c>
      <c r="K538" s="11">
        <v>0.0</v>
      </c>
      <c r="L538" s="11" t="s">
        <v>1390</v>
      </c>
      <c r="M538" s="11">
        <v>0.0</v>
      </c>
      <c r="N538" s="11" t="s">
        <v>2457</v>
      </c>
    </row>
    <row r="539">
      <c r="A539" s="11">
        <v>-33.9391441345214</v>
      </c>
      <c r="B539" s="11">
        <v>-14.506869316101</v>
      </c>
      <c r="C539" s="11">
        <v>0.0</v>
      </c>
      <c r="D539" s="11" t="s">
        <v>1515</v>
      </c>
      <c r="E539" s="11">
        <v>0.0</v>
      </c>
      <c r="F539" s="11" t="s">
        <v>1752</v>
      </c>
      <c r="I539" s="11">
        <v>18.4342288970947</v>
      </c>
      <c r="J539" s="11">
        <v>22.5491542816162</v>
      </c>
      <c r="K539" s="11">
        <v>0.0</v>
      </c>
      <c r="L539" s="11" t="s">
        <v>1390</v>
      </c>
      <c r="M539" s="11">
        <v>0.0</v>
      </c>
      <c r="N539" s="11" t="s">
        <v>2458</v>
      </c>
    </row>
    <row r="540">
      <c r="A540" s="11">
        <v>32.7589607238769</v>
      </c>
      <c r="B540" s="11">
        <v>-40.8813667297363</v>
      </c>
      <c r="C540" s="11">
        <v>-1.0</v>
      </c>
      <c r="D540" s="11" t="s">
        <v>1515</v>
      </c>
      <c r="E540" s="11">
        <v>-1.0</v>
      </c>
      <c r="F540" s="11" t="s">
        <v>1754</v>
      </c>
      <c r="I540" s="11">
        <v>18.1849136352539</v>
      </c>
      <c r="J540" s="11">
        <v>58.2028274536132</v>
      </c>
      <c r="K540" s="11">
        <v>0.0</v>
      </c>
      <c r="L540" s="11" t="s">
        <v>1390</v>
      </c>
      <c r="M540" s="11">
        <v>0.0</v>
      </c>
      <c r="N540" s="11" t="s">
        <v>2459</v>
      </c>
    </row>
    <row r="541">
      <c r="A541" s="11">
        <v>-9.17902088165283</v>
      </c>
      <c r="B541" s="11">
        <v>-25.9614906311035</v>
      </c>
      <c r="C541" s="11">
        <v>-1.0</v>
      </c>
      <c r="D541" s="11" t="s">
        <v>1515</v>
      </c>
      <c r="E541" s="11">
        <v>-1.0</v>
      </c>
      <c r="F541" s="11" t="s">
        <v>1757</v>
      </c>
      <c r="I541" s="11">
        <v>16.1991291046142</v>
      </c>
      <c r="J541" s="11">
        <v>22.3058032989501</v>
      </c>
      <c r="K541" s="11">
        <v>0.0</v>
      </c>
      <c r="L541" s="11" t="s">
        <v>1390</v>
      </c>
      <c r="M541" s="11">
        <v>0.0</v>
      </c>
      <c r="N541" s="11" t="s">
        <v>2460</v>
      </c>
    </row>
    <row r="542">
      <c r="A542" s="11">
        <v>7.55400037765502</v>
      </c>
      <c r="B542" s="11">
        <v>-39.8013038635253</v>
      </c>
      <c r="C542" s="11">
        <v>0.0</v>
      </c>
      <c r="D542" s="11" t="s">
        <v>1515</v>
      </c>
      <c r="E542" s="11">
        <v>0.0</v>
      </c>
      <c r="F542" s="11" t="s">
        <v>1759</v>
      </c>
      <c r="I542" s="11">
        <v>17.7915649414062</v>
      </c>
      <c r="J542" s="11">
        <v>62.5253753662109</v>
      </c>
      <c r="K542" s="11">
        <v>0.0</v>
      </c>
      <c r="L542" s="11" t="s">
        <v>1390</v>
      </c>
      <c r="M542" s="11">
        <v>0.0</v>
      </c>
      <c r="N542" s="11" t="s">
        <v>2461</v>
      </c>
    </row>
    <row r="543">
      <c r="A543" s="11">
        <v>-34.0301322937011</v>
      </c>
      <c r="B543" s="11">
        <v>-36.3030090332031</v>
      </c>
      <c r="C543" s="11">
        <v>0.0</v>
      </c>
      <c r="D543" s="11" t="s">
        <v>1515</v>
      </c>
      <c r="E543" s="11">
        <v>0.0</v>
      </c>
      <c r="F543" s="11" t="s">
        <v>1760</v>
      </c>
      <c r="I543" s="11">
        <v>20.0538387298584</v>
      </c>
      <c r="J543" s="11">
        <v>20.3066005706787</v>
      </c>
      <c r="K543" s="11">
        <v>0.0</v>
      </c>
      <c r="L543" s="11" t="s">
        <v>1390</v>
      </c>
      <c r="M543" s="11">
        <v>0.0</v>
      </c>
      <c r="N543" s="11" t="s">
        <v>2462</v>
      </c>
    </row>
    <row r="544">
      <c r="A544" s="11">
        <v>-10.2709903717041</v>
      </c>
      <c r="B544" s="11">
        <v>-42.9426536560058</v>
      </c>
      <c r="C544" s="11">
        <v>0.0</v>
      </c>
      <c r="D544" s="11" t="s">
        <v>1515</v>
      </c>
      <c r="E544" s="11">
        <v>0.0</v>
      </c>
      <c r="F544" s="11" t="s">
        <v>1763</v>
      </c>
      <c r="I544" s="11">
        <v>3.6286301612854</v>
      </c>
      <c r="J544" s="11">
        <v>21.5995635986328</v>
      </c>
      <c r="K544" s="11">
        <v>0.0</v>
      </c>
      <c r="L544" s="11" t="s">
        <v>1390</v>
      </c>
      <c r="M544" s="11">
        <v>0.0</v>
      </c>
      <c r="N544" s="11" t="s">
        <v>2463</v>
      </c>
    </row>
    <row r="545">
      <c r="A545" s="11">
        <v>-78.3907699584961</v>
      </c>
      <c r="B545" s="11">
        <v>-10.5787353515625</v>
      </c>
      <c r="C545" s="11">
        <v>0.0</v>
      </c>
      <c r="D545" s="11" t="s">
        <v>1515</v>
      </c>
      <c r="E545" s="11">
        <v>0.0</v>
      </c>
      <c r="F545" s="11" t="s">
        <v>1765</v>
      </c>
      <c r="I545" s="11">
        <v>19.2448558807373</v>
      </c>
      <c r="J545" s="11">
        <v>60.2999153137207</v>
      </c>
      <c r="K545" s="11">
        <v>-1.0</v>
      </c>
      <c r="L545" s="11" t="s">
        <v>1390</v>
      </c>
      <c r="M545" s="11">
        <v>-1.0</v>
      </c>
      <c r="N545" s="11" t="s">
        <v>2464</v>
      </c>
    </row>
    <row r="546">
      <c r="A546" s="11">
        <v>-14.4497985839843</v>
      </c>
      <c r="B546" s="11">
        <v>-35.5428886413574</v>
      </c>
      <c r="C546" s="11">
        <v>0.0</v>
      </c>
      <c r="D546" s="11" t="s">
        <v>1515</v>
      </c>
      <c r="E546" s="11">
        <v>0.0</v>
      </c>
      <c r="F546" s="11" t="s">
        <v>1767</v>
      </c>
      <c r="I546" s="11">
        <v>21.0007038116455</v>
      </c>
      <c r="J546" s="11">
        <v>22.475601196289</v>
      </c>
      <c r="K546" s="11">
        <v>0.0</v>
      </c>
      <c r="L546" s="11" t="s">
        <v>1390</v>
      </c>
      <c r="M546" s="11">
        <v>0.0</v>
      </c>
      <c r="N546" s="11" t="s">
        <v>2465</v>
      </c>
    </row>
    <row r="547">
      <c r="A547" s="11">
        <v>-21.7027645111084</v>
      </c>
      <c r="B547" s="11">
        <v>-42.4411926269531</v>
      </c>
      <c r="C547" s="11">
        <v>0.0</v>
      </c>
      <c r="D547" s="11" t="s">
        <v>1515</v>
      </c>
      <c r="E547" s="11">
        <v>0.0</v>
      </c>
      <c r="F547" s="11" t="s">
        <v>1769</v>
      </c>
      <c r="I547" s="11">
        <v>1.96536326408386</v>
      </c>
      <c r="J547" s="11">
        <v>22.9586181640625</v>
      </c>
      <c r="K547" s="11">
        <v>0.0</v>
      </c>
      <c r="L547" s="11" t="s">
        <v>1390</v>
      </c>
      <c r="M547" s="11">
        <v>0.0</v>
      </c>
      <c r="N547" s="11" t="s">
        <v>2466</v>
      </c>
    </row>
    <row r="548">
      <c r="A548" s="11">
        <v>-8.25607395172119</v>
      </c>
      <c r="B548" s="11">
        <v>-42.3574256896972</v>
      </c>
      <c r="C548" s="11">
        <v>0.0</v>
      </c>
      <c r="D548" s="11" t="s">
        <v>1515</v>
      </c>
      <c r="E548" s="11">
        <v>0.0</v>
      </c>
      <c r="F548" s="11" t="s">
        <v>1771</v>
      </c>
      <c r="I548" s="11">
        <v>20.8423461914062</v>
      </c>
      <c r="J548" s="11">
        <v>58.2283401489257</v>
      </c>
      <c r="K548" s="11">
        <v>0.0</v>
      </c>
      <c r="L548" s="11" t="s">
        <v>1390</v>
      </c>
      <c r="M548" s="11">
        <v>0.0</v>
      </c>
      <c r="N548" s="11" t="s">
        <v>2467</v>
      </c>
    </row>
    <row r="549">
      <c r="A549" s="11">
        <v>-12.2000675201416</v>
      </c>
      <c r="B549" s="11">
        <v>-41.6376800537109</v>
      </c>
      <c r="C549" s="11">
        <v>0.0</v>
      </c>
      <c r="D549" s="11" t="s">
        <v>1515</v>
      </c>
      <c r="E549" s="11">
        <v>0.0</v>
      </c>
      <c r="F549" s="11" t="s">
        <v>1773</v>
      </c>
      <c r="I549" s="11">
        <v>13.9076499938964</v>
      </c>
      <c r="J549" s="11">
        <v>21.5101604461669</v>
      </c>
      <c r="K549" s="11">
        <v>0.0</v>
      </c>
      <c r="L549" s="11" t="s">
        <v>1390</v>
      </c>
      <c r="M549" s="11">
        <v>0.0</v>
      </c>
      <c r="N549" s="11" t="s">
        <v>2468</v>
      </c>
    </row>
    <row r="550">
      <c r="A550" s="11">
        <v>15.2110614776611</v>
      </c>
      <c r="B550" s="11">
        <v>29.3091526031494</v>
      </c>
      <c r="C550" s="11">
        <v>2.0</v>
      </c>
      <c r="D550" s="11" t="s">
        <v>1515</v>
      </c>
      <c r="E550" s="11">
        <v>2.0</v>
      </c>
      <c r="F550" s="11" t="s">
        <v>2469</v>
      </c>
      <c r="I550" s="11">
        <v>17.0474243164062</v>
      </c>
      <c r="J550" s="11">
        <v>55.9074325561523</v>
      </c>
      <c r="K550" s="11">
        <v>-1.0</v>
      </c>
      <c r="L550" s="11" t="s">
        <v>1390</v>
      </c>
      <c r="M550" s="11">
        <v>-1.0</v>
      </c>
      <c r="N550" s="11" t="s">
        <v>2470</v>
      </c>
    </row>
    <row r="551">
      <c r="A551" s="11">
        <v>-25.2131652832031</v>
      </c>
      <c r="B551" s="11">
        <v>-7.8154182434082</v>
      </c>
      <c r="C551" s="11">
        <v>0.0</v>
      </c>
      <c r="D551" s="11" t="s">
        <v>1515</v>
      </c>
      <c r="E551" s="11">
        <v>0.0</v>
      </c>
      <c r="F551" s="11" t="s">
        <v>1776</v>
      </c>
      <c r="I551" s="11">
        <v>-10.6187839508056</v>
      </c>
      <c r="J551" s="11">
        <v>65.3502807617187</v>
      </c>
      <c r="K551" s="11">
        <v>-2.0</v>
      </c>
      <c r="L551" s="11" t="s">
        <v>1879</v>
      </c>
      <c r="M551" s="11">
        <v>-2.0</v>
      </c>
      <c r="N551" s="11" t="s">
        <v>2471</v>
      </c>
    </row>
    <row r="552">
      <c r="A552" s="11">
        <v>-7.0538420677185</v>
      </c>
      <c r="B552" s="11">
        <v>-7.46090269088745</v>
      </c>
      <c r="C552" s="11">
        <v>1.0</v>
      </c>
      <c r="D552" s="11" t="s">
        <v>1515</v>
      </c>
      <c r="E552" s="11">
        <v>1.0</v>
      </c>
      <c r="F552" s="11" t="s">
        <v>1778</v>
      </c>
      <c r="I552" s="11">
        <v>-12.9471759796142</v>
      </c>
      <c r="J552" s="11">
        <v>65.6041564941406</v>
      </c>
      <c r="K552" s="11">
        <v>-2.0</v>
      </c>
      <c r="L552" s="11" t="s">
        <v>1879</v>
      </c>
      <c r="M552" s="11">
        <v>-2.0</v>
      </c>
      <c r="N552" s="11" t="s">
        <v>2472</v>
      </c>
    </row>
    <row r="553">
      <c r="A553" s="11">
        <v>48.2491111755371</v>
      </c>
      <c r="B553" s="11">
        <v>-17.4201984405517</v>
      </c>
      <c r="C553" s="11">
        <v>2.0</v>
      </c>
      <c r="D553" s="11" t="s">
        <v>1515</v>
      </c>
      <c r="E553" s="11">
        <v>2.0</v>
      </c>
      <c r="F553" s="11" t="s">
        <v>2473</v>
      </c>
      <c r="I553" s="11">
        <v>-14.48468875885</v>
      </c>
      <c r="J553" s="11">
        <v>64.1835479736328</v>
      </c>
      <c r="K553" s="11">
        <v>-2.0</v>
      </c>
      <c r="L553" s="11" t="s">
        <v>1879</v>
      </c>
      <c r="M553" s="11">
        <v>-2.0</v>
      </c>
      <c r="N553" s="11" t="s">
        <v>2474</v>
      </c>
    </row>
    <row r="554">
      <c r="A554" s="11">
        <v>-10.2214946746826</v>
      </c>
      <c r="B554" s="11">
        <v>24.9988746643066</v>
      </c>
      <c r="C554" s="11">
        <v>-1.0</v>
      </c>
      <c r="D554" s="11" t="s">
        <v>1515</v>
      </c>
      <c r="E554" s="11">
        <v>-1.0</v>
      </c>
      <c r="F554" s="11" t="s">
        <v>1780</v>
      </c>
      <c r="I554" s="11">
        <v>-14.7291755676269</v>
      </c>
      <c r="J554" s="11">
        <v>67.299819946289</v>
      </c>
      <c r="K554" s="11">
        <v>-2.0</v>
      </c>
      <c r="L554" s="11" t="s">
        <v>1879</v>
      </c>
      <c r="M554" s="11">
        <v>-2.0</v>
      </c>
      <c r="N554" s="11" t="s">
        <v>2475</v>
      </c>
    </row>
    <row r="555">
      <c r="A555" s="11">
        <v>16.5670471191406</v>
      </c>
      <c r="B555" s="11">
        <v>46.4143905639648</v>
      </c>
      <c r="C555" s="11">
        <v>2.0</v>
      </c>
      <c r="D555" s="11" t="s">
        <v>1515</v>
      </c>
      <c r="E555" s="11">
        <v>2.0</v>
      </c>
      <c r="F555" s="11" t="s">
        <v>2476</v>
      </c>
      <c r="I555" s="11">
        <v>-21.5813274383544</v>
      </c>
      <c r="J555" s="11">
        <v>56.244571685791</v>
      </c>
      <c r="K555" s="11">
        <v>-2.0</v>
      </c>
      <c r="L555" s="11" t="s">
        <v>1879</v>
      </c>
      <c r="M555" s="11">
        <v>-2.0</v>
      </c>
      <c r="N555" s="11" t="s">
        <v>2477</v>
      </c>
    </row>
    <row r="556">
      <c r="A556" s="11">
        <v>75.9053344726562</v>
      </c>
      <c r="B556" s="11">
        <v>-2.86215639114379</v>
      </c>
      <c r="C556" s="11">
        <v>2.0</v>
      </c>
      <c r="D556" s="11" t="s">
        <v>1515</v>
      </c>
      <c r="E556" s="11">
        <v>2.0</v>
      </c>
      <c r="F556" s="11" t="s">
        <v>1783</v>
      </c>
      <c r="I556" s="11">
        <v>9.24055194854736</v>
      </c>
      <c r="J556" s="11">
        <v>60.405345916748</v>
      </c>
      <c r="K556" s="11">
        <v>-2.0</v>
      </c>
      <c r="L556" s="11" t="s">
        <v>1879</v>
      </c>
      <c r="M556" s="11">
        <v>-2.0</v>
      </c>
      <c r="N556" s="11" t="s">
        <v>2478</v>
      </c>
    </row>
    <row r="557">
      <c r="A557" s="11">
        <v>67.1383590698242</v>
      </c>
      <c r="B557" s="11">
        <v>-29.5863609313964</v>
      </c>
      <c r="C557" s="11">
        <v>0.0</v>
      </c>
      <c r="D557" s="11" t="s">
        <v>1515</v>
      </c>
      <c r="E557" s="11">
        <v>0.0</v>
      </c>
      <c r="F557" s="11" t="s">
        <v>1786</v>
      </c>
      <c r="I557" s="11">
        <v>-16.5361804962158</v>
      </c>
      <c r="J557" s="11">
        <v>65.5700759887695</v>
      </c>
      <c r="K557" s="11">
        <v>-2.0</v>
      </c>
      <c r="L557" s="11" t="s">
        <v>1879</v>
      </c>
      <c r="M557" s="11">
        <v>-2.0</v>
      </c>
      <c r="N557" s="11" t="s">
        <v>2479</v>
      </c>
    </row>
    <row r="558">
      <c r="A558" s="11">
        <v>-3.51528000831604</v>
      </c>
      <c r="B558" s="11">
        <v>-28.4550666809082</v>
      </c>
      <c r="C558" s="11">
        <v>0.0</v>
      </c>
      <c r="D558" s="11" t="s">
        <v>1515</v>
      </c>
      <c r="E558" s="11">
        <v>0.0</v>
      </c>
      <c r="F558" s="11" t="s">
        <v>1788</v>
      </c>
    </row>
    <row r="559">
      <c r="A559" s="11">
        <v>-51.1698265075683</v>
      </c>
      <c r="B559" s="11">
        <v>-35.3335609436035</v>
      </c>
      <c r="C559" s="11">
        <v>0.0</v>
      </c>
      <c r="D559" s="11" t="s">
        <v>1515</v>
      </c>
      <c r="E559" s="11">
        <v>0.0</v>
      </c>
      <c r="F559" s="11" t="s">
        <v>1790</v>
      </c>
    </row>
    <row r="560">
      <c r="A560" s="11">
        <v>4.05343914031982</v>
      </c>
      <c r="B560" s="11">
        <v>-3.92611408233642</v>
      </c>
      <c r="C560" s="11">
        <v>0.0</v>
      </c>
      <c r="D560" s="11" t="s">
        <v>1515</v>
      </c>
      <c r="E560" s="11">
        <v>0.0</v>
      </c>
      <c r="F560" s="11" t="s">
        <v>1792</v>
      </c>
    </row>
    <row r="561">
      <c r="A561" s="11">
        <v>-9.50095748901367</v>
      </c>
      <c r="B561" s="11">
        <v>-14.8315057754516</v>
      </c>
      <c r="C561" s="11">
        <v>0.0</v>
      </c>
      <c r="D561" s="11" t="s">
        <v>1515</v>
      </c>
      <c r="E561" s="11">
        <v>0.0</v>
      </c>
      <c r="F561" s="11" t="s">
        <v>1793</v>
      </c>
    </row>
    <row r="562">
      <c r="A562" s="11">
        <v>37.0468788146972</v>
      </c>
      <c r="B562" s="11">
        <v>-14.0618495941162</v>
      </c>
      <c r="C562" s="11">
        <v>0.0</v>
      </c>
      <c r="D562" s="11" t="s">
        <v>1515</v>
      </c>
      <c r="E562" s="11">
        <v>0.0</v>
      </c>
      <c r="F562" s="11" t="s">
        <v>1796</v>
      </c>
    </row>
    <row r="563">
      <c r="A563" s="11">
        <v>-51.8117485046386</v>
      </c>
      <c r="B563" s="11">
        <v>-21.8128299713134</v>
      </c>
      <c r="C563" s="11">
        <v>0.0</v>
      </c>
      <c r="D563" s="11" t="s">
        <v>1515</v>
      </c>
      <c r="E563" s="11">
        <v>0.0</v>
      </c>
      <c r="F563" s="11" t="s">
        <v>1798</v>
      </c>
    </row>
    <row r="564">
      <c r="A564" s="11">
        <v>-23.4410190582275</v>
      </c>
      <c r="B564" s="11">
        <v>-19.3124923706054</v>
      </c>
      <c r="C564" s="11">
        <v>0.0</v>
      </c>
      <c r="D564" s="11" t="s">
        <v>1515</v>
      </c>
      <c r="E564" s="11">
        <v>0.0</v>
      </c>
      <c r="F564" s="11" t="s">
        <v>1801</v>
      </c>
    </row>
    <row r="565">
      <c r="A565" s="11">
        <v>-0.997584760189056</v>
      </c>
      <c r="B565" s="11">
        <v>23.0688915252685</v>
      </c>
      <c r="C565" s="11">
        <v>0.0</v>
      </c>
      <c r="D565" s="11" t="s">
        <v>1515</v>
      </c>
      <c r="E565" s="11">
        <v>0.0</v>
      </c>
      <c r="F565" s="11" t="s">
        <v>1804</v>
      </c>
    </row>
    <row r="566">
      <c r="A566" s="11">
        <v>0.513670146465301</v>
      </c>
      <c r="B566" s="11">
        <v>48.6871452331543</v>
      </c>
      <c r="C566" s="11">
        <v>0.0</v>
      </c>
      <c r="D566" s="11" t="s">
        <v>1515</v>
      </c>
      <c r="E566" s="11">
        <v>0.0</v>
      </c>
      <c r="F566" s="11" t="s">
        <v>1806</v>
      </c>
    </row>
    <row r="567">
      <c r="A567" s="11">
        <v>-78.0904922485351</v>
      </c>
      <c r="B567" s="11">
        <v>-8.27063274383545</v>
      </c>
      <c r="C567" s="11">
        <v>0.0</v>
      </c>
      <c r="D567" s="11" t="s">
        <v>1515</v>
      </c>
      <c r="E567" s="11">
        <v>0.0</v>
      </c>
      <c r="F567" s="11" t="s">
        <v>1808</v>
      </c>
    </row>
    <row r="568">
      <c r="A568" s="11">
        <v>-7.9730486869812</v>
      </c>
      <c r="B568" s="11">
        <v>-22.3056526184082</v>
      </c>
      <c r="C568" s="11">
        <v>0.0</v>
      </c>
      <c r="D568" s="11" t="s">
        <v>1515</v>
      </c>
      <c r="E568" s="11">
        <v>0.0</v>
      </c>
      <c r="F568" s="11" t="s">
        <v>1810</v>
      </c>
    </row>
    <row r="569">
      <c r="A569" s="11">
        <v>-47.0082168579101</v>
      </c>
      <c r="B569" s="11">
        <v>-3.55875754356384</v>
      </c>
      <c r="C569" s="11">
        <v>1.0</v>
      </c>
      <c r="D569" s="11" t="s">
        <v>1515</v>
      </c>
      <c r="E569" s="11">
        <v>1.0</v>
      </c>
      <c r="F569" s="11" t="s">
        <v>1812</v>
      </c>
    </row>
    <row r="570">
      <c r="A570" s="11">
        <v>-19.8088283538818</v>
      </c>
      <c r="B570" s="11">
        <v>-9.18150997161865</v>
      </c>
      <c r="C570" s="11">
        <v>0.0</v>
      </c>
      <c r="D570" s="11" t="s">
        <v>1515</v>
      </c>
      <c r="E570" s="11">
        <v>0.0</v>
      </c>
      <c r="F570" s="11" t="s">
        <v>1814</v>
      </c>
    </row>
    <row r="571">
      <c r="A571" s="11">
        <v>-7.13555288314819</v>
      </c>
      <c r="B571" s="11">
        <v>-32.5054397583007</v>
      </c>
      <c r="C571" s="11">
        <v>0.0</v>
      </c>
      <c r="D571" s="11" t="s">
        <v>1515</v>
      </c>
      <c r="E571" s="11">
        <v>0.0</v>
      </c>
      <c r="F571" s="11" t="s">
        <v>2480</v>
      </c>
    </row>
    <row r="572">
      <c r="A572" s="11">
        <v>-16.4024486541748</v>
      </c>
      <c r="B572" s="11">
        <v>-56.7739639282226</v>
      </c>
      <c r="C572" s="11">
        <v>0.0</v>
      </c>
      <c r="D572" s="11" t="s">
        <v>1515</v>
      </c>
      <c r="E572" s="11">
        <v>0.0</v>
      </c>
      <c r="F572" s="11" t="s">
        <v>1816</v>
      </c>
    </row>
    <row r="573">
      <c r="A573" s="11">
        <v>-65.6150131225586</v>
      </c>
      <c r="B573" s="11">
        <v>-37.3321800231933</v>
      </c>
      <c r="C573" s="11">
        <v>0.0</v>
      </c>
      <c r="D573" s="11" t="s">
        <v>1515</v>
      </c>
      <c r="E573" s="11">
        <v>0.0</v>
      </c>
      <c r="F573" s="11" t="s">
        <v>1818</v>
      </c>
    </row>
    <row r="574">
      <c r="A574" s="11">
        <v>25.371337890625</v>
      </c>
      <c r="B574" s="11">
        <v>-2.44707703590393</v>
      </c>
      <c r="C574" s="11">
        <v>0.0</v>
      </c>
      <c r="D574" s="11" t="s">
        <v>1515</v>
      </c>
      <c r="E574" s="11">
        <v>0.0</v>
      </c>
      <c r="F574" s="11" t="s">
        <v>1820</v>
      </c>
    </row>
    <row r="575">
      <c r="A575" s="11">
        <v>66.9289932250976</v>
      </c>
      <c r="B575" s="11">
        <v>8.38710880279541</v>
      </c>
      <c r="C575" s="11">
        <v>2.0</v>
      </c>
      <c r="D575" s="11" t="s">
        <v>1515</v>
      </c>
      <c r="E575" s="11">
        <v>2.0</v>
      </c>
      <c r="F575" s="11" t="s">
        <v>1822</v>
      </c>
    </row>
    <row r="576">
      <c r="A576" s="11">
        <v>-30.4497718811035</v>
      </c>
      <c r="B576" s="11">
        <v>-7.05219554901123</v>
      </c>
      <c r="C576" s="11">
        <v>0.0</v>
      </c>
      <c r="D576" s="11" t="s">
        <v>1515</v>
      </c>
      <c r="E576" s="11">
        <v>0.0</v>
      </c>
      <c r="F576" s="11" t="s">
        <v>1824</v>
      </c>
    </row>
    <row r="577">
      <c r="A577" s="11">
        <v>-35.1707801818847</v>
      </c>
      <c r="B577" s="11">
        <v>-18.7314701080322</v>
      </c>
      <c r="C577" s="11">
        <v>0.0</v>
      </c>
      <c r="D577" s="11" t="s">
        <v>1515</v>
      </c>
      <c r="E577" s="11">
        <v>0.0</v>
      </c>
      <c r="F577" s="11" t="s">
        <v>1826</v>
      </c>
    </row>
    <row r="578">
      <c r="A578" s="11">
        <v>-47.0383605957031</v>
      </c>
      <c r="B578" s="11">
        <v>-21.4511470794677</v>
      </c>
      <c r="C578" s="11">
        <v>0.0</v>
      </c>
      <c r="D578" s="11" t="s">
        <v>1515</v>
      </c>
      <c r="E578" s="11">
        <v>0.0</v>
      </c>
      <c r="F578" s="11" t="s">
        <v>1828</v>
      </c>
    </row>
    <row r="579">
      <c r="A579" s="11">
        <v>44.6022720336914</v>
      </c>
      <c r="B579" s="11">
        <v>-40.0298118591308</v>
      </c>
      <c r="C579" s="11">
        <v>0.0</v>
      </c>
      <c r="D579" s="11" t="s">
        <v>1515</v>
      </c>
      <c r="E579" s="11">
        <v>0.0</v>
      </c>
      <c r="F579" s="11" t="s">
        <v>1830</v>
      </c>
    </row>
    <row r="580">
      <c r="A580" s="11">
        <v>18.0080375671386</v>
      </c>
      <c r="B580" s="11">
        <v>40.9115104675293</v>
      </c>
      <c r="C580" s="11">
        <v>2.0</v>
      </c>
      <c r="D580" s="11" t="s">
        <v>1515</v>
      </c>
      <c r="E580" s="11">
        <v>2.0</v>
      </c>
      <c r="F580" s="11" t="s">
        <v>2481</v>
      </c>
    </row>
    <row r="581">
      <c r="A581" s="11">
        <v>-19.7485313415527</v>
      </c>
      <c r="B581" s="11">
        <v>-31.1274166107177</v>
      </c>
      <c r="C581" s="11">
        <v>0.0</v>
      </c>
      <c r="D581" s="11" t="s">
        <v>1515</v>
      </c>
      <c r="E581" s="11">
        <v>0.0</v>
      </c>
      <c r="F581" s="11" t="s">
        <v>1832</v>
      </c>
    </row>
    <row r="582">
      <c r="A582" s="11">
        <v>-53.2166862487793</v>
      </c>
      <c r="B582" s="11">
        <v>-23.8521499633789</v>
      </c>
      <c r="C582" s="11">
        <v>0.0</v>
      </c>
      <c r="D582" s="11" t="s">
        <v>1515</v>
      </c>
      <c r="E582" s="11">
        <v>0.0</v>
      </c>
      <c r="F582" s="11" t="s">
        <v>1834</v>
      </c>
    </row>
    <row r="583">
      <c r="A583" s="11">
        <v>29.2740306854248</v>
      </c>
      <c r="B583" s="11">
        <v>17.6628379821777</v>
      </c>
      <c r="C583" s="11">
        <v>0.0</v>
      </c>
      <c r="D583" s="11" t="s">
        <v>1515</v>
      </c>
      <c r="E583" s="11">
        <v>0.0</v>
      </c>
      <c r="F583" s="11" t="s">
        <v>2482</v>
      </c>
    </row>
    <row r="584">
      <c r="A584" s="11">
        <v>18.9146041870117</v>
      </c>
      <c r="B584" s="11">
        <v>-15.6181926727294</v>
      </c>
      <c r="C584" s="11">
        <v>0.0</v>
      </c>
      <c r="D584" s="11" t="s">
        <v>1515</v>
      </c>
      <c r="E584" s="11">
        <v>0.0</v>
      </c>
      <c r="F584" s="11" t="s">
        <v>1836</v>
      </c>
    </row>
    <row r="585">
      <c r="A585" s="11">
        <v>-56.9826965332031</v>
      </c>
      <c r="B585" s="11">
        <v>-28.3889904022216</v>
      </c>
      <c r="C585" s="11">
        <v>0.0</v>
      </c>
      <c r="D585" s="11" t="s">
        <v>1515</v>
      </c>
      <c r="E585" s="11">
        <v>0.0</v>
      </c>
      <c r="F585" s="11" t="s">
        <v>1838</v>
      </c>
    </row>
    <row r="586">
      <c r="A586" s="11">
        <v>-0.978055596351623</v>
      </c>
      <c r="B586" s="11">
        <v>23.0782814025878</v>
      </c>
      <c r="C586" s="11">
        <v>0.0</v>
      </c>
      <c r="D586" s="11" t="s">
        <v>1515</v>
      </c>
      <c r="E586" s="11">
        <v>0.0</v>
      </c>
      <c r="F586" s="11" t="s">
        <v>1840</v>
      </c>
    </row>
    <row r="587">
      <c r="A587" s="11">
        <v>18.2727813720703</v>
      </c>
      <c r="B587" s="11">
        <v>-9.96233749389648</v>
      </c>
      <c r="C587" s="11">
        <v>0.0</v>
      </c>
      <c r="D587" s="11" t="s">
        <v>1515</v>
      </c>
      <c r="E587" s="11">
        <v>0.0</v>
      </c>
      <c r="F587" s="11" t="s">
        <v>1843</v>
      </c>
    </row>
    <row r="588">
      <c r="A588" s="11">
        <v>47.0248870849609</v>
      </c>
      <c r="B588" s="11">
        <v>-14.1170921325683</v>
      </c>
      <c r="C588" s="11">
        <v>2.0</v>
      </c>
      <c r="D588" s="11" t="s">
        <v>1515</v>
      </c>
      <c r="E588" s="11">
        <v>2.0</v>
      </c>
      <c r="F588" s="11" t="s">
        <v>2483</v>
      </c>
    </row>
    <row r="589">
      <c r="A589" s="11">
        <v>33.9231338500976</v>
      </c>
      <c r="B589" s="11">
        <v>-41.0866165161132</v>
      </c>
      <c r="C589" s="11">
        <v>-1.0</v>
      </c>
      <c r="D589" s="11" t="s">
        <v>1515</v>
      </c>
      <c r="E589" s="11">
        <v>-1.0</v>
      </c>
      <c r="F589" s="11" t="s">
        <v>1845</v>
      </c>
    </row>
    <row r="590">
      <c r="A590" s="11">
        <v>-7.43054723739624</v>
      </c>
      <c r="B590" s="11">
        <v>-58.6935234069824</v>
      </c>
      <c r="C590" s="11">
        <v>0.0</v>
      </c>
      <c r="D590" s="11" t="s">
        <v>1515</v>
      </c>
      <c r="E590" s="11">
        <v>0.0</v>
      </c>
      <c r="F590" s="11" t="s">
        <v>2484</v>
      </c>
    </row>
    <row r="591">
      <c r="A591" s="11">
        <v>-17.567096710205</v>
      </c>
      <c r="B591" s="11">
        <v>-5.12050724029541</v>
      </c>
      <c r="C591" s="11">
        <v>0.0</v>
      </c>
      <c r="D591" s="11" t="s">
        <v>1515</v>
      </c>
      <c r="E591" s="11">
        <v>0.0</v>
      </c>
      <c r="F591" s="11" t="s">
        <v>1848</v>
      </c>
    </row>
    <row r="592">
      <c r="A592" s="11">
        <v>-22.5640773773193</v>
      </c>
      <c r="B592" s="11">
        <v>-11.317645072937</v>
      </c>
      <c r="C592" s="11">
        <v>0.0</v>
      </c>
      <c r="D592" s="11" t="s">
        <v>1515</v>
      </c>
      <c r="E592" s="11">
        <v>0.0</v>
      </c>
      <c r="F592" s="11" t="s">
        <v>1850</v>
      </c>
    </row>
    <row r="593">
      <c r="A593" s="11">
        <v>-34.849323272705</v>
      </c>
      <c r="B593" s="11">
        <v>44.7966918945312</v>
      </c>
      <c r="C593" s="11">
        <v>0.0</v>
      </c>
      <c r="D593" s="11" t="s">
        <v>1515</v>
      </c>
      <c r="E593" s="11">
        <v>0.0</v>
      </c>
      <c r="F593" s="11" t="s">
        <v>1853</v>
      </c>
    </row>
    <row r="594">
      <c r="A594" s="11">
        <v>-56.9826965332031</v>
      </c>
      <c r="B594" s="11">
        <v>-28.3889904022216</v>
      </c>
      <c r="C594" s="11">
        <v>0.0</v>
      </c>
      <c r="D594" s="11" t="s">
        <v>1515</v>
      </c>
      <c r="E594" s="11">
        <v>0.0</v>
      </c>
      <c r="F594" s="11" t="s">
        <v>1856</v>
      </c>
    </row>
    <row r="595">
      <c r="A595" s="11">
        <v>-19.1457824707031</v>
      </c>
      <c r="B595" s="11">
        <v>-30.0484561920166</v>
      </c>
      <c r="C595" s="11">
        <v>0.0</v>
      </c>
      <c r="D595" s="11" t="s">
        <v>1515</v>
      </c>
      <c r="E595" s="11">
        <v>0.0</v>
      </c>
      <c r="F595" s="11" t="s">
        <v>1858</v>
      </c>
    </row>
    <row r="596">
      <c r="A596" s="11">
        <v>21.727668762207</v>
      </c>
      <c r="B596" s="11">
        <v>23.4144535064697</v>
      </c>
      <c r="C596" s="11">
        <v>0.0</v>
      </c>
      <c r="D596" s="11" t="s">
        <v>1515</v>
      </c>
      <c r="E596" s="11">
        <v>0.0</v>
      </c>
      <c r="F596" s="11" t="s">
        <v>2485</v>
      </c>
    </row>
    <row r="597">
      <c r="A597" s="11">
        <v>48.0781211853027</v>
      </c>
      <c r="B597" s="11">
        <v>-23.6452369689941</v>
      </c>
      <c r="C597" s="11">
        <v>2.0</v>
      </c>
      <c r="D597" s="11" t="s">
        <v>1515</v>
      </c>
      <c r="E597" s="11">
        <v>2.0</v>
      </c>
      <c r="F597" s="11" t="s">
        <v>2486</v>
      </c>
    </row>
    <row r="598">
      <c r="A598" s="11">
        <v>-15.6362018585205</v>
      </c>
      <c r="B598" s="11">
        <v>30.6174964904785</v>
      </c>
      <c r="C598" s="11">
        <v>0.0</v>
      </c>
      <c r="D598" s="11" t="s">
        <v>1515</v>
      </c>
      <c r="E598" s="11">
        <v>0.0</v>
      </c>
      <c r="F598" s="11" t="s">
        <v>2487</v>
      </c>
    </row>
    <row r="599">
      <c r="A599" s="11">
        <v>-47.9255065917968</v>
      </c>
      <c r="B599" s="11">
        <v>-20.8409767150878</v>
      </c>
      <c r="C599" s="11">
        <v>0.0</v>
      </c>
      <c r="D599" s="11" t="s">
        <v>1515</v>
      </c>
      <c r="E599" s="11">
        <v>0.0</v>
      </c>
      <c r="F599" s="11" t="s">
        <v>1860</v>
      </c>
    </row>
    <row r="600">
      <c r="A600" s="11">
        <v>-34.2112655639648</v>
      </c>
      <c r="B600" s="11">
        <v>-61.6880073547363</v>
      </c>
      <c r="C600" s="11">
        <v>0.0</v>
      </c>
      <c r="D600" s="11" t="s">
        <v>1515</v>
      </c>
      <c r="E600" s="11">
        <v>0.0</v>
      </c>
      <c r="F600" s="11" t="s">
        <v>1862</v>
      </c>
    </row>
    <row r="601">
      <c r="A601" s="11">
        <v>34.0648078918457</v>
      </c>
      <c r="B601" s="11">
        <v>-39.8403244018554</v>
      </c>
      <c r="C601" s="11">
        <v>-1.0</v>
      </c>
      <c r="D601" s="11" t="s">
        <v>1515</v>
      </c>
      <c r="E601" s="11">
        <v>-1.0</v>
      </c>
      <c r="F601" s="11" t="s">
        <v>1864</v>
      </c>
    </row>
    <row r="602">
      <c r="A602" s="11">
        <v>-35.6383514404296</v>
      </c>
      <c r="B602" s="11">
        <v>-51.3153228759765</v>
      </c>
      <c r="C602" s="11">
        <v>0.0</v>
      </c>
      <c r="D602" s="11" t="s">
        <v>1515</v>
      </c>
      <c r="E602" s="11">
        <v>0.0</v>
      </c>
      <c r="F602" s="11" t="s">
        <v>1866</v>
      </c>
    </row>
    <row r="603">
      <c r="A603" s="11">
        <v>-26.3850193023681</v>
      </c>
      <c r="B603" s="11">
        <v>-32.2411842346191</v>
      </c>
      <c r="C603" s="11">
        <v>0.0</v>
      </c>
      <c r="D603" s="11" t="s">
        <v>1515</v>
      </c>
      <c r="E603" s="11">
        <v>0.0</v>
      </c>
      <c r="F603" s="11" t="s">
        <v>1868</v>
      </c>
    </row>
    <row r="604">
      <c r="A604" s="11">
        <v>-36.7280197143554</v>
      </c>
      <c r="B604" s="11">
        <v>-12.8683347702026</v>
      </c>
      <c r="C604" s="11">
        <v>0.0</v>
      </c>
      <c r="D604" s="11" t="s">
        <v>1515</v>
      </c>
      <c r="E604" s="11">
        <v>0.0</v>
      </c>
      <c r="F604" s="11" t="s">
        <v>1870</v>
      </c>
    </row>
    <row r="605">
      <c r="A605" s="11">
        <v>-11.2311735153198</v>
      </c>
      <c r="B605" s="11">
        <v>-42.2719802856445</v>
      </c>
      <c r="C605" s="11">
        <v>0.0</v>
      </c>
      <c r="D605" s="11" t="s">
        <v>1515</v>
      </c>
      <c r="E605" s="11">
        <v>0.0</v>
      </c>
      <c r="F605" s="11" t="s">
        <v>1872</v>
      </c>
    </row>
    <row r="606">
      <c r="A606" s="11">
        <v>-47.6924743652343</v>
      </c>
      <c r="B606" s="11">
        <v>-2.35291290283203</v>
      </c>
      <c r="C606" s="11">
        <v>1.0</v>
      </c>
      <c r="D606" s="11" t="s">
        <v>1515</v>
      </c>
      <c r="E606" s="11">
        <v>1.0</v>
      </c>
      <c r="F606" s="11" t="s">
        <v>1875</v>
      </c>
    </row>
    <row r="607">
      <c r="A607" s="11">
        <v>37.9717597961425</v>
      </c>
      <c r="B607" s="11">
        <v>6.99920797348022</v>
      </c>
      <c r="C607" s="11">
        <v>-2.0</v>
      </c>
      <c r="D607" s="11" t="s">
        <v>1515</v>
      </c>
      <c r="E607" s="11">
        <v>-2.0</v>
      </c>
      <c r="F607" s="11" t="s">
        <v>1877</v>
      </c>
    </row>
    <row r="608">
      <c r="A608" s="11">
        <v>-24.492841720581</v>
      </c>
      <c r="B608" s="11">
        <v>-39.5429763793945</v>
      </c>
      <c r="C608" s="11">
        <v>0.0</v>
      </c>
      <c r="D608" s="11" t="s">
        <v>1515</v>
      </c>
      <c r="E608" s="11">
        <v>0.0</v>
      </c>
      <c r="F608" s="11" t="s">
        <v>1881</v>
      </c>
    </row>
    <row r="609">
      <c r="A609" s="11">
        <v>23.6922721862792</v>
      </c>
      <c r="B609" s="11">
        <v>6.31125688552856</v>
      </c>
      <c r="C609" s="11">
        <v>0.0</v>
      </c>
      <c r="D609" s="11" t="s">
        <v>1515</v>
      </c>
      <c r="E609" s="11">
        <v>0.0</v>
      </c>
      <c r="F609" s="11" t="s">
        <v>1883</v>
      </c>
    </row>
    <row r="610">
      <c r="A610" s="11">
        <v>68.2541809082031</v>
      </c>
      <c r="B610" s="11">
        <v>-29.5332641601562</v>
      </c>
      <c r="C610" s="11">
        <v>0.0</v>
      </c>
      <c r="D610" s="11" t="s">
        <v>1515</v>
      </c>
      <c r="E610" s="11">
        <v>0.0</v>
      </c>
      <c r="F610" s="11" t="s">
        <v>1885</v>
      </c>
    </row>
    <row r="611">
      <c r="A611" s="11">
        <v>-16.092638015747</v>
      </c>
      <c r="B611" s="11">
        <v>-55.6719093322753</v>
      </c>
      <c r="C611" s="11">
        <v>0.0</v>
      </c>
      <c r="D611" s="11" t="s">
        <v>1515</v>
      </c>
      <c r="E611" s="11">
        <v>0.0</v>
      </c>
      <c r="F611" s="11" t="s">
        <v>1887</v>
      </c>
    </row>
    <row r="612">
      <c r="A612" s="11">
        <v>-76.3410491943359</v>
      </c>
      <c r="B612" s="11">
        <v>-9.53403949737548</v>
      </c>
      <c r="C612" s="11">
        <v>0.0</v>
      </c>
      <c r="D612" s="11" t="s">
        <v>1515</v>
      </c>
      <c r="E612" s="11">
        <v>0.0</v>
      </c>
      <c r="F612" s="11" t="s">
        <v>1889</v>
      </c>
    </row>
    <row r="613">
      <c r="A613" s="11">
        <v>-51.8117485046386</v>
      </c>
      <c r="B613" s="11">
        <v>-21.8128299713134</v>
      </c>
      <c r="C613" s="11">
        <v>0.0</v>
      </c>
      <c r="D613" s="11" t="s">
        <v>1515</v>
      </c>
      <c r="E613" s="11">
        <v>0.0</v>
      </c>
      <c r="F613" s="11" t="s">
        <v>1891</v>
      </c>
    </row>
    <row r="614">
      <c r="A614" s="11">
        <v>-11.2127542495727</v>
      </c>
      <c r="B614" s="11">
        <v>-5.76146221160888</v>
      </c>
      <c r="C614" s="11">
        <v>0.0</v>
      </c>
      <c r="D614" s="11" t="s">
        <v>1515</v>
      </c>
      <c r="E614" s="11">
        <v>0.0</v>
      </c>
      <c r="F614" s="11" t="s">
        <v>1893</v>
      </c>
    </row>
    <row r="615">
      <c r="A615" s="11">
        <v>33.8566589355468</v>
      </c>
      <c r="B615" s="11">
        <v>19.6674556732177</v>
      </c>
      <c r="C615" s="11">
        <v>0.0</v>
      </c>
      <c r="D615" s="11" t="s">
        <v>1515</v>
      </c>
      <c r="E615" s="11">
        <v>0.0</v>
      </c>
      <c r="F615" s="11" t="s">
        <v>2488</v>
      </c>
    </row>
    <row r="616">
      <c r="A616" s="11">
        <v>-38.2870254516601</v>
      </c>
      <c r="B616" s="11">
        <v>-14.8445472717285</v>
      </c>
      <c r="C616" s="11">
        <v>0.0</v>
      </c>
      <c r="D616" s="11" t="s">
        <v>1515</v>
      </c>
      <c r="E616" s="11">
        <v>0.0</v>
      </c>
      <c r="F616" s="11" t="s">
        <v>1895</v>
      </c>
    </row>
    <row r="617">
      <c r="A617" s="11">
        <v>-62.8814010620117</v>
      </c>
      <c r="B617" s="11">
        <v>-19.9893932342529</v>
      </c>
      <c r="C617" s="11">
        <v>0.0</v>
      </c>
      <c r="D617" s="11" t="s">
        <v>1515</v>
      </c>
      <c r="E617" s="11">
        <v>0.0</v>
      </c>
      <c r="F617" s="11" t="s">
        <v>1897</v>
      </c>
    </row>
    <row r="618">
      <c r="A618" s="11">
        <v>-34.9756813049316</v>
      </c>
      <c r="B618" s="11">
        <v>-30.0268611907959</v>
      </c>
      <c r="C618" s="11">
        <v>0.0</v>
      </c>
      <c r="D618" s="11" t="s">
        <v>1515</v>
      </c>
      <c r="E618" s="11">
        <v>0.0</v>
      </c>
      <c r="F618" s="11" t="s">
        <v>1899</v>
      </c>
    </row>
    <row r="619">
      <c r="A619" s="11">
        <v>-11.5482206344604</v>
      </c>
      <c r="B619" s="11">
        <v>-31.4225959777832</v>
      </c>
      <c r="C619" s="11">
        <v>0.0</v>
      </c>
      <c r="D619" s="11" t="s">
        <v>1515</v>
      </c>
      <c r="E619" s="11">
        <v>0.0</v>
      </c>
      <c r="F619" s="11" t="s">
        <v>1901</v>
      </c>
    </row>
    <row r="620">
      <c r="A620" s="11">
        <v>2.39860820770263</v>
      </c>
      <c r="B620" s="11">
        <v>-4.83850908279418</v>
      </c>
      <c r="C620" s="11">
        <v>0.0</v>
      </c>
      <c r="D620" s="11" t="s">
        <v>1515</v>
      </c>
      <c r="E620" s="11">
        <v>0.0</v>
      </c>
      <c r="F620" s="11" t="s">
        <v>1903</v>
      </c>
    </row>
    <row r="621">
      <c r="A621" s="11">
        <v>-27.3433437347412</v>
      </c>
      <c r="B621" s="11">
        <v>25.6594810485839</v>
      </c>
      <c r="C621" s="11">
        <v>0.0</v>
      </c>
      <c r="D621" s="11" t="s">
        <v>1515</v>
      </c>
      <c r="E621" s="11">
        <v>0.0</v>
      </c>
      <c r="F621" s="11" t="s">
        <v>1906</v>
      </c>
    </row>
    <row r="622">
      <c r="A622" s="11">
        <v>-10.2214946746826</v>
      </c>
      <c r="B622" s="11">
        <v>24.9988746643066</v>
      </c>
      <c r="C622" s="11">
        <v>-1.0</v>
      </c>
      <c r="D622" s="11" t="s">
        <v>1515</v>
      </c>
      <c r="E622" s="11">
        <v>-1.0</v>
      </c>
      <c r="F622" s="11" t="s">
        <v>1908</v>
      </c>
    </row>
    <row r="623">
      <c r="A623" s="11">
        <v>-60.7600555419921</v>
      </c>
      <c r="B623" s="11">
        <v>-30.5564746856689</v>
      </c>
      <c r="C623" s="11">
        <v>0.0</v>
      </c>
      <c r="D623" s="11" t="s">
        <v>1515</v>
      </c>
      <c r="E623" s="11">
        <v>0.0</v>
      </c>
      <c r="F623" s="11" t="s">
        <v>1909</v>
      </c>
    </row>
    <row r="624">
      <c r="A624" s="11">
        <v>2.32783150672912</v>
      </c>
      <c r="B624" s="11">
        <v>-6.16562747955322</v>
      </c>
      <c r="C624" s="11">
        <v>0.0</v>
      </c>
      <c r="D624" s="11" t="s">
        <v>1515</v>
      </c>
      <c r="E624" s="11">
        <v>0.0</v>
      </c>
      <c r="F624" s="11" t="s">
        <v>1912</v>
      </c>
    </row>
    <row r="625">
      <c r="A625" s="11">
        <v>-11.2888383865356</v>
      </c>
      <c r="B625" s="11">
        <v>-43.5619888305664</v>
      </c>
      <c r="C625" s="11">
        <v>0.0</v>
      </c>
      <c r="D625" s="11" t="s">
        <v>1515</v>
      </c>
      <c r="E625" s="11">
        <v>0.0</v>
      </c>
      <c r="F625" s="11" t="s">
        <v>1913</v>
      </c>
    </row>
    <row r="626">
      <c r="A626" s="11">
        <v>60.463150024414</v>
      </c>
      <c r="B626" s="11">
        <v>4.37616205215454</v>
      </c>
      <c r="C626" s="11">
        <v>0.0</v>
      </c>
      <c r="D626" s="11" t="s">
        <v>1515</v>
      </c>
      <c r="E626" s="11">
        <v>0.0</v>
      </c>
      <c r="F626" s="11" t="s">
        <v>1915</v>
      </c>
    </row>
    <row r="627">
      <c r="A627" s="11">
        <v>-20.7298126220703</v>
      </c>
      <c r="B627" s="11">
        <v>-30.094347000122</v>
      </c>
      <c r="C627" s="11">
        <v>0.0</v>
      </c>
      <c r="D627" s="11" t="s">
        <v>1515</v>
      </c>
      <c r="E627" s="11">
        <v>0.0</v>
      </c>
      <c r="F627" s="11" t="s">
        <v>1917</v>
      </c>
    </row>
    <row r="628">
      <c r="A628" s="11">
        <v>-56.5936279296875</v>
      </c>
      <c r="B628" s="11">
        <v>-29.2378101348876</v>
      </c>
      <c r="C628" s="11">
        <v>0.0</v>
      </c>
      <c r="D628" s="11" t="s">
        <v>1515</v>
      </c>
      <c r="E628" s="11">
        <v>0.0</v>
      </c>
      <c r="F628" s="11" t="s">
        <v>1919</v>
      </c>
    </row>
    <row r="629">
      <c r="A629" s="11">
        <v>-44.9663124084472</v>
      </c>
      <c r="B629" s="11">
        <v>-27.8259468078613</v>
      </c>
      <c r="C629" s="11">
        <v>0.0</v>
      </c>
      <c r="D629" s="11" t="s">
        <v>1515</v>
      </c>
      <c r="E629" s="11">
        <v>0.0</v>
      </c>
      <c r="F629" s="11" t="s">
        <v>1921</v>
      </c>
    </row>
    <row r="630">
      <c r="A630" s="11">
        <v>-48.6706886291503</v>
      </c>
      <c r="B630" s="11">
        <v>-21.5805072784423</v>
      </c>
      <c r="C630" s="11">
        <v>0.0</v>
      </c>
      <c r="D630" s="11" t="s">
        <v>1515</v>
      </c>
      <c r="E630" s="11">
        <v>0.0</v>
      </c>
      <c r="F630" s="11" t="s">
        <v>1923</v>
      </c>
    </row>
    <row r="631">
      <c r="A631" s="11">
        <v>-8.12003517150878</v>
      </c>
      <c r="B631" s="11">
        <v>-8.22976112365722</v>
      </c>
      <c r="C631" s="11">
        <v>1.0</v>
      </c>
      <c r="D631" s="11" t="s">
        <v>1515</v>
      </c>
      <c r="E631" s="11">
        <v>1.0</v>
      </c>
      <c r="F631" s="11" t="s">
        <v>1926</v>
      </c>
    </row>
    <row r="632">
      <c r="A632" s="11">
        <v>-35.8170776367187</v>
      </c>
      <c r="B632" s="11">
        <v>-19.6456871032714</v>
      </c>
      <c r="C632" s="11">
        <v>0.0</v>
      </c>
      <c r="D632" s="11" t="s">
        <v>1515</v>
      </c>
      <c r="E632" s="11">
        <v>0.0</v>
      </c>
      <c r="F632" s="11" t="s">
        <v>1928</v>
      </c>
    </row>
    <row r="633">
      <c r="A633" s="11">
        <v>-15.5470991134643</v>
      </c>
      <c r="B633" s="11">
        <v>-33.6866264343261</v>
      </c>
      <c r="C633" s="11">
        <v>0.0</v>
      </c>
      <c r="D633" s="11" t="s">
        <v>1515</v>
      </c>
      <c r="E633" s="11">
        <v>0.0</v>
      </c>
      <c r="F633" s="11" t="s">
        <v>1930</v>
      </c>
    </row>
    <row r="634">
      <c r="A634" s="11">
        <v>17.4165229797363</v>
      </c>
      <c r="B634" s="11">
        <v>-9.50339794158935</v>
      </c>
      <c r="C634" s="11">
        <v>0.0</v>
      </c>
      <c r="D634" s="11" t="s">
        <v>1515</v>
      </c>
      <c r="E634" s="11">
        <v>0.0</v>
      </c>
      <c r="F634" s="11" t="s">
        <v>1932</v>
      </c>
    </row>
    <row r="635">
      <c r="A635" s="11">
        <v>-17.9619731903076</v>
      </c>
      <c r="B635" s="11">
        <v>-7.86128950119018</v>
      </c>
      <c r="C635" s="11">
        <v>0.0</v>
      </c>
      <c r="D635" s="11" t="s">
        <v>1515</v>
      </c>
      <c r="E635" s="11">
        <v>0.0</v>
      </c>
      <c r="F635" s="11" t="s">
        <v>1934</v>
      </c>
    </row>
    <row r="636">
      <c r="A636" s="11">
        <v>-74.9938125610351</v>
      </c>
      <c r="B636" s="11">
        <v>-6.27605056762695</v>
      </c>
      <c r="C636" s="11">
        <v>0.0</v>
      </c>
      <c r="D636" s="11" t="s">
        <v>1515</v>
      </c>
      <c r="E636" s="11">
        <v>0.0</v>
      </c>
      <c r="F636" s="11" t="s">
        <v>1937</v>
      </c>
    </row>
    <row r="637">
      <c r="A637" s="11">
        <v>-19.8947086334228</v>
      </c>
      <c r="B637" s="11">
        <v>-5.76502227783203</v>
      </c>
      <c r="C637" s="11">
        <v>1.0</v>
      </c>
      <c r="D637" s="11" t="s">
        <v>1515</v>
      </c>
      <c r="E637" s="11">
        <v>1.0</v>
      </c>
      <c r="F637" s="11" t="s">
        <v>1939</v>
      </c>
    </row>
    <row r="638">
      <c r="A638" s="11">
        <v>64.853530883789</v>
      </c>
      <c r="B638" s="11">
        <v>0.107016548514366</v>
      </c>
      <c r="C638" s="11">
        <v>0.0</v>
      </c>
      <c r="D638" s="11" t="s">
        <v>1515</v>
      </c>
      <c r="E638" s="11">
        <v>0.0</v>
      </c>
      <c r="F638" s="11" t="s">
        <v>2489</v>
      </c>
    </row>
    <row r="639">
      <c r="A639" s="11">
        <v>51.7905311584472</v>
      </c>
      <c r="B639" s="11">
        <v>9.56447982788086</v>
      </c>
      <c r="C639" s="11">
        <v>0.0</v>
      </c>
      <c r="D639" s="11" t="s">
        <v>1515</v>
      </c>
      <c r="E639" s="11">
        <v>0.0</v>
      </c>
      <c r="F639" s="11" t="s">
        <v>1941</v>
      </c>
    </row>
    <row r="640">
      <c r="A640" s="11">
        <v>-52.9988441467285</v>
      </c>
      <c r="B640" s="11">
        <v>-14.9534654617309</v>
      </c>
      <c r="C640" s="11">
        <v>0.0</v>
      </c>
      <c r="D640" s="11" t="s">
        <v>1515</v>
      </c>
      <c r="E640" s="11">
        <v>0.0</v>
      </c>
      <c r="F640" s="11" t="s">
        <v>1943</v>
      </c>
    </row>
    <row r="641">
      <c r="A641" s="11">
        <v>12.3724975585937</v>
      </c>
      <c r="B641" s="11">
        <v>-13.5318346023559</v>
      </c>
      <c r="C641" s="11">
        <v>2.0</v>
      </c>
      <c r="D641" s="11" t="s">
        <v>1515</v>
      </c>
      <c r="E641" s="11">
        <v>2.0</v>
      </c>
      <c r="F641" s="11" t="s">
        <v>1945</v>
      </c>
    </row>
    <row r="642">
      <c r="A642" s="11">
        <v>-15.6341762542724</v>
      </c>
      <c r="B642" s="11">
        <v>-35.8205184936523</v>
      </c>
      <c r="C642" s="11">
        <v>0.0</v>
      </c>
      <c r="D642" s="11" t="s">
        <v>1515</v>
      </c>
      <c r="E642" s="11">
        <v>0.0</v>
      </c>
      <c r="F642" s="11" t="s">
        <v>1947</v>
      </c>
    </row>
    <row r="643">
      <c r="A643" s="11">
        <v>68.2245635986328</v>
      </c>
      <c r="B643" s="11">
        <v>-10.6864786148071</v>
      </c>
      <c r="C643" s="11">
        <v>0.0</v>
      </c>
      <c r="D643" s="11" t="s">
        <v>1515</v>
      </c>
      <c r="E643" s="11">
        <v>0.0</v>
      </c>
      <c r="F643" s="11" t="s">
        <v>1950</v>
      </c>
    </row>
    <row r="644">
      <c r="A644" s="11">
        <v>-56.8497123718261</v>
      </c>
      <c r="B644" s="11">
        <v>-1.39057087898254</v>
      </c>
      <c r="C644" s="11">
        <v>0.0</v>
      </c>
      <c r="D644" s="11" t="s">
        <v>1515</v>
      </c>
      <c r="E644" s="11">
        <v>0.0</v>
      </c>
      <c r="F644" s="11" t="s">
        <v>1952</v>
      </c>
    </row>
    <row r="645">
      <c r="A645" s="11">
        <v>-12.2456159591674</v>
      </c>
      <c r="B645" s="11">
        <v>-35.617618560791</v>
      </c>
      <c r="C645" s="11">
        <v>0.0</v>
      </c>
      <c r="D645" s="11" t="s">
        <v>1515</v>
      </c>
      <c r="E645" s="11">
        <v>0.0</v>
      </c>
      <c r="F645" s="11" t="s">
        <v>1954</v>
      </c>
    </row>
    <row r="646">
      <c r="A646" s="11">
        <v>-29.2775497436523</v>
      </c>
      <c r="B646" s="11">
        <v>-42.7881546020507</v>
      </c>
      <c r="C646" s="11">
        <v>0.0</v>
      </c>
      <c r="D646" s="11" t="s">
        <v>1515</v>
      </c>
      <c r="E646" s="11">
        <v>0.0</v>
      </c>
      <c r="F646" s="11" t="s">
        <v>1956</v>
      </c>
    </row>
    <row r="647">
      <c r="A647" s="11">
        <v>-73.9342041015625</v>
      </c>
      <c r="B647" s="11">
        <v>-8.76803588867187</v>
      </c>
      <c r="C647" s="11">
        <v>0.0</v>
      </c>
      <c r="D647" s="11" t="s">
        <v>1515</v>
      </c>
      <c r="E647" s="11">
        <v>0.0</v>
      </c>
      <c r="F647" s="11" t="s">
        <v>1958</v>
      </c>
    </row>
    <row r="648">
      <c r="A648" s="11">
        <v>18.1058864593505</v>
      </c>
      <c r="B648" s="11">
        <v>25.1373653411865</v>
      </c>
      <c r="C648" s="11">
        <v>0.0</v>
      </c>
      <c r="D648" s="11" t="s">
        <v>1515</v>
      </c>
      <c r="E648" s="11">
        <v>0.0</v>
      </c>
      <c r="F648" s="11" t="s">
        <v>2490</v>
      </c>
    </row>
    <row r="649">
      <c r="A649" s="11">
        <v>-26.2934761047363</v>
      </c>
      <c r="B649" s="11">
        <v>-27.0079021453857</v>
      </c>
      <c r="C649" s="11">
        <v>0.0</v>
      </c>
      <c r="D649" s="11" t="s">
        <v>1515</v>
      </c>
      <c r="E649" s="11">
        <v>0.0</v>
      </c>
      <c r="F649" s="11" t="s">
        <v>1960</v>
      </c>
    </row>
    <row r="650">
      <c r="A650" s="11">
        <v>-34.2112655639648</v>
      </c>
      <c r="B650" s="11">
        <v>-61.6880073547363</v>
      </c>
      <c r="C650" s="11">
        <v>0.0</v>
      </c>
      <c r="D650" s="11" t="s">
        <v>1515</v>
      </c>
      <c r="E650" s="11">
        <v>0.0</v>
      </c>
      <c r="F650" s="11" t="s">
        <v>1962</v>
      </c>
    </row>
    <row r="651">
      <c r="A651" s="11">
        <v>-56.1477355957031</v>
      </c>
      <c r="B651" s="11">
        <v>-3.42917561531066</v>
      </c>
      <c r="C651" s="11">
        <v>0.0</v>
      </c>
      <c r="D651" s="11" t="s">
        <v>1515</v>
      </c>
      <c r="E651" s="11">
        <v>0.0</v>
      </c>
      <c r="F651" s="11" t="s">
        <v>1965</v>
      </c>
    </row>
    <row r="652">
      <c r="A652" s="11">
        <v>-32.462718963623</v>
      </c>
      <c r="B652" s="11">
        <v>-27.0843334197998</v>
      </c>
      <c r="C652" s="11">
        <v>0.0</v>
      </c>
      <c r="D652" s="11" t="s">
        <v>1515</v>
      </c>
      <c r="E652" s="11">
        <v>0.0</v>
      </c>
      <c r="F652" s="11" t="s">
        <v>1967</v>
      </c>
    </row>
    <row r="653">
      <c r="A653" s="11">
        <v>73.9097137451171</v>
      </c>
      <c r="B653" s="11">
        <v>-4.25415229797363</v>
      </c>
      <c r="C653" s="11">
        <v>2.0</v>
      </c>
      <c r="D653" s="11" t="s">
        <v>1515</v>
      </c>
      <c r="E653" s="11">
        <v>2.0</v>
      </c>
      <c r="F653" s="11" t="s">
        <v>1969</v>
      </c>
    </row>
    <row r="654">
      <c r="A654" s="11">
        <v>-7.53437328338623</v>
      </c>
      <c r="B654" s="11">
        <v>-15.2780628204345</v>
      </c>
      <c r="C654" s="11">
        <v>0.0</v>
      </c>
      <c r="D654" s="11" t="s">
        <v>1515</v>
      </c>
      <c r="E654" s="11">
        <v>0.0</v>
      </c>
      <c r="F654" s="11" t="s">
        <v>1973</v>
      </c>
    </row>
    <row r="655">
      <c r="A655" s="11">
        <v>-56.8497123718261</v>
      </c>
      <c r="B655" s="11">
        <v>-1.39057087898254</v>
      </c>
      <c r="C655" s="11">
        <v>0.0</v>
      </c>
      <c r="D655" s="11" t="s">
        <v>1515</v>
      </c>
      <c r="E655" s="11">
        <v>0.0</v>
      </c>
      <c r="F655" s="11" t="s">
        <v>1975</v>
      </c>
    </row>
    <row r="656">
      <c r="A656" s="11">
        <v>-31.9226570129394</v>
      </c>
      <c r="B656" s="11">
        <v>-8.09871101379394</v>
      </c>
      <c r="C656" s="11">
        <v>0.0</v>
      </c>
      <c r="D656" s="11" t="s">
        <v>1515</v>
      </c>
      <c r="E656" s="11">
        <v>0.0</v>
      </c>
      <c r="F656" s="11" t="s">
        <v>1977</v>
      </c>
    </row>
    <row r="657">
      <c r="A657" s="11">
        <v>-48.142162322998</v>
      </c>
      <c r="B657" s="11">
        <v>-22.4097652435302</v>
      </c>
      <c r="C657" s="11">
        <v>0.0</v>
      </c>
      <c r="D657" s="11" t="s">
        <v>1515</v>
      </c>
      <c r="E657" s="11">
        <v>0.0</v>
      </c>
      <c r="F657" s="11" t="s">
        <v>1980</v>
      </c>
    </row>
    <row r="658">
      <c r="A658" s="11">
        <v>-20.1668643951416</v>
      </c>
      <c r="B658" s="11">
        <v>-38.5134849548339</v>
      </c>
      <c r="C658" s="11">
        <v>0.0</v>
      </c>
      <c r="D658" s="11" t="s">
        <v>1515</v>
      </c>
      <c r="E658" s="11">
        <v>0.0</v>
      </c>
      <c r="F658" s="11" t="s">
        <v>1982</v>
      </c>
    </row>
    <row r="659">
      <c r="A659" s="11">
        <v>-56.1477355957031</v>
      </c>
      <c r="B659" s="11">
        <v>-3.42917561531066</v>
      </c>
      <c r="C659" s="11">
        <v>0.0</v>
      </c>
      <c r="D659" s="11" t="s">
        <v>1515</v>
      </c>
      <c r="E659" s="11">
        <v>0.0</v>
      </c>
      <c r="F659" s="11" t="s">
        <v>1985</v>
      </c>
    </row>
    <row r="660">
      <c r="A660" s="11">
        <v>-50.7472305297851</v>
      </c>
      <c r="B660" s="11">
        <v>-22.9135646820068</v>
      </c>
      <c r="C660" s="11">
        <v>0.0</v>
      </c>
      <c r="D660" s="11" t="s">
        <v>1515</v>
      </c>
      <c r="E660" s="11">
        <v>0.0</v>
      </c>
      <c r="F660" s="11" t="s">
        <v>1987</v>
      </c>
    </row>
    <row r="661">
      <c r="A661" s="11">
        <v>-50.7472305297851</v>
      </c>
      <c r="B661" s="11">
        <v>-22.9135646820068</v>
      </c>
      <c r="C661" s="11">
        <v>0.0</v>
      </c>
      <c r="D661" s="11" t="s">
        <v>1515</v>
      </c>
      <c r="E661" s="11">
        <v>0.0</v>
      </c>
      <c r="F661" s="11" t="s">
        <v>1990</v>
      </c>
    </row>
    <row r="662">
      <c r="A662" s="11">
        <v>24.2366771697998</v>
      </c>
      <c r="B662" s="11">
        <v>7.11413669586181</v>
      </c>
      <c r="C662" s="11">
        <v>0.0</v>
      </c>
      <c r="D662" s="11" t="s">
        <v>1515</v>
      </c>
      <c r="E662" s="11">
        <v>0.0</v>
      </c>
      <c r="F662" s="11" t="s">
        <v>1992</v>
      </c>
    </row>
    <row r="663">
      <c r="A663" s="11">
        <v>-20.7298126220703</v>
      </c>
      <c r="B663" s="11">
        <v>-30.094347000122</v>
      </c>
      <c r="C663" s="11">
        <v>0.0</v>
      </c>
      <c r="D663" s="11" t="s">
        <v>1515</v>
      </c>
      <c r="E663" s="11">
        <v>0.0</v>
      </c>
      <c r="F663" s="11" t="s">
        <v>1994</v>
      </c>
    </row>
    <row r="664">
      <c r="A664" s="11">
        <v>-75.8827667236328</v>
      </c>
      <c r="B664" s="11">
        <v>-10.7760620117187</v>
      </c>
      <c r="C664" s="11">
        <v>0.0</v>
      </c>
      <c r="D664" s="11" t="s">
        <v>1515</v>
      </c>
      <c r="E664" s="11">
        <v>0.0</v>
      </c>
      <c r="F664" s="11" t="s">
        <v>1996</v>
      </c>
    </row>
    <row r="665">
      <c r="A665" s="11">
        <v>26.3875923156738</v>
      </c>
      <c r="B665" s="11">
        <v>21.2160854339599</v>
      </c>
      <c r="C665" s="11">
        <v>2.0</v>
      </c>
      <c r="D665" s="11" t="s">
        <v>1515</v>
      </c>
      <c r="E665" s="11">
        <v>2.0</v>
      </c>
      <c r="F665" s="11" t="s">
        <v>2491</v>
      </c>
    </row>
    <row r="666">
      <c r="A666" s="11">
        <v>-46.1437721252441</v>
      </c>
      <c r="B666" s="11">
        <v>-11.8019514083862</v>
      </c>
      <c r="C666" s="11">
        <v>0.0</v>
      </c>
      <c r="D666" s="11" t="s">
        <v>1515</v>
      </c>
      <c r="E666" s="11">
        <v>0.0</v>
      </c>
      <c r="F666" s="11" t="s">
        <v>1998</v>
      </c>
    </row>
    <row r="667">
      <c r="A667" s="11">
        <v>-73.0482330322265</v>
      </c>
      <c r="B667" s="11">
        <v>-8.2997121810913</v>
      </c>
      <c r="C667" s="11">
        <v>0.0</v>
      </c>
      <c r="D667" s="11" t="s">
        <v>1515</v>
      </c>
      <c r="E667" s="11">
        <v>0.0</v>
      </c>
      <c r="F667" s="11" t="s">
        <v>2000</v>
      </c>
    </row>
    <row r="668">
      <c r="A668" s="11">
        <v>66.9289932250976</v>
      </c>
      <c r="B668" s="11">
        <v>8.38710880279541</v>
      </c>
      <c r="C668" s="11">
        <v>2.0</v>
      </c>
      <c r="D668" s="11" t="s">
        <v>1515</v>
      </c>
      <c r="E668" s="11">
        <v>2.0</v>
      </c>
      <c r="F668" s="11" t="s">
        <v>2002</v>
      </c>
    </row>
    <row r="669">
      <c r="A669" s="11">
        <v>-35.6383514404296</v>
      </c>
      <c r="B669" s="11">
        <v>-51.3153228759765</v>
      </c>
      <c r="C669" s="11">
        <v>0.0</v>
      </c>
      <c r="D669" s="11" t="s">
        <v>1515</v>
      </c>
      <c r="E669" s="11">
        <v>0.0</v>
      </c>
      <c r="F669" s="11" t="s">
        <v>2004</v>
      </c>
    </row>
    <row r="670">
      <c r="A670" s="11">
        <v>73.0036544799804</v>
      </c>
      <c r="B670" s="11">
        <v>0.364238381385803</v>
      </c>
      <c r="C670" s="11">
        <v>2.0</v>
      </c>
      <c r="D670" s="11" t="s">
        <v>1515</v>
      </c>
      <c r="E670" s="11">
        <v>2.0</v>
      </c>
      <c r="F670" s="11" t="s">
        <v>2006</v>
      </c>
    </row>
    <row r="671">
      <c r="A671" s="11">
        <v>46.4188156127929</v>
      </c>
      <c r="B671" s="11">
        <v>-20.7356834411621</v>
      </c>
      <c r="C671" s="11">
        <v>2.0</v>
      </c>
      <c r="D671" s="11" t="s">
        <v>1515</v>
      </c>
      <c r="E671" s="11">
        <v>2.0</v>
      </c>
      <c r="F671" s="11" t="s">
        <v>2492</v>
      </c>
    </row>
    <row r="672">
      <c r="A672" s="11">
        <v>71.689338684082</v>
      </c>
      <c r="B672" s="11">
        <v>-0.553645312786102</v>
      </c>
      <c r="C672" s="11">
        <v>2.0</v>
      </c>
      <c r="D672" s="11" t="s">
        <v>1515</v>
      </c>
      <c r="E672" s="11">
        <v>2.0</v>
      </c>
      <c r="F672" s="11" t="s">
        <v>2008</v>
      </c>
    </row>
    <row r="673">
      <c r="A673" s="11">
        <v>73.2005462646484</v>
      </c>
      <c r="B673" s="11">
        <v>-2.80123162269592</v>
      </c>
      <c r="C673" s="11">
        <v>2.0</v>
      </c>
      <c r="D673" s="11" t="s">
        <v>1515</v>
      </c>
      <c r="E673" s="11">
        <v>2.0</v>
      </c>
      <c r="F673" s="11" t="s">
        <v>2010</v>
      </c>
    </row>
    <row r="674">
      <c r="A674" s="11">
        <v>-39.8811569213867</v>
      </c>
      <c r="B674" s="11">
        <v>-23.9304943084716</v>
      </c>
      <c r="C674" s="11">
        <v>0.0</v>
      </c>
      <c r="D674" s="11" t="s">
        <v>1515</v>
      </c>
      <c r="E674" s="11">
        <v>0.0</v>
      </c>
      <c r="F674" s="11" t="s">
        <v>2013</v>
      </c>
    </row>
    <row r="675">
      <c r="A675" s="11">
        <v>50.8506546020507</v>
      </c>
      <c r="B675" s="11">
        <v>13.0824384689331</v>
      </c>
      <c r="C675" s="11">
        <v>0.0</v>
      </c>
      <c r="D675" s="11" t="s">
        <v>1515</v>
      </c>
      <c r="E675" s="11">
        <v>0.0</v>
      </c>
      <c r="F675" s="11" t="s">
        <v>2015</v>
      </c>
    </row>
    <row r="676">
      <c r="A676" s="11">
        <v>-7.97226428985595</v>
      </c>
      <c r="B676" s="11">
        <v>-7.32203912734985</v>
      </c>
      <c r="C676" s="11">
        <v>1.0</v>
      </c>
      <c r="D676" s="11" t="s">
        <v>1515</v>
      </c>
      <c r="E676" s="11">
        <v>1.0</v>
      </c>
      <c r="F676" s="11" t="s">
        <v>2017</v>
      </c>
    </row>
    <row r="677">
      <c r="A677" s="11">
        <v>-46.743480682373</v>
      </c>
      <c r="B677" s="11">
        <v>-2.61583971977233</v>
      </c>
      <c r="C677" s="11">
        <v>0.0</v>
      </c>
      <c r="D677" s="11" t="s">
        <v>1515</v>
      </c>
      <c r="E677" s="11">
        <v>0.0</v>
      </c>
      <c r="F677" s="11" t="s">
        <v>2019</v>
      </c>
    </row>
    <row r="678">
      <c r="A678" s="11">
        <v>-50.0155029296875</v>
      </c>
      <c r="B678" s="11">
        <v>-35.4775199890136</v>
      </c>
      <c r="C678" s="11">
        <v>0.0</v>
      </c>
      <c r="D678" s="11" t="s">
        <v>1515</v>
      </c>
      <c r="E678" s="11">
        <v>0.0</v>
      </c>
      <c r="F678" s="11" t="s">
        <v>2021</v>
      </c>
    </row>
    <row r="679">
      <c r="A679" s="11">
        <v>-47.9509735107421</v>
      </c>
      <c r="B679" s="11">
        <v>-3.29960536956787</v>
      </c>
      <c r="C679" s="11">
        <v>0.0</v>
      </c>
      <c r="D679" s="11" t="s">
        <v>1515</v>
      </c>
      <c r="E679" s="11">
        <v>0.0</v>
      </c>
      <c r="F679" s="11" t="s">
        <v>2023</v>
      </c>
    </row>
    <row r="680">
      <c r="A680" s="11">
        <v>-38.8625259399414</v>
      </c>
      <c r="B680" s="11">
        <v>-23.349775314331</v>
      </c>
      <c r="C680" s="11">
        <v>0.0</v>
      </c>
      <c r="D680" s="11" t="s">
        <v>1515</v>
      </c>
      <c r="E680" s="11">
        <v>0.0</v>
      </c>
      <c r="F680" s="11" t="s">
        <v>2025</v>
      </c>
    </row>
    <row r="681">
      <c r="A681" s="11">
        <v>-13.8668146133422</v>
      </c>
      <c r="B681" s="11">
        <v>-14.5312156677246</v>
      </c>
      <c r="C681" s="11">
        <v>0.0</v>
      </c>
      <c r="D681" s="11" t="s">
        <v>1515</v>
      </c>
      <c r="E681" s="11">
        <v>0.0</v>
      </c>
      <c r="F681" s="11" t="s">
        <v>2027</v>
      </c>
    </row>
    <row r="682">
      <c r="A682" s="11">
        <v>-14.2203769683837</v>
      </c>
      <c r="B682" s="11">
        <v>-3.15168285369873</v>
      </c>
      <c r="C682" s="11">
        <v>1.0</v>
      </c>
      <c r="D682" s="11" t="s">
        <v>1515</v>
      </c>
      <c r="E682" s="11">
        <v>1.0</v>
      </c>
      <c r="F682" s="11" t="s">
        <v>2029</v>
      </c>
    </row>
    <row r="683">
      <c r="A683" s="11">
        <v>-25.1072769165039</v>
      </c>
      <c r="B683" s="11">
        <v>-15.3541498184204</v>
      </c>
      <c r="C683" s="11">
        <v>0.0</v>
      </c>
      <c r="D683" s="11" t="s">
        <v>1515</v>
      </c>
      <c r="E683" s="11">
        <v>0.0</v>
      </c>
      <c r="F683" s="11" t="s">
        <v>2032</v>
      </c>
    </row>
    <row r="684">
      <c r="A684" s="11">
        <v>6.9378023147583</v>
      </c>
      <c r="B684" s="11">
        <v>-40.723087310791</v>
      </c>
      <c r="C684" s="11">
        <v>0.0</v>
      </c>
      <c r="D684" s="11" t="s">
        <v>1515</v>
      </c>
      <c r="E684" s="11">
        <v>0.0</v>
      </c>
      <c r="F684" s="11" t="s">
        <v>2033</v>
      </c>
    </row>
    <row r="685">
      <c r="A685" s="11">
        <v>-26.3005466461181</v>
      </c>
      <c r="B685" s="11">
        <v>-2.11389660835266</v>
      </c>
      <c r="C685" s="11">
        <v>1.0</v>
      </c>
      <c r="D685" s="11" t="s">
        <v>1515</v>
      </c>
      <c r="E685" s="11">
        <v>1.0</v>
      </c>
      <c r="F685" s="11" t="s">
        <v>2036</v>
      </c>
    </row>
    <row r="686">
      <c r="A686" s="11">
        <v>-76.6676635742187</v>
      </c>
      <c r="B686" s="11">
        <v>-8.33759403228759</v>
      </c>
      <c r="C686" s="11">
        <v>0.0</v>
      </c>
      <c r="D686" s="11" t="s">
        <v>1515</v>
      </c>
      <c r="E686" s="11">
        <v>0.0</v>
      </c>
      <c r="F686" s="11" t="s">
        <v>2038</v>
      </c>
    </row>
    <row r="687">
      <c r="A687" s="11">
        <v>0.792285203933715</v>
      </c>
      <c r="B687" s="11">
        <v>38.8274879455566</v>
      </c>
      <c r="C687" s="11">
        <v>0.0</v>
      </c>
      <c r="D687" s="11" t="s">
        <v>1515</v>
      </c>
      <c r="E687" s="11">
        <v>0.0</v>
      </c>
      <c r="F687" s="11" t="s">
        <v>2041</v>
      </c>
    </row>
    <row r="688">
      <c r="A688" s="11">
        <v>24.8164768218994</v>
      </c>
      <c r="B688" s="11">
        <v>0.464292496442794</v>
      </c>
      <c r="C688" s="11">
        <v>-1.0</v>
      </c>
      <c r="D688" s="11" t="s">
        <v>1515</v>
      </c>
      <c r="E688" s="11">
        <v>-1.0</v>
      </c>
      <c r="F688" s="11" t="s">
        <v>2043</v>
      </c>
    </row>
    <row r="689">
      <c r="A689" s="11">
        <v>-76.5459213256836</v>
      </c>
      <c r="B689" s="11">
        <v>-15.5330219268798</v>
      </c>
      <c r="C689" s="11">
        <v>0.0</v>
      </c>
      <c r="D689" s="11" t="s">
        <v>1515</v>
      </c>
      <c r="E689" s="11">
        <v>0.0</v>
      </c>
      <c r="F689" s="11" t="s">
        <v>2045</v>
      </c>
    </row>
    <row r="690">
      <c r="A690" s="11">
        <v>-20.1109409332275</v>
      </c>
      <c r="B690" s="11">
        <v>-22.5911750793457</v>
      </c>
      <c r="C690" s="11">
        <v>0.0</v>
      </c>
      <c r="D690" s="11" t="s">
        <v>1515</v>
      </c>
      <c r="E690" s="11">
        <v>0.0</v>
      </c>
      <c r="F690" s="11" t="s">
        <v>2493</v>
      </c>
    </row>
    <row r="691">
      <c r="A691" s="11">
        <v>13.5702600479125</v>
      </c>
      <c r="B691" s="11">
        <v>36.9112281799316</v>
      </c>
      <c r="C691" s="11">
        <v>2.0</v>
      </c>
      <c r="D691" s="11" t="s">
        <v>1515</v>
      </c>
      <c r="E691" s="11">
        <v>2.0</v>
      </c>
      <c r="F691" s="11" t="s">
        <v>2494</v>
      </c>
    </row>
    <row r="692">
      <c r="A692" s="11">
        <v>-14.3071031570434</v>
      </c>
      <c r="B692" s="11">
        <v>-34.2785377502441</v>
      </c>
      <c r="C692" s="11">
        <v>0.0</v>
      </c>
      <c r="D692" s="11" t="s">
        <v>1515</v>
      </c>
      <c r="E692" s="11">
        <v>0.0</v>
      </c>
      <c r="F692" s="11" t="s">
        <v>2048</v>
      </c>
    </row>
    <row r="693">
      <c r="A693" s="11">
        <v>-5.75224924087524</v>
      </c>
      <c r="B693" s="11">
        <v>20.8598728179931</v>
      </c>
      <c r="C693" s="11">
        <v>0.0</v>
      </c>
      <c r="D693" s="11" t="s">
        <v>1515</v>
      </c>
      <c r="E693" s="11">
        <v>0.0</v>
      </c>
      <c r="F693" s="11" t="s">
        <v>2050</v>
      </c>
    </row>
    <row r="694">
      <c r="A694" s="11">
        <v>61.0096855163574</v>
      </c>
      <c r="B694" s="11">
        <v>5.1103811264038</v>
      </c>
      <c r="C694" s="11">
        <v>0.0</v>
      </c>
      <c r="D694" s="11" t="s">
        <v>1515</v>
      </c>
      <c r="E694" s="11">
        <v>0.0</v>
      </c>
      <c r="F694" s="11" t="s">
        <v>2052</v>
      </c>
    </row>
    <row r="695">
      <c r="A695" s="11">
        <v>1.84120917320251</v>
      </c>
      <c r="B695" s="11">
        <v>38.021873474121</v>
      </c>
      <c r="C695" s="11">
        <v>0.0</v>
      </c>
      <c r="D695" s="11" t="s">
        <v>1515</v>
      </c>
      <c r="E695" s="11">
        <v>0.0</v>
      </c>
      <c r="F695" s="11" t="s">
        <v>2055</v>
      </c>
    </row>
    <row r="696">
      <c r="A696" s="11">
        <v>49.5986061096191</v>
      </c>
      <c r="B696" s="11">
        <v>10.7968997955322</v>
      </c>
      <c r="C696" s="11">
        <v>-1.0</v>
      </c>
      <c r="D696" s="11" t="s">
        <v>1515</v>
      </c>
      <c r="E696" s="11">
        <v>-1.0</v>
      </c>
      <c r="F696" s="11" t="s">
        <v>2057</v>
      </c>
    </row>
    <row r="697">
      <c r="A697" s="11">
        <v>-10.2214946746826</v>
      </c>
      <c r="B697" s="11">
        <v>24.9988746643066</v>
      </c>
      <c r="C697" s="11">
        <v>-1.0</v>
      </c>
      <c r="D697" s="11" t="s">
        <v>1515</v>
      </c>
      <c r="E697" s="11">
        <v>-1.0</v>
      </c>
      <c r="F697" s="11" t="s">
        <v>2059</v>
      </c>
    </row>
    <row r="698">
      <c r="A698" s="11">
        <v>-22.4018669128417</v>
      </c>
      <c r="B698" s="11">
        <v>-9.21324157714843</v>
      </c>
      <c r="C698" s="11">
        <v>0.0</v>
      </c>
      <c r="D698" s="11" t="s">
        <v>1515</v>
      </c>
      <c r="E698" s="11">
        <v>0.0</v>
      </c>
      <c r="F698" s="11" t="s">
        <v>2060</v>
      </c>
    </row>
    <row r="699">
      <c r="A699" s="11">
        <v>-61.69331741333</v>
      </c>
      <c r="B699" s="11">
        <v>-18.0313491821289</v>
      </c>
      <c r="C699" s="11">
        <v>0.0</v>
      </c>
      <c r="D699" s="11" t="s">
        <v>1515</v>
      </c>
      <c r="E699" s="11">
        <v>0.0</v>
      </c>
      <c r="F699" s="11" t="s">
        <v>2062</v>
      </c>
    </row>
    <row r="700">
      <c r="A700" s="11">
        <v>0.513670146465301</v>
      </c>
      <c r="B700" s="11">
        <v>48.6871452331543</v>
      </c>
      <c r="C700" s="11">
        <v>0.0</v>
      </c>
      <c r="D700" s="11" t="s">
        <v>1515</v>
      </c>
      <c r="E700" s="11">
        <v>0.0</v>
      </c>
      <c r="F700" s="11" t="s">
        <v>2064</v>
      </c>
    </row>
    <row r="701">
      <c r="A701" s="11">
        <v>-47.042869567871</v>
      </c>
      <c r="B701" s="11">
        <v>-27.8834953308105</v>
      </c>
      <c r="C701" s="11">
        <v>0.0</v>
      </c>
      <c r="D701" s="11" t="s">
        <v>1515</v>
      </c>
      <c r="E701" s="11">
        <v>0.0</v>
      </c>
      <c r="F701" s="11" t="s">
        <v>2066</v>
      </c>
    </row>
    <row r="702">
      <c r="A702" s="11">
        <v>-37.8869514465332</v>
      </c>
      <c r="B702" s="11">
        <v>-12.7712345123291</v>
      </c>
      <c r="C702" s="11">
        <v>-1.0</v>
      </c>
      <c r="D702" s="11" t="s">
        <v>1515</v>
      </c>
      <c r="E702" s="11">
        <v>-1.0</v>
      </c>
      <c r="F702" s="11" t="s">
        <v>2069</v>
      </c>
    </row>
    <row r="703">
      <c r="A703" s="11">
        <v>-39.3445281982421</v>
      </c>
      <c r="B703" s="11">
        <v>-42.2383193969726</v>
      </c>
      <c r="C703" s="11">
        <v>0.0</v>
      </c>
      <c r="D703" s="11" t="s">
        <v>1515</v>
      </c>
      <c r="E703" s="11">
        <v>0.0</v>
      </c>
      <c r="F703" s="11" t="s">
        <v>2071</v>
      </c>
    </row>
    <row r="704">
      <c r="A704" s="11">
        <v>48.1186866760253</v>
      </c>
      <c r="B704" s="11">
        <v>10.1904067993164</v>
      </c>
      <c r="C704" s="11">
        <v>0.0</v>
      </c>
      <c r="D704" s="11" t="s">
        <v>1515</v>
      </c>
      <c r="E704" s="11">
        <v>0.0</v>
      </c>
      <c r="F704" s="11" t="s">
        <v>2073</v>
      </c>
    </row>
    <row r="705">
      <c r="A705" s="11">
        <v>36.7656059265136</v>
      </c>
      <c r="B705" s="11">
        <v>6.38733530044555</v>
      </c>
      <c r="C705" s="11">
        <v>-2.0</v>
      </c>
      <c r="D705" s="11" t="s">
        <v>1515</v>
      </c>
      <c r="E705" s="11">
        <v>-2.0</v>
      </c>
      <c r="F705" s="11" t="s">
        <v>2076</v>
      </c>
    </row>
    <row r="706">
      <c r="A706" s="11">
        <v>-26.9945526123046</v>
      </c>
      <c r="B706" s="11">
        <v>-52.2547531127929</v>
      </c>
      <c r="C706" s="11">
        <v>0.0</v>
      </c>
      <c r="D706" s="11" t="s">
        <v>1515</v>
      </c>
      <c r="E706" s="11">
        <v>0.0</v>
      </c>
      <c r="F706" s="11" t="s">
        <v>2078</v>
      </c>
    </row>
    <row r="707">
      <c r="A707" s="11">
        <v>-72.4243087768554</v>
      </c>
      <c r="B707" s="11">
        <v>-5.86088895797729</v>
      </c>
      <c r="C707" s="11">
        <v>0.0</v>
      </c>
      <c r="D707" s="11" t="s">
        <v>1515</v>
      </c>
      <c r="E707" s="11">
        <v>0.0</v>
      </c>
      <c r="F707" s="11" t="s">
        <v>2081</v>
      </c>
    </row>
    <row r="708">
      <c r="A708" s="11">
        <v>-20.4329853057861</v>
      </c>
      <c r="B708" s="11">
        <v>-36.9280014038085</v>
      </c>
      <c r="C708" s="11">
        <v>0.0</v>
      </c>
      <c r="D708" s="11" t="s">
        <v>1515</v>
      </c>
      <c r="E708" s="11">
        <v>0.0</v>
      </c>
      <c r="F708" s="11" t="s">
        <v>2083</v>
      </c>
    </row>
    <row r="709">
      <c r="A709" s="11">
        <v>62.8463249206543</v>
      </c>
      <c r="B709" s="11">
        <v>-23.2037944793701</v>
      </c>
      <c r="C709" s="11">
        <v>0.0</v>
      </c>
      <c r="D709" s="11" t="s">
        <v>1515</v>
      </c>
      <c r="E709" s="11">
        <v>0.0</v>
      </c>
      <c r="F709" s="11" t="s">
        <v>2085</v>
      </c>
    </row>
    <row r="710">
      <c r="A710" s="11">
        <v>-50.554401397705</v>
      </c>
      <c r="B710" s="11">
        <v>-21.2558917999267</v>
      </c>
      <c r="C710" s="11">
        <v>0.0</v>
      </c>
      <c r="D710" s="11" t="s">
        <v>1515</v>
      </c>
      <c r="E710" s="11">
        <v>0.0</v>
      </c>
      <c r="F710" s="11" t="s">
        <v>2088</v>
      </c>
    </row>
    <row r="711">
      <c r="A711" s="11">
        <v>-36.1417121887207</v>
      </c>
      <c r="B711" s="11">
        <v>-14.049687385559</v>
      </c>
      <c r="C711" s="11">
        <v>0.0</v>
      </c>
      <c r="D711" s="11" t="s">
        <v>1515</v>
      </c>
      <c r="E711" s="11">
        <v>0.0</v>
      </c>
      <c r="F711" s="11" t="s">
        <v>2090</v>
      </c>
    </row>
    <row r="712">
      <c r="A712" s="11">
        <v>-50.9864807128906</v>
      </c>
      <c r="B712" s="11">
        <v>-33.3733520507812</v>
      </c>
      <c r="C712" s="11">
        <v>0.0</v>
      </c>
      <c r="D712" s="11" t="s">
        <v>1515</v>
      </c>
      <c r="E712" s="11">
        <v>0.0</v>
      </c>
      <c r="F712" s="11" t="s">
        <v>2093</v>
      </c>
    </row>
    <row r="713">
      <c r="A713" s="11">
        <v>-12.2318992614746</v>
      </c>
      <c r="B713" s="11">
        <v>-5.98463296890258</v>
      </c>
      <c r="C713" s="11">
        <v>0.0</v>
      </c>
      <c r="D713" s="11" t="s">
        <v>1515</v>
      </c>
      <c r="E713" s="11">
        <v>0.0</v>
      </c>
      <c r="F713" s="11" t="s">
        <v>2095</v>
      </c>
    </row>
    <row r="714">
      <c r="A714" s="11">
        <v>74.9251632690429</v>
      </c>
      <c r="B714" s="11">
        <v>-5.54744863510131</v>
      </c>
      <c r="C714" s="11">
        <v>2.0</v>
      </c>
      <c r="D714" s="11" t="s">
        <v>1515</v>
      </c>
      <c r="E714" s="11">
        <v>2.0</v>
      </c>
      <c r="F714" s="11" t="s">
        <v>2096</v>
      </c>
    </row>
    <row r="715">
      <c r="A715" s="11">
        <v>-27.2333393096923</v>
      </c>
      <c r="B715" s="11">
        <v>-3.27370309829711</v>
      </c>
      <c r="C715" s="11">
        <v>1.0</v>
      </c>
      <c r="D715" s="11" t="s">
        <v>1515</v>
      </c>
      <c r="E715" s="11">
        <v>1.0</v>
      </c>
      <c r="F715" s="11" t="s">
        <v>2098</v>
      </c>
    </row>
    <row r="716">
      <c r="A716" s="11">
        <v>-28.7431621551513</v>
      </c>
      <c r="B716" s="11">
        <v>-21.3054466247558</v>
      </c>
      <c r="C716" s="11">
        <v>0.0</v>
      </c>
      <c r="D716" s="11" t="s">
        <v>1515</v>
      </c>
      <c r="E716" s="11">
        <v>0.0</v>
      </c>
      <c r="F716" s="11" t="s">
        <v>2100</v>
      </c>
    </row>
    <row r="717">
      <c r="A717" s="11">
        <v>-38.035846710205</v>
      </c>
      <c r="B717" s="11">
        <v>-41.3324394226074</v>
      </c>
      <c r="C717" s="11">
        <v>0.0</v>
      </c>
      <c r="D717" s="11" t="s">
        <v>1515</v>
      </c>
      <c r="E717" s="11">
        <v>0.0</v>
      </c>
      <c r="F717" s="11" t="s">
        <v>2102</v>
      </c>
    </row>
    <row r="718">
      <c r="A718" s="11">
        <v>51.6647567749023</v>
      </c>
      <c r="B718" s="11">
        <v>14.2115392684936</v>
      </c>
      <c r="C718" s="11">
        <v>0.0</v>
      </c>
      <c r="D718" s="11" t="s">
        <v>1515</v>
      </c>
      <c r="E718" s="11">
        <v>0.0</v>
      </c>
      <c r="F718" s="11" t="s">
        <v>2104</v>
      </c>
    </row>
    <row r="719">
      <c r="A719" s="11">
        <v>-11.3459978103637</v>
      </c>
      <c r="B719" s="11">
        <v>-11.5859193801879</v>
      </c>
      <c r="C719" s="11">
        <v>0.0</v>
      </c>
      <c r="D719" s="11" t="s">
        <v>1515</v>
      </c>
      <c r="E719" s="11">
        <v>0.0</v>
      </c>
      <c r="F719" s="11" t="s">
        <v>2106</v>
      </c>
    </row>
    <row r="720">
      <c r="A720" s="11">
        <v>-17.4544925689697</v>
      </c>
      <c r="B720" s="11">
        <v>-9.63715744018554</v>
      </c>
      <c r="C720" s="11">
        <v>0.0</v>
      </c>
      <c r="D720" s="11" t="s">
        <v>1515</v>
      </c>
      <c r="E720" s="11">
        <v>0.0</v>
      </c>
      <c r="F720" s="11" t="s">
        <v>2108</v>
      </c>
    </row>
    <row r="721">
      <c r="A721" s="11">
        <v>50.0815620422363</v>
      </c>
      <c r="B721" s="11">
        <v>12.061161994934</v>
      </c>
      <c r="C721" s="11">
        <v>1.0</v>
      </c>
      <c r="D721" s="11" t="s">
        <v>1515</v>
      </c>
      <c r="E721" s="11">
        <v>1.0</v>
      </c>
      <c r="F721" s="11" t="s">
        <v>2111</v>
      </c>
    </row>
    <row r="722">
      <c r="A722" s="11">
        <v>-13.2157001495361</v>
      </c>
      <c r="B722" s="11">
        <v>-47.3893814086914</v>
      </c>
      <c r="C722" s="11">
        <v>0.0</v>
      </c>
      <c r="D722" s="11" t="s">
        <v>1515</v>
      </c>
      <c r="E722" s="11">
        <v>0.0</v>
      </c>
      <c r="F722" s="11" t="s">
        <v>2113</v>
      </c>
    </row>
    <row r="723">
      <c r="A723" s="11">
        <v>24.1769485473632</v>
      </c>
      <c r="B723" s="11">
        <v>1.190891623497</v>
      </c>
      <c r="C723" s="11">
        <v>-1.0</v>
      </c>
      <c r="D723" s="11" t="s">
        <v>1515</v>
      </c>
      <c r="E723" s="11">
        <v>-1.0</v>
      </c>
      <c r="F723" s="11" t="s">
        <v>2115</v>
      </c>
    </row>
    <row r="724">
      <c r="A724" s="11">
        <v>-16.9567413330078</v>
      </c>
      <c r="B724" s="11">
        <v>-3.95978617668151</v>
      </c>
      <c r="C724" s="11">
        <v>0.0</v>
      </c>
      <c r="D724" s="11" t="s">
        <v>1515</v>
      </c>
      <c r="E724" s="11">
        <v>0.0</v>
      </c>
      <c r="F724" s="11" t="s">
        <v>2118</v>
      </c>
    </row>
    <row r="725">
      <c r="A725" s="11">
        <v>24.963788986206</v>
      </c>
      <c r="B725" s="11">
        <v>-0.47137114405632</v>
      </c>
      <c r="C725" s="11">
        <v>-1.0</v>
      </c>
      <c r="D725" s="11" t="s">
        <v>1515</v>
      </c>
      <c r="E725" s="11">
        <v>-1.0</v>
      </c>
      <c r="F725" s="11" t="s">
        <v>2121</v>
      </c>
    </row>
    <row r="726">
      <c r="A726" s="11">
        <v>-23.3869895935058</v>
      </c>
      <c r="B726" s="11">
        <v>-19.3529834747314</v>
      </c>
      <c r="C726" s="11">
        <v>0.0</v>
      </c>
      <c r="D726" s="11" t="s">
        <v>1515</v>
      </c>
      <c r="E726" s="11">
        <v>0.0</v>
      </c>
      <c r="F726" s="11" t="s">
        <v>2123</v>
      </c>
    </row>
    <row r="727">
      <c r="A727" s="11">
        <v>61.0096855163574</v>
      </c>
      <c r="B727" s="11">
        <v>5.1103811264038</v>
      </c>
      <c r="C727" s="11">
        <v>0.0</v>
      </c>
      <c r="D727" s="11" t="s">
        <v>1515</v>
      </c>
      <c r="E727" s="11">
        <v>0.0</v>
      </c>
      <c r="F727" s="11" t="s">
        <v>2126</v>
      </c>
    </row>
    <row r="728">
      <c r="A728" s="11">
        <v>-20.8059139251709</v>
      </c>
      <c r="B728" s="11">
        <v>-7.17979574203491</v>
      </c>
      <c r="C728" s="11">
        <v>0.0</v>
      </c>
      <c r="D728" s="11" t="s">
        <v>1515</v>
      </c>
      <c r="E728" s="11">
        <v>0.0</v>
      </c>
      <c r="F728" s="11" t="s">
        <v>2128</v>
      </c>
    </row>
    <row r="729">
      <c r="A729" s="11">
        <v>54.4559669494628</v>
      </c>
      <c r="B729" s="11">
        <v>11.3164319992065</v>
      </c>
      <c r="C729" s="11">
        <v>0.0</v>
      </c>
      <c r="D729" s="11" t="s">
        <v>1515</v>
      </c>
      <c r="E729" s="11">
        <v>0.0</v>
      </c>
      <c r="F729" s="11" t="s">
        <v>2130</v>
      </c>
    </row>
    <row r="730">
      <c r="A730" s="11">
        <v>-34.8266792297363</v>
      </c>
      <c r="B730" s="11">
        <v>-19.8603229522705</v>
      </c>
      <c r="C730" s="11">
        <v>0.0</v>
      </c>
      <c r="D730" s="11" t="s">
        <v>1515</v>
      </c>
      <c r="E730" s="11">
        <v>0.0</v>
      </c>
      <c r="F730" s="11" t="s">
        <v>2132</v>
      </c>
    </row>
    <row r="731">
      <c r="A731" s="11">
        <v>-21.2384204864501</v>
      </c>
      <c r="B731" s="11">
        <v>-10.2473163604736</v>
      </c>
      <c r="C731" s="11">
        <v>0.0</v>
      </c>
      <c r="D731" s="11" t="s">
        <v>1515</v>
      </c>
      <c r="E731" s="11">
        <v>0.0</v>
      </c>
      <c r="F731" s="11" t="s">
        <v>2134</v>
      </c>
    </row>
    <row r="732">
      <c r="A732" s="11">
        <v>-9.41317176818847</v>
      </c>
      <c r="B732" s="11">
        <v>-25.8162059783935</v>
      </c>
      <c r="C732" s="11">
        <v>-1.0</v>
      </c>
      <c r="D732" s="11" t="s">
        <v>1515</v>
      </c>
      <c r="E732" s="11">
        <v>-1.0</v>
      </c>
      <c r="F732" s="11" t="s">
        <v>2136</v>
      </c>
    </row>
    <row r="733">
      <c r="A733" s="11">
        <v>-74.3852233886718</v>
      </c>
      <c r="B733" s="11">
        <v>-4.61813688278198</v>
      </c>
      <c r="C733" s="11">
        <v>0.0</v>
      </c>
      <c r="D733" s="11" t="s">
        <v>1515</v>
      </c>
      <c r="E733" s="11">
        <v>0.0</v>
      </c>
      <c r="F733" s="11" t="s">
        <v>2137</v>
      </c>
    </row>
    <row r="734">
      <c r="A734" s="11">
        <v>38.179458618164</v>
      </c>
      <c r="B734" s="11">
        <v>-14.0203275680542</v>
      </c>
      <c r="C734" s="11">
        <v>0.0</v>
      </c>
      <c r="D734" s="11" t="s">
        <v>1515</v>
      </c>
      <c r="E734" s="11">
        <v>0.0</v>
      </c>
      <c r="F734" s="11" t="s">
        <v>2139</v>
      </c>
    </row>
    <row r="735">
      <c r="A735" s="11">
        <v>21.6784782409667</v>
      </c>
      <c r="B735" s="11">
        <v>0.233165636658668</v>
      </c>
      <c r="C735" s="11">
        <v>2.0</v>
      </c>
      <c r="D735" s="11" t="s">
        <v>1515</v>
      </c>
      <c r="E735" s="11">
        <v>2.0</v>
      </c>
      <c r="F735" s="11" t="s">
        <v>2142</v>
      </c>
    </row>
    <row r="736">
      <c r="A736" s="11">
        <v>-4.80869579315185</v>
      </c>
      <c r="B736" s="11">
        <v>-4.62897157669067</v>
      </c>
      <c r="C736" s="11">
        <v>0.0</v>
      </c>
      <c r="D736" s="11" t="s">
        <v>1515</v>
      </c>
      <c r="E736" s="11">
        <v>0.0</v>
      </c>
      <c r="F736" s="11" t="s">
        <v>2144</v>
      </c>
    </row>
    <row r="737">
      <c r="A737" s="11">
        <v>1.64757812023162</v>
      </c>
      <c r="B737" s="11">
        <v>17.6894626617431</v>
      </c>
      <c r="C737" s="11">
        <v>0.0</v>
      </c>
      <c r="D737" s="11" t="s">
        <v>1515</v>
      </c>
      <c r="E737" s="11">
        <v>0.0</v>
      </c>
      <c r="F737" s="11" t="s">
        <v>2146</v>
      </c>
    </row>
    <row r="738">
      <c r="A738" s="11">
        <v>-34.8253173828125</v>
      </c>
      <c r="B738" s="11">
        <v>-60.71728515625</v>
      </c>
      <c r="C738" s="11">
        <v>0.0</v>
      </c>
      <c r="D738" s="11" t="s">
        <v>1515</v>
      </c>
      <c r="E738" s="11">
        <v>0.0</v>
      </c>
      <c r="F738" s="11" t="s">
        <v>2148</v>
      </c>
    </row>
    <row r="739">
      <c r="A739" s="11">
        <v>-6.99454259872436</v>
      </c>
      <c r="B739" s="11">
        <v>-59.3631782531738</v>
      </c>
      <c r="C739" s="11">
        <v>0.0</v>
      </c>
      <c r="D739" s="11" t="s">
        <v>1515</v>
      </c>
      <c r="E739" s="11">
        <v>0.0</v>
      </c>
      <c r="F739" s="11" t="s">
        <v>2495</v>
      </c>
    </row>
    <row r="740">
      <c r="A740" s="11">
        <v>-15.0243587493896</v>
      </c>
      <c r="B740" s="11">
        <v>-23.7167663574218</v>
      </c>
      <c r="C740" s="11">
        <v>0.0</v>
      </c>
      <c r="D740" s="11" t="s">
        <v>1515</v>
      </c>
      <c r="E740" s="11">
        <v>0.0</v>
      </c>
      <c r="F740" s="11" t="s">
        <v>2150</v>
      </c>
    </row>
    <row r="741">
      <c r="A741" s="11">
        <v>-25.5155696868896</v>
      </c>
      <c r="B741" s="11">
        <v>-9.8840742111206</v>
      </c>
      <c r="C741" s="11">
        <v>0.0</v>
      </c>
      <c r="D741" s="11" t="s">
        <v>1515</v>
      </c>
      <c r="E741" s="11">
        <v>0.0</v>
      </c>
      <c r="F741" s="11" t="s">
        <v>2151</v>
      </c>
    </row>
    <row r="742">
      <c r="A742" s="11">
        <v>-56.1477355957031</v>
      </c>
      <c r="B742" s="11">
        <v>-3.42917561531066</v>
      </c>
      <c r="C742" s="11">
        <v>0.0</v>
      </c>
      <c r="D742" s="11" t="s">
        <v>1515</v>
      </c>
      <c r="E742" s="11">
        <v>0.0</v>
      </c>
      <c r="F742" s="11" t="s">
        <v>2152</v>
      </c>
    </row>
    <row r="743">
      <c r="A743" s="11">
        <v>-65.6150131225586</v>
      </c>
      <c r="B743" s="11">
        <v>-37.3321800231933</v>
      </c>
      <c r="C743" s="11">
        <v>0.0</v>
      </c>
      <c r="D743" s="11" t="s">
        <v>1515</v>
      </c>
      <c r="E743" s="11">
        <v>0.0</v>
      </c>
      <c r="F743" s="11" t="s">
        <v>2154</v>
      </c>
    </row>
    <row r="744">
      <c r="A744" s="11">
        <v>-26.0631027221679</v>
      </c>
      <c r="B744" s="11">
        <v>-24.3523788452148</v>
      </c>
      <c r="C744" s="11">
        <v>0.0</v>
      </c>
      <c r="D744" s="11" t="s">
        <v>1515</v>
      </c>
      <c r="E744" s="11">
        <v>0.0</v>
      </c>
      <c r="F744" s="11" t="s">
        <v>2156</v>
      </c>
    </row>
    <row r="745">
      <c r="A745" s="11">
        <v>16.8268775939941</v>
      </c>
      <c r="B745" s="11">
        <v>33.4862556457519</v>
      </c>
      <c r="C745" s="11">
        <v>2.0</v>
      </c>
      <c r="D745" s="11" t="s">
        <v>1515</v>
      </c>
      <c r="E745" s="11">
        <v>2.0</v>
      </c>
      <c r="F745" s="11" t="s">
        <v>2496</v>
      </c>
    </row>
    <row r="746">
      <c r="A746" s="11">
        <v>62.8463249206543</v>
      </c>
      <c r="B746" s="11">
        <v>-23.2037944793701</v>
      </c>
      <c r="C746" s="11">
        <v>0.0</v>
      </c>
      <c r="D746" s="11" t="s">
        <v>1515</v>
      </c>
      <c r="E746" s="11">
        <v>0.0</v>
      </c>
      <c r="F746" s="11" t="s">
        <v>2157</v>
      </c>
    </row>
    <row r="747">
      <c r="A747" s="11">
        <v>67.6374969482421</v>
      </c>
      <c r="B747" s="11">
        <v>-28.5883750915527</v>
      </c>
      <c r="C747" s="11">
        <v>0.0</v>
      </c>
      <c r="D747" s="11" t="s">
        <v>1515</v>
      </c>
      <c r="E747" s="11">
        <v>0.0</v>
      </c>
      <c r="F747" s="11" t="s">
        <v>2159</v>
      </c>
    </row>
    <row r="748">
      <c r="A748" s="11">
        <v>17.4165229797363</v>
      </c>
      <c r="B748" s="11">
        <v>-9.50339794158935</v>
      </c>
      <c r="C748" s="11">
        <v>0.0</v>
      </c>
      <c r="D748" s="11" t="s">
        <v>1515</v>
      </c>
      <c r="E748" s="11">
        <v>0.0</v>
      </c>
      <c r="F748" s="11" t="s">
        <v>2161</v>
      </c>
    </row>
    <row r="749">
      <c r="A749" s="11">
        <v>-7.9849886894226</v>
      </c>
      <c r="B749" s="11">
        <v>-10.2484474182128</v>
      </c>
      <c r="C749" s="11">
        <v>0.0</v>
      </c>
      <c r="D749" s="11" t="s">
        <v>1515</v>
      </c>
      <c r="E749" s="11">
        <v>0.0</v>
      </c>
      <c r="F749" s="11" t="s">
        <v>2163</v>
      </c>
    </row>
    <row r="750">
      <c r="A750" s="11">
        <v>-19.2775802612304</v>
      </c>
      <c r="B750" s="11">
        <v>-38.0932006835937</v>
      </c>
      <c r="C750" s="11">
        <v>0.0</v>
      </c>
      <c r="D750" s="11" t="s">
        <v>1515</v>
      </c>
      <c r="E750" s="11">
        <v>0.0</v>
      </c>
      <c r="F750" s="11" t="s">
        <v>2165</v>
      </c>
    </row>
    <row r="751">
      <c r="A751" s="11">
        <v>-27.5597820281982</v>
      </c>
      <c r="B751" s="11">
        <v>-51.2779235839843</v>
      </c>
      <c r="C751" s="11">
        <v>0.0</v>
      </c>
      <c r="D751" s="11" t="s">
        <v>1515</v>
      </c>
      <c r="E751" s="11">
        <v>0.0</v>
      </c>
      <c r="F751" s="11" t="s">
        <v>2167</v>
      </c>
    </row>
    <row r="752">
      <c r="A752" s="11">
        <v>68.216064453125</v>
      </c>
      <c r="B752" s="11">
        <v>-10.6958570480346</v>
      </c>
      <c r="C752" s="11">
        <v>0.0</v>
      </c>
      <c r="D752" s="11" t="s">
        <v>1515</v>
      </c>
      <c r="E752" s="11">
        <v>0.0</v>
      </c>
      <c r="F752" s="11" t="s">
        <v>2168</v>
      </c>
    </row>
    <row r="753">
      <c r="A753" s="11">
        <v>54.1027565002441</v>
      </c>
      <c r="B753" s="11">
        <v>12.7685976028442</v>
      </c>
      <c r="C753" s="11">
        <v>0.0</v>
      </c>
      <c r="D753" s="11" t="s">
        <v>1515</v>
      </c>
      <c r="E753" s="11">
        <v>0.0</v>
      </c>
      <c r="F753" s="11" t="s">
        <v>2170</v>
      </c>
    </row>
    <row r="754">
      <c r="A754" s="11">
        <v>-60.9401321411132</v>
      </c>
      <c r="B754" s="11">
        <v>-18.7647666931152</v>
      </c>
      <c r="C754" s="11">
        <v>0.0</v>
      </c>
      <c r="D754" s="11" t="s">
        <v>1515</v>
      </c>
      <c r="E754" s="11">
        <v>0.0</v>
      </c>
      <c r="F754" s="11" t="s">
        <v>2172</v>
      </c>
    </row>
    <row r="755">
      <c r="A755" s="11">
        <v>-27.5597820281982</v>
      </c>
      <c r="B755" s="11">
        <v>-51.2779235839843</v>
      </c>
      <c r="C755" s="11">
        <v>0.0</v>
      </c>
      <c r="D755" s="11" t="s">
        <v>1515</v>
      </c>
      <c r="E755" s="11">
        <v>0.0</v>
      </c>
      <c r="F755" s="11" t="s">
        <v>2174</v>
      </c>
    </row>
    <row r="756">
      <c r="A756" s="11">
        <v>-46.7834396362304</v>
      </c>
      <c r="B756" s="11">
        <v>50.6952400207519</v>
      </c>
      <c r="C756" s="11">
        <v>0.0</v>
      </c>
      <c r="D756" s="11" t="s">
        <v>1515</v>
      </c>
      <c r="E756" s="11">
        <v>0.0</v>
      </c>
      <c r="F756" s="11" t="s">
        <v>2176</v>
      </c>
    </row>
    <row r="757">
      <c r="A757" s="11">
        <v>22.6907520294189</v>
      </c>
      <c r="B757" s="11">
        <v>42.3532638549804</v>
      </c>
      <c r="C757" s="11">
        <v>2.0</v>
      </c>
      <c r="D757" s="11" t="s">
        <v>1515</v>
      </c>
      <c r="E757" s="11">
        <v>2.0</v>
      </c>
      <c r="F757" s="11" t="s">
        <v>2497</v>
      </c>
    </row>
    <row r="758">
      <c r="A758" s="11">
        <v>23.1620845794677</v>
      </c>
      <c r="B758" s="11">
        <v>33.528018951416</v>
      </c>
      <c r="C758" s="11">
        <v>2.0</v>
      </c>
      <c r="D758" s="11" t="s">
        <v>1515</v>
      </c>
      <c r="E758" s="11">
        <v>2.0</v>
      </c>
      <c r="F758" s="11" t="s">
        <v>2498</v>
      </c>
    </row>
    <row r="759">
      <c r="A759" s="11">
        <v>-47.4931449890136</v>
      </c>
      <c r="B759" s="11">
        <v>49.7080268859863</v>
      </c>
      <c r="C759" s="11">
        <v>0.0</v>
      </c>
      <c r="D759" s="11" t="s">
        <v>1515</v>
      </c>
      <c r="E759" s="11">
        <v>0.0</v>
      </c>
      <c r="F759" s="11" t="s">
        <v>2178</v>
      </c>
    </row>
    <row r="760">
      <c r="A760" s="11">
        <v>23.587453842163</v>
      </c>
      <c r="B760" s="11">
        <v>0.314228296279907</v>
      </c>
      <c r="C760" s="11">
        <v>-1.0</v>
      </c>
      <c r="D760" s="11" t="s">
        <v>1515</v>
      </c>
      <c r="E760" s="11">
        <v>-1.0</v>
      </c>
      <c r="F760" s="11" t="s">
        <v>2180</v>
      </c>
    </row>
    <row r="761">
      <c r="A761" s="11">
        <v>-77.5314636230468</v>
      </c>
      <c r="B761" s="11">
        <v>-9.55503845214843</v>
      </c>
      <c r="C761" s="11">
        <v>0.0</v>
      </c>
      <c r="D761" s="11" t="s">
        <v>1515</v>
      </c>
      <c r="E761" s="11">
        <v>0.0</v>
      </c>
      <c r="F761" s="11" t="s">
        <v>2183</v>
      </c>
    </row>
    <row r="762">
      <c r="A762" s="11">
        <v>-33.1890144348144</v>
      </c>
      <c r="B762" s="11">
        <v>-25.7625064849853</v>
      </c>
      <c r="C762" s="11">
        <v>0.0</v>
      </c>
      <c r="D762" s="11" t="s">
        <v>1515</v>
      </c>
      <c r="E762" s="11">
        <v>0.0</v>
      </c>
      <c r="F762" s="11" t="s">
        <v>2185</v>
      </c>
    </row>
    <row r="763">
      <c r="A763" s="11">
        <v>56.7185668945312</v>
      </c>
      <c r="B763" s="11">
        <v>11.9704208374023</v>
      </c>
      <c r="C763" s="11">
        <v>2.0</v>
      </c>
      <c r="D763" s="11" t="s">
        <v>1515</v>
      </c>
      <c r="E763" s="11">
        <v>2.0</v>
      </c>
      <c r="F763" s="11" t="s">
        <v>2188</v>
      </c>
    </row>
    <row r="764">
      <c r="A764" s="11">
        <v>-52.7723197937011</v>
      </c>
      <c r="B764" s="11">
        <v>-13.270562171936</v>
      </c>
      <c r="C764" s="11">
        <v>0.0</v>
      </c>
      <c r="D764" s="11" t="s">
        <v>1515</v>
      </c>
      <c r="E764" s="11">
        <v>0.0</v>
      </c>
      <c r="F764" s="11" t="s">
        <v>2190</v>
      </c>
    </row>
    <row r="765">
      <c r="A765" s="11">
        <v>28.9113273620605</v>
      </c>
      <c r="B765" s="11">
        <v>-5.05376291275024</v>
      </c>
      <c r="C765" s="11">
        <v>-1.0</v>
      </c>
      <c r="D765" s="11" t="s">
        <v>1515</v>
      </c>
      <c r="E765" s="11">
        <v>-1.0</v>
      </c>
      <c r="F765" s="11" t="s">
        <v>2192</v>
      </c>
    </row>
    <row r="766">
      <c r="A766" s="11">
        <v>0.613435447216033</v>
      </c>
      <c r="B766" s="11">
        <v>37.5202140808105</v>
      </c>
      <c r="C766" s="11">
        <v>0.0</v>
      </c>
      <c r="D766" s="11" t="s">
        <v>1515</v>
      </c>
      <c r="E766" s="11">
        <v>0.0</v>
      </c>
      <c r="F766" s="11" t="s">
        <v>2195</v>
      </c>
    </row>
    <row r="767">
      <c r="A767" s="11">
        <v>35.2780456542968</v>
      </c>
      <c r="B767" s="11">
        <v>-5.62275552749633</v>
      </c>
      <c r="C767" s="11">
        <v>0.0</v>
      </c>
      <c r="D767" s="11" t="s">
        <v>1515</v>
      </c>
      <c r="E767" s="11">
        <v>0.0</v>
      </c>
      <c r="F767" s="11" t="s">
        <v>2198</v>
      </c>
    </row>
    <row r="768">
      <c r="A768" s="11">
        <v>-16.3224449157714</v>
      </c>
      <c r="B768" s="11">
        <v>-34.7444915771484</v>
      </c>
      <c r="C768" s="11">
        <v>0.0</v>
      </c>
      <c r="D768" s="11" t="s">
        <v>1515</v>
      </c>
      <c r="E768" s="11">
        <v>0.0</v>
      </c>
      <c r="F768" s="11" t="s">
        <v>2201</v>
      </c>
    </row>
    <row r="769">
      <c r="A769" s="11">
        <v>-29.7660369873046</v>
      </c>
      <c r="B769" s="11">
        <v>55.5669136047363</v>
      </c>
      <c r="C769" s="11">
        <v>0.0</v>
      </c>
      <c r="D769" s="11" t="s">
        <v>1515</v>
      </c>
      <c r="E769" s="11">
        <v>0.0</v>
      </c>
      <c r="F769" s="11" t="s">
        <v>2203</v>
      </c>
    </row>
    <row r="770">
      <c r="A770" s="11">
        <v>73.3251419067382</v>
      </c>
      <c r="B770" s="11">
        <v>-5.6168532371521</v>
      </c>
      <c r="C770" s="11">
        <v>2.0</v>
      </c>
      <c r="D770" s="11" t="s">
        <v>1515</v>
      </c>
      <c r="E770" s="11">
        <v>2.0</v>
      </c>
      <c r="F770" s="11" t="s">
        <v>2205</v>
      </c>
    </row>
    <row r="771">
      <c r="A771" s="11">
        <v>-45.4235496520996</v>
      </c>
      <c r="B771" s="11">
        <v>-26.6729354858398</v>
      </c>
      <c r="C771" s="11">
        <v>0.0</v>
      </c>
      <c r="D771" s="11" t="s">
        <v>1515</v>
      </c>
      <c r="E771" s="11">
        <v>0.0</v>
      </c>
      <c r="F771" s="11" t="s">
        <v>2207</v>
      </c>
    </row>
    <row r="772">
      <c r="A772" s="11">
        <v>-29.7660369873046</v>
      </c>
      <c r="B772" s="11">
        <v>55.5669136047363</v>
      </c>
      <c r="C772" s="11">
        <v>0.0</v>
      </c>
      <c r="D772" s="11" t="s">
        <v>1515</v>
      </c>
      <c r="E772" s="11">
        <v>0.0</v>
      </c>
      <c r="F772" s="11" t="s">
        <v>2208</v>
      </c>
    </row>
    <row r="773">
      <c r="A773" s="11">
        <v>23.8899993896484</v>
      </c>
      <c r="B773" s="11">
        <v>28.3670330047607</v>
      </c>
      <c r="C773" s="11">
        <v>2.0</v>
      </c>
      <c r="D773" s="11" t="s">
        <v>1515</v>
      </c>
      <c r="E773" s="11">
        <v>2.0</v>
      </c>
      <c r="F773" s="11" t="s">
        <v>2499</v>
      </c>
    </row>
    <row r="774">
      <c r="A774" s="11">
        <v>-25.0948867797851</v>
      </c>
      <c r="B774" s="11">
        <v>-9.86194992065429</v>
      </c>
      <c r="C774" s="11">
        <v>0.0</v>
      </c>
      <c r="D774" s="11" t="s">
        <v>1515</v>
      </c>
      <c r="E774" s="11">
        <v>0.0</v>
      </c>
      <c r="F774" s="11" t="s">
        <v>2210</v>
      </c>
    </row>
    <row r="775">
      <c r="A775" s="11">
        <v>-71.8606262207031</v>
      </c>
      <c r="B775" s="11">
        <v>-6.63182258605957</v>
      </c>
      <c r="C775" s="11">
        <v>0.0</v>
      </c>
      <c r="D775" s="11" t="s">
        <v>1515</v>
      </c>
      <c r="E775" s="11">
        <v>0.0</v>
      </c>
      <c r="F775" s="11" t="s">
        <v>2212</v>
      </c>
    </row>
    <row r="776">
      <c r="A776" s="11">
        <v>1.72999858856201</v>
      </c>
      <c r="B776" s="11">
        <v>-5.43992805480957</v>
      </c>
      <c r="C776" s="11">
        <v>0.0</v>
      </c>
      <c r="D776" s="11" t="s">
        <v>1515</v>
      </c>
      <c r="E776" s="11">
        <v>0.0</v>
      </c>
      <c r="F776" s="11" t="s">
        <v>2214</v>
      </c>
    </row>
    <row r="777">
      <c r="A777" s="11">
        <v>15.5980033874511</v>
      </c>
      <c r="B777" s="11">
        <v>-55.9822006225585</v>
      </c>
      <c r="C777" s="11">
        <v>0.0</v>
      </c>
      <c r="D777" s="11" t="s">
        <v>1515</v>
      </c>
      <c r="E777" s="11">
        <v>0.0</v>
      </c>
      <c r="F777" s="11" t="s">
        <v>2216</v>
      </c>
    </row>
    <row r="778">
      <c r="A778" s="11">
        <v>-53.8411331176757</v>
      </c>
      <c r="B778" s="11">
        <v>-13.3662538528442</v>
      </c>
      <c r="C778" s="11">
        <v>0.0</v>
      </c>
      <c r="D778" s="11" t="s">
        <v>1515</v>
      </c>
      <c r="E778" s="11">
        <v>0.0</v>
      </c>
      <c r="F778" s="11" t="s">
        <v>2218</v>
      </c>
    </row>
    <row r="779">
      <c r="A779" s="11">
        <v>-34.3665924072265</v>
      </c>
      <c r="B779" s="11">
        <v>-19.058006286621</v>
      </c>
      <c r="C779" s="11">
        <v>0.0</v>
      </c>
      <c r="D779" s="11" t="s">
        <v>1515</v>
      </c>
      <c r="E779" s="11">
        <v>0.0</v>
      </c>
      <c r="F779" s="11" t="s">
        <v>2220</v>
      </c>
    </row>
    <row r="780">
      <c r="A780" s="11">
        <v>-72.3604049682617</v>
      </c>
      <c r="B780" s="11">
        <v>-9.95980167388916</v>
      </c>
      <c r="C780" s="11">
        <v>0.0</v>
      </c>
      <c r="D780" s="11" t="s">
        <v>1515</v>
      </c>
      <c r="E780" s="11">
        <v>0.0</v>
      </c>
      <c r="F780" s="11" t="s">
        <v>2222</v>
      </c>
    </row>
    <row r="781">
      <c r="A781" s="11">
        <v>13.6282701492309</v>
      </c>
      <c r="B781" s="11">
        <v>41.00435256958</v>
      </c>
      <c r="C781" s="11">
        <v>2.0</v>
      </c>
      <c r="D781" s="11" t="s">
        <v>1515</v>
      </c>
      <c r="E781" s="11">
        <v>2.0</v>
      </c>
      <c r="F781" s="11" t="s">
        <v>2500</v>
      </c>
    </row>
    <row r="782">
      <c r="A782" s="11">
        <v>-18.9650497436523</v>
      </c>
      <c r="B782" s="11">
        <v>-16.9676074981689</v>
      </c>
      <c r="C782" s="11">
        <v>0.0</v>
      </c>
      <c r="D782" s="11" t="s">
        <v>1515</v>
      </c>
      <c r="E782" s="11">
        <v>0.0</v>
      </c>
      <c r="F782" s="11" t="s">
        <v>2224</v>
      </c>
    </row>
    <row r="783">
      <c r="A783" s="11">
        <v>63.3717002868652</v>
      </c>
      <c r="B783" s="11">
        <v>-24.2006130218505</v>
      </c>
      <c r="C783" s="11">
        <v>0.0</v>
      </c>
      <c r="D783" s="11" t="s">
        <v>1515</v>
      </c>
      <c r="E783" s="11">
        <v>0.0</v>
      </c>
      <c r="F783" s="11" t="s">
        <v>2226</v>
      </c>
    </row>
    <row r="784">
      <c r="A784" s="11">
        <v>72.5993041992187</v>
      </c>
      <c r="B784" s="11">
        <v>-3.86280918121337</v>
      </c>
      <c r="C784" s="11">
        <v>2.0</v>
      </c>
      <c r="D784" s="11" t="s">
        <v>1515</v>
      </c>
      <c r="E784" s="11">
        <v>2.0</v>
      </c>
      <c r="F784" s="11" t="s">
        <v>2228</v>
      </c>
    </row>
    <row r="785">
      <c r="A785" s="11">
        <v>-15.6532649993896</v>
      </c>
      <c r="B785" s="11">
        <v>30.6055068969726</v>
      </c>
      <c r="C785" s="11">
        <v>0.0</v>
      </c>
      <c r="D785" s="11" t="s">
        <v>1515</v>
      </c>
      <c r="E785" s="11">
        <v>0.0</v>
      </c>
      <c r="F785" s="11" t="s">
        <v>2501</v>
      </c>
    </row>
    <row r="786">
      <c r="A786" s="11">
        <v>67.1383590698242</v>
      </c>
      <c r="B786" s="11">
        <v>-29.5863609313964</v>
      </c>
      <c r="C786" s="11">
        <v>0.0</v>
      </c>
      <c r="D786" s="11" t="s">
        <v>1515</v>
      </c>
      <c r="E786" s="11">
        <v>0.0</v>
      </c>
      <c r="F786" s="11" t="s">
        <v>2230</v>
      </c>
    </row>
    <row r="787">
      <c r="A787" s="11">
        <v>-21.7304439544677</v>
      </c>
      <c r="B787" s="11">
        <v>-59.930004119873</v>
      </c>
      <c r="C787" s="11">
        <v>0.0</v>
      </c>
      <c r="D787" s="11" t="s">
        <v>1515</v>
      </c>
      <c r="E787" s="11">
        <v>0.0</v>
      </c>
      <c r="F787" s="11" t="s">
        <v>2232</v>
      </c>
    </row>
    <row r="788">
      <c r="A788" s="11">
        <v>-2.10512852668762</v>
      </c>
      <c r="B788" s="11">
        <v>-34.9838485717773</v>
      </c>
      <c r="C788" s="11">
        <v>0.0</v>
      </c>
      <c r="D788" s="11" t="s">
        <v>1515</v>
      </c>
      <c r="E788" s="11">
        <v>0.0</v>
      </c>
      <c r="F788" s="11" t="s">
        <v>2233</v>
      </c>
    </row>
    <row r="789">
      <c r="A789" s="11">
        <v>-56.1477355957031</v>
      </c>
      <c r="B789" s="11">
        <v>-3.42917561531066</v>
      </c>
      <c r="C789" s="11">
        <v>0.0</v>
      </c>
      <c r="D789" s="11" t="s">
        <v>1515</v>
      </c>
      <c r="E789" s="11">
        <v>0.0</v>
      </c>
      <c r="F789" s="11" t="s">
        <v>2235</v>
      </c>
    </row>
    <row r="790">
      <c r="A790" s="11">
        <v>-37.293701171875</v>
      </c>
      <c r="B790" s="11">
        <v>-13.9840850830078</v>
      </c>
      <c r="C790" s="11">
        <v>0.0</v>
      </c>
      <c r="D790" s="11" t="s">
        <v>1515</v>
      </c>
      <c r="E790" s="11">
        <v>0.0</v>
      </c>
      <c r="F790" s="11" t="s">
        <v>2238</v>
      </c>
    </row>
    <row r="791">
      <c r="A791" s="11">
        <v>75.3270263671875</v>
      </c>
      <c r="B791" s="11">
        <v>-1.60464346408844</v>
      </c>
      <c r="C791" s="11">
        <v>2.0</v>
      </c>
      <c r="D791" s="11" t="s">
        <v>1515</v>
      </c>
      <c r="E791" s="11">
        <v>2.0</v>
      </c>
      <c r="F791" s="11" t="s">
        <v>2240</v>
      </c>
    </row>
    <row r="792">
      <c r="A792" s="11">
        <v>-62.4037704467773</v>
      </c>
      <c r="B792" s="11">
        <v>-18.8475112915039</v>
      </c>
      <c r="C792" s="11">
        <v>0.0</v>
      </c>
      <c r="D792" s="11" t="s">
        <v>1515</v>
      </c>
      <c r="E792" s="11">
        <v>0.0</v>
      </c>
      <c r="F792" s="11" t="s">
        <v>2242</v>
      </c>
    </row>
    <row r="793">
      <c r="A793" s="11">
        <v>-34.8902740478515</v>
      </c>
      <c r="B793" s="11">
        <v>45.0085906982421</v>
      </c>
      <c r="C793" s="11">
        <v>0.0</v>
      </c>
      <c r="D793" s="11" t="s">
        <v>1515</v>
      </c>
      <c r="E793" s="11">
        <v>0.0</v>
      </c>
      <c r="F793" s="11" t="s">
        <v>2244</v>
      </c>
    </row>
    <row r="794">
      <c r="A794" s="11">
        <v>4.43902444839477</v>
      </c>
      <c r="B794" s="11">
        <v>-7.19788599014282</v>
      </c>
      <c r="C794" s="11">
        <v>0.0</v>
      </c>
      <c r="D794" s="11" t="s">
        <v>1515</v>
      </c>
      <c r="E794" s="11">
        <v>0.0</v>
      </c>
      <c r="F794" s="11" t="s">
        <v>2246</v>
      </c>
    </row>
    <row r="795">
      <c r="A795" s="11">
        <v>-29.7873344421386</v>
      </c>
      <c r="B795" s="11">
        <v>-43.72456741333</v>
      </c>
      <c r="C795" s="11">
        <v>0.0</v>
      </c>
      <c r="D795" s="11" t="s">
        <v>1515</v>
      </c>
      <c r="E795" s="11">
        <v>0.0</v>
      </c>
      <c r="F795" s="11" t="s">
        <v>2249</v>
      </c>
    </row>
    <row r="796">
      <c r="A796" s="11">
        <v>-29.2426319122314</v>
      </c>
      <c r="B796" s="11">
        <v>-19.917724609375</v>
      </c>
      <c r="C796" s="11">
        <v>0.0</v>
      </c>
      <c r="D796" s="11" t="s">
        <v>1515</v>
      </c>
      <c r="E796" s="11">
        <v>0.0</v>
      </c>
      <c r="F796" s="11" t="s">
        <v>2252</v>
      </c>
    </row>
    <row r="797">
      <c r="A797" s="11">
        <v>22.6947708129882</v>
      </c>
      <c r="B797" s="11">
        <v>6.49306583404541</v>
      </c>
      <c r="C797" s="11">
        <v>0.0</v>
      </c>
      <c r="D797" s="11" t="s">
        <v>1515</v>
      </c>
      <c r="E797" s="11">
        <v>0.0</v>
      </c>
      <c r="F797" s="11" t="s">
        <v>2254</v>
      </c>
    </row>
    <row r="798">
      <c r="A798" s="11">
        <v>-21.5940265655517</v>
      </c>
      <c r="B798" s="11">
        <v>-46.7141075134277</v>
      </c>
      <c r="C798" s="11">
        <v>0.0</v>
      </c>
      <c r="D798" s="11" t="s">
        <v>1515</v>
      </c>
      <c r="E798" s="11">
        <v>0.0</v>
      </c>
      <c r="F798" s="11" t="s">
        <v>2257</v>
      </c>
    </row>
    <row r="799">
      <c r="A799" s="11">
        <v>-1.71441435813903</v>
      </c>
      <c r="B799" s="11">
        <v>-23.9605712890625</v>
      </c>
      <c r="C799" s="11">
        <v>1.0</v>
      </c>
      <c r="D799" s="11" t="s">
        <v>1515</v>
      </c>
      <c r="E799" s="11">
        <v>1.0</v>
      </c>
      <c r="F799" s="11" t="s">
        <v>2260</v>
      </c>
    </row>
    <row r="800">
      <c r="A800" s="11">
        <v>64.8699569702148</v>
      </c>
      <c r="B800" s="11">
        <v>0.253087639808654</v>
      </c>
      <c r="C800" s="11">
        <v>0.0</v>
      </c>
      <c r="D800" s="11" t="s">
        <v>1515</v>
      </c>
      <c r="E800" s="11">
        <v>0.0</v>
      </c>
      <c r="F800" s="11" t="s">
        <v>2502</v>
      </c>
    </row>
    <row r="801">
      <c r="A801" s="11">
        <v>-37.6672821044921</v>
      </c>
      <c r="B801" s="11">
        <v>-42.1006240844726</v>
      </c>
      <c r="C801" s="11">
        <v>0.0</v>
      </c>
      <c r="D801" s="11" t="s">
        <v>1515</v>
      </c>
      <c r="E801" s="11">
        <v>0.0</v>
      </c>
      <c r="F801" s="11" t="s">
        <v>2262</v>
      </c>
    </row>
    <row r="802">
      <c r="A802" s="11">
        <v>-20.4916648864746</v>
      </c>
      <c r="B802" s="11">
        <v>-46.9870109558105</v>
      </c>
      <c r="C802" s="11">
        <v>0.0</v>
      </c>
      <c r="D802" s="11" t="s">
        <v>1515</v>
      </c>
      <c r="E802" s="11">
        <v>0.0</v>
      </c>
      <c r="F802" s="11" t="s">
        <v>2264</v>
      </c>
    </row>
    <row r="803">
      <c r="A803" s="11">
        <v>-71.7722854614257</v>
      </c>
      <c r="B803" s="11">
        <v>-8.07987594604492</v>
      </c>
      <c r="C803" s="11">
        <v>0.0</v>
      </c>
      <c r="D803" s="11" t="s">
        <v>1515</v>
      </c>
      <c r="E803" s="11">
        <v>0.0</v>
      </c>
      <c r="F803" s="11" t="s">
        <v>2266</v>
      </c>
    </row>
    <row r="804">
      <c r="A804" s="11">
        <v>-19.8076972961425</v>
      </c>
      <c r="B804" s="11">
        <v>-8.66703987121582</v>
      </c>
      <c r="C804" s="11">
        <v>0.0</v>
      </c>
      <c r="D804" s="11" t="s">
        <v>1515</v>
      </c>
      <c r="E804" s="11">
        <v>0.0</v>
      </c>
      <c r="F804" s="11" t="s">
        <v>2268</v>
      </c>
    </row>
    <row r="805">
      <c r="A805" s="11">
        <v>74.2135772705078</v>
      </c>
      <c r="B805" s="11">
        <v>-0.684322774410247</v>
      </c>
      <c r="C805" s="11">
        <v>2.0</v>
      </c>
      <c r="D805" s="11" t="s">
        <v>1515</v>
      </c>
      <c r="E805" s="11">
        <v>2.0</v>
      </c>
      <c r="F805" s="11" t="s">
        <v>2271</v>
      </c>
    </row>
    <row r="806">
      <c r="A806" s="11">
        <v>28.9113273620605</v>
      </c>
      <c r="B806" s="11">
        <v>-5.05376291275024</v>
      </c>
      <c r="C806" s="11">
        <v>-1.0</v>
      </c>
      <c r="D806" s="11" t="s">
        <v>1515</v>
      </c>
      <c r="E806" s="11">
        <v>-1.0</v>
      </c>
      <c r="F806" s="11" t="s">
        <v>2273</v>
      </c>
    </row>
    <row r="807">
      <c r="A807" s="11">
        <v>-27.4963684082031</v>
      </c>
      <c r="B807" s="11">
        <v>-32.4781875610351</v>
      </c>
      <c r="C807" s="11">
        <v>0.0</v>
      </c>
      <c r="D807" s="11" t="s">
        <v>1515</v>
      </c>
      <c r="E807" s="11">
        <v>0.0</v>
      </c>
      <c r="F807" s="11" t="s">
        <v>2275</v>
      </c>
    </row>
    <row r="808">
      <c r="A808" s="11">
        <v>21.833044052124</v>
      </c>
      <c r="B808" s="11">
        <v>-3.83637571334838</v>
      </c>
      <c r="C808" s="11">
        <v>0.0</v>
      </c>
      <c r="D808" s="11" t="s">
        <v>1515</v>
      </c>
      <c r="E808" s="11">
        <v>0.0</v>
      </c>
      <c r="F808" s="11" t="s">
        <v>2277</v>
      </c>
    </row>
    <row r="809">
      <c r="A809" s="11">
        <v>38.9674072265625</v>
      </c>
      <c r="B809" s="11">
        <v>8.64744281768798</v>
      </c>
      <c r="C809" s="11">
        <v>-1.0</v>
      </c>
      <c r="D809" s="11" t="s">
        <v>1515</v>
      </c>
      <c r="E809" s="11">
        <v>-1.0</v>
      </c>
      <c r="F809" s="11" t="s">
        <v>2279</v>
      </c>
    </row>
    <row r="810">
      <c r="A810" s="11">
        <v>23.9068279266357</v>
      </c>
      <c r="B810" s="11">
        <v>-0.640644311904907</v>
      </c>
      <c r="C810" s="11">
        <v>-1.0</v>
      </c>
      <c r="D810" s="11" t="s">
        <v>1515</v>
      </c>
      <c r="E810" s="11">
        <v>-1.0</v>
      </c>
      <c r="F810" s="11" t="s">
        <v>2281</v>
      </c>
    </row>
    <row r="811">
      <c r="A811" s="11">
        <v>-33.5736846923828</v>
      </c>
      <c r="B811" s="11">
        <v>45.0128211975097</v>
      </c>
      <c r="C811" s="11">
        <v>0.0</v>
      </c>
      <c r="D811" s="11" t="s">
        <v>1515</v>
      </c>
      <c r="E811" s="11">
        <v>0.0</v>
      </c>
      <c r="F811" s="11" t="s">
        <v>2283</v>
      </c>
    </row>
    <row r="812">
      <c r="A812" s="11">
        <v>-7.17993450164794</v>
      </c>
      <c r="B812" s="11">
        <v>-8.38441181182861</v>
      </c>
      <c r="C812" s="11">
        <v>1.0</v>
      </c>
      <c r="D812" s="11" t="s">
        <v>1515</v>
      </c>
      <c r="E812" s="11">
        <v>1.0</v>
      </c>
      <c r="F812" s="11" t="s">
        <v>2285</v>
      </c>
    </row>
    <row r="813">
      <c r="A813" s="11">
        <v>-46.5772857666015</v>
      </c>
      <c r="B813" s="11">
        <v>-12.6236677169799</v>
      </c>
      <c r="C813" s="11">
        <v>0.0</v>
      </c>
      <c r="D813" s="11" t="s">
        <v>1515</v>
      </c>
      <c r="E813" s="11">
        <v>0.0</v>
      </c>
      <c r="F813" s="11" t="s">
        <v>2287</v>
      </c>
    </row>
    <row r="814">
      <c r="A814" s="11">
        <v>3.2707359790802</v>
      </c>
      <c r="B814" s="11">
        <v>-29.4090633392334</v>
      </c>
      <c r="C814" s="11">
        <v>0.0</v>
      </c>
      <c r="D814" s="11" t="s">
        <v>1515</v>
      </c>
      <c r="E814" s="11">
        <v>0.0</v>
      </c>
      <c r="F814" s="11" t="s">
        <v>2290</v>
      </c>
    </row>
    <row r="815">
      <c r="A815" s="11">
        <v>-23.409381866455</v>
      </c>
      <c r="B815" s="11">
        <v>-6.92470979690551</v>
      </c>
      <c r="C815" s="11">
        <v>0.0</v>
      </c>
      <c r="D815" s="11" t="s">
        <v>1515</v>
      </c>
      <c r="E815" s="11">
        <v>0.0</v>
      </c>
      <c r="F815" s="11" t="s">
        <v>2293</v>
      </c>
    </row>
    <row r="816">
      <c r="A816" s="11">
        <v>37.9958419799804</v>
      </c>
      <c r="B816" s="11">
        <v>5.93233585357666</v>
      </c>
      <c r="C816" s="11">
        <v>-2.0</v>
      </c>
      <c r="D816" s="11" t="s">
        <v>1515</v>
      </c>
      <c r="E816" s="11">
        <v>-2.0</v>
      </c>
      <c r="F816" s="11" t="s">
        <v>2295</v>
      </c>
    </row>
    <row r="817">
      <c r="A817" s="11">
        <v>-61.9130401611328</v>
      </c>
      <c r="B817" s="11">
        <v>-29.7509822845459</v>
      </c>
      <c r="C817" s="11">
        <v>0.0</v>
      </c>
      <c r="D817" s="11" t="s">
        <v>1515</v>
      </c>
      <c r="E817" s="11">
        <v>0.0</v>
      </c>
      <c r="F817" s="11" t="s">
        <v>2297</v>
      </c>
    </row>
    <row r="818">
      <c r="A818" s="11">
        <v>-38.5383605957031</v>
      </c>
      <c r="B818" s="11">
        <v>-13.7088165283203</v>
      </c>
      <c r="C818" s="11">
        <v>0.0</v>
      </c>
      <c r="D818" s="11" t="s">
        <v>1515</v>
      </c>
      <c r="E818" s="11">
        <v>0.0</v>
      </c>
      <c r="F818" s="11" t="s">
        <v>2299</v>
      </c>
    </row>
    <row r="819">
      <c r="A819" s="11">
        <v>62.3357963562011</v>
      </c>
      <c r="B819" s="11">
        <v>11.1183366775512</v>
      </c>
      <c r="C819" s="11">
        <v>0.0</v>
      </c>
      <c r="D819" s="11" t="s">
        <v>1515</v>
      </c>
      <c r="E819" s="11">
        <v>0.0</v>
      </c>
      <c r="F819" s="11" t="s">
        <v>2302</v>
      </c>
    </row>
    <row r="820">
      <c r="A820" s="11">
        <v>23.5739364624023</v>
      </c>
      <c r="B820" s="11">
        <v>7.86052417755126</v>
      </c>
      <c r="C820" s="11">
        <v>0.0</v>
      </c>
      <c r="D820" s="11" t="s">
        <v>1515</v>
      </c>
      <c r="E820" s="11">
        <v>0.0</v>
      </c>
      <c r="F820" s="11" t="s">
        <v>2304</v>
      </c>
    </row>
    <row r="821">
      <c r="A821" s="11">
        <v>-64.6854705810546</v>
      </c>
      <c r="B821" s="11">
        <v>-36.8150749206543</v>
      </c>
      <c r="C821" s="11">
        <v>0.0</v>
      </c>
      <c r="D821" s="11" t="s">
        <v>1515</v>
      </c>
      <c r="E821" s="11">
        <v>0.0</v>
      </c>
      <c r="F821" s="11" t="s">
        <v>2308</v>
      </c>
    </row>
    <row r="822">
      <c r="A822" s="11">
        <v>-28.6575317382812</v>
      </c>
      <c r="B822" s="11">
        <v>-43.7419967651367</v>
      </c>
      <c r="C822" s="11">
        <v>0.0</v>
      </c>
      <c r="D822" s="11" t="s">
        <v>1515</v>
      </c>
      <c r="E822" s="11">
        <v>0.0</v>
      </c>
      <c r="F822" s="11" t="s">
        <v>2310</v>
      </c>
    </row>
    <row r="823">
      <c r="A823" s="11">
        <v>-50.7472305297851</v>
      </c>
      <c r="B823" s="11">
        <v>-22.9135646820068</v>
      </c>
      <c r="C823" s="11">
        <v>0.0</v>
      </c>
      <c r="D823" s="11" t="s">
        <v>1515</v>
      </c>
      <c r="E823" s="11">
        <v>0.0</v>
      </c>
      <c r="F823" s="11" t="s">
        <v>2313</v>
      </c>
    </row>
    <row r="824">
      <c r="A824" s="11">
        <v>63.965591430664</v>
      </c>
      <c r="B824" s="11">
        <v>-23.1989784240722</v>
      </c>
      <c r="C824" s="11">
        <v>0.0</v>
      </c>
      <c r="D824" s="11" t="s">
        <v>1515</v>
      </c>
      <c r="E824" s="11">
        <v>0.0</v>
      </c>
      <c r="F824" s="11" t="s">
        <v>2314</v>
      </c>
    </row>
    <row r="825">
      <c r="A825" s="11">
        <v>-20.8693370819091</v>
      </c>
      <c r="B825" s="11">
        <v>-37.8240432739257</v>
      </c>
      <c r="C825" s="11">
        <v>0.0</v>
      </c>
      <c r="D825" s="11" t="s">
        <v>1515</v>
      </c>
      <c r="E825" s="11">
        <v>0.0</v>
      </c>
      <c r="F825" s="11" t="s">
        <v>2316</v>
      </c>
    </row>
    <row r="826">
      <c r="A826" s="11">
        <v>15.5980033874511</v>
      </c>
      <c r="B826" s="11">
        <v>-55.9822006225585</v>
      </c>
      <c r="C826" s="11">
        <v>0.0</v>
      </c>
      <c r="D826" s="11" t="s">
        <v>1515</v>
      </c>
      <c r="E826" s="11">
        <v>0.0</v>
      </c>
      <c r="F826" s="11" t="s">
        <v>2318</v>
      </c>
    </row>
    <row r="827">
      <c r="A827" s="11">
        <v>55.3992691040039</v>
      </c>
      <c r="B827" s="11">
        <v>15.2287311553955</v>
      </c>
      <c r="C827" s="11">
        <v>2.0</v>
      </c>
      <c r="D827" s="11" t="s">
        <v>1515</v>
      </c>
      <c r="E827" s="11">
        <v>2.0</v>
      </c>
      <c r="F827" s="11" t="s">
        <v>2320</v>
      </c>
    </row>
    <row r="828">
      <c r="A828" s="11">
        <v>0.613435447216033</v>
      </c>
      <c r="B828" s="11">
        <v>37.5202140808105</v>
      </c>
      <c r="C828" s="11">
        <v>0.0</v>
      </c>
      <c r="D828" s="11" t="s">
        <v>1515</v>
      </c>
      <c r="E828" s="11">
        <v>0.0</v>
      </c>
      <c r="F828" s="11" t="s">
        <v>2323</v>
      </c>
    </row>
    <row r="829">
      <c r="A829" s="11">
        <v>-42.63911819458</v>
      </c>
      <c r="B829" s="11">
        <v>-31.5491752624511</v>
      </c>
      <c r="C829" s="11">
        <v>0.0</v>
      </c>
      <c r="D829" s="11" t="s">
        <v>1515</v>
      </c>
      <c r="E829" s="11">
        <v>0.0</v>
      </c>
      <c r="F829" s="11" t="s">
        <v>2325</v>
      </c>
    </row>
    <row r="830">
      <c r="A830" s="11">
        <v>-44.6010551452636</v>
      </c>
      <c r="B830" s="11">
        <v>-15.1706018447875</v>
      </c>
      <c r="C830" s="11">
        <v>0.0</v>
      </c>
      <c r="D830" s="11" t="s">
        <v>1515</v>
      </c>
      <c r="E830" s="11">
        <v>0.0</v>
      </c>
      <c r="F830" s="11" t="s">
        <v>2327</v>
      </c>
    </row>
    <row r="831">
      <c r="A831" s="11">
        <v>-45.99849319458</v>
      </c>
      <c r="B831" s="11">
        <v>-27.6610832214355</v>
      </c>
      <c r="C831" s="11">
        <v>0.0</v>
      </c>
      <c r="D831" s="11" t="s">
        <v>1515</v>
      </c>
      <c r="E831" s="11">
        <v>0.0</v>
      </c>
      <c r="F831" s="11" t="s">
        <v>2329</v>
      </c>
    </row>
    <row r="832">
      <c r="A832" s="11">
        <v>-25.171251296997</v>
      </c>
      <c r="B832" s="11">
        <v>-27.1375007629394</v>
      </c>
      <c r="C832" s="11">
        <v>0.0</v>
      </c>
      <c r="D832" s="11" t="s">
        <v>1515</v>
      </c>
      <c r="E832" s="11">
        <v>0.0</v>
      </c>
      <c r="F832" s="11" t="s">
        <v>2332</v>
      </c>
    </row>
    <row r="833">
      <c r="A833" s="11">
        <v>1.84120917320251</v>
      </c>
      <c r="B833" s="11">
        <v>38.021873474121</v>
      </c>
      <c r="C833" s="11">
        <v>0.0</v>
      </c>
      <c r="D833" s="11" t="s">
        <v>1515</v>
      </c>
      <c r="E833" s="11">
        <v>0.0</v>
      </c>
      <c r="F833" s="11" t="s">
        <v>2335</v>
      </c>
    </row>
    <row r="834">
      <c r="A834" s="11">
        <v>22.6582317352294</v>
      </c>
      <c r="B834" s="11">
        <v>7.48759841918945</v>
      </c>
      <c r="C834" s="11">
        <v>0.0</v>
      </c>
      <c r="D834" s="11" t="s">
        <v>1515</v>
      </c>
      <c r="E834" s="11">
        <v>0.0</v>
      </c>
      <c r="F834" s="11" t="s">
        <v>2337</v>
      </c>
    </row>
    <row r="835">
      <c r="A835" s="11">
        <v>38.9674072265625</v>
      </c>
      <c r="B835" s="11">
        <v>8.64744281768798</v>
      </c>
      <c r="C835" s="11">
        <v>0.0</v>
      </c>
      <c r="D835" s="11" t="s">
        <v>1515</v>
      </c>
      <c r="E835" s="11">
        <v>0.0</v>
      </c>
      <c r="F835" s="11" t="s">
        <v>2339</v>
      </c>
    </row>
    <row r="836">
      <c r="A836" s="11">
        <v>18.9815101623535</v>
      </c>
      <c r="B836" s="11">
        <v>-15.4568891525268</v>
      </c>
      <c r="C836" s="11">
        <v>0.0</v>
      </c>
      <c r="D836" s="11" t="s">
        <v>1515</v>
      </c>
      <c r="E836" s="11">
        <v>0.0</v>
      </c>
      <c r="F836" s="11" t="s">
        <v>2341</v>
      </c>
    </row>
    <row r="837">
      <c r="A837" s="11">
        <v>-13.8668146133422</v>
      </c>
      <c r="B837" s="11">
        <v>-14.5312156677246</v>
      </c>
      <c r="C837" s="11">
        <v>0.0</v>
      </c>
      <c r="D837" s="11" t="s">
        <v>1515</v>
      </c>
      <c r="E837" s="11">
        <v>0.0</v>
      </c>
      <c r="F837" s="11" t="s">
        <v>2344</v>
      </c>
    </row>
    <row r="838">
      <c r="A838" s="11">
        <v>-31.2623176574707</v>
      </c>
      <c r="B838" s="11">
        <v>-6.96394252777099</v>
      </c>
      <c r="C838" s="11">
        <v>0.0</v>
      </c>
      <c r="D838" s="11" t="s">
        <v>1515</v>
      </c>
      <c r="E838" s="11">
        <v>0.0</v>
      </c>
      <c r="F838" s="11" t="s">
        <v>2346</v>
      </c>
    </row>
    <row r="839">
      <c r="A839" s="11">
        <v>-27.5467529296875</v>
      </c>
      <c r="B839" s="11">
        <v>-2.17276620864868</v>
      </c>
      <c r="C839" s="11">
        <v>1.0</v>
      </c>
      <c r="D839" s="11" t="s">
        <v>1515</v>
      </c>
      <c r="E839" s="11">
        <v>1.0</v>
      </c>
      <c r="F839" s="11" t="s">
        <v>2348</v>
      </c>
    </row>
    <row r="840">
      <c r="A840" s="11">
        <v>-47.7199897766113</v>
      </c>
      <c r="B840" s="11">
        <v>49.8846817016601</v>
      </c>
      <c r="C840" s="11">
        <v>0.0</v>
      </c>
      <c r="D840" s="11" t="s">
        <v>1515</v>
      </c>
      <c r="E840" s="11">
        <v>0.0</v>
      </c>
      <c r="F840" s="11" t="s">
        <v>2351</v>
      </c>
    </row>
    <row r="841">
      <c r="A841" s="11">
        <v>-25.112937927246</v>
      </c>
      <c r="B841" s="11">
        <v>-15.3410949707031</v>
      </c>
      <c r="C841" s="11">
        <v>0.0</v>
      </c>
      <c r="D841" s="11" t="s">
        <v>1515</v>
      </c>
      <c r="E841" s="11">
        <v>0.0</v>
      </c>
      <c r="F841" s="11" t="s">
        <v>2353</v>
      </c>
    </row>
    <row r="842">
      <c r="A842" s="11">
        <v>-29.7660369873046</v>
      </c>
      <c r="B842" s="11">
        <v>55.5669136047363</v>
      </c>
      <c r="C842" s="11">
        <v>0.0</v>
      </c>
      <c r="D842" s="11" t="s">
        <v>1515</v>
      </c>
      <c r="E842" s="11">
        <v>0.0</v>
      </c>
      <c r="F842" s="11" t="s">
        <v>2355</v>
      </c>
    </row>
    <row r="843">
      <c r="A843" s="11">
        <v>-19.8717365264892</v>
      </c>
      <c r="B843" s="11">
        <v>-28.9874076843261</v>
      </c>
      <c r="C843" s="11">
        <v>0.0</v>
      </c>
      <c r="D843" s="11" t="s">
        <v>1515</v>
      </c>
      <c r="E843" s="11">
        <v>0.0</v>
      </c>
      <c r="F843" s="11" t="s">
        <v>2358</v>
      </c>
    </row>
    <row r="844">
      <c r="A844" s="11">
        <v>-22.2477416992187</v>
      </c>
      <c r="B844" s="11">
        <v>-58.9000015258789</v>
      </c>
      <c r="C844" s="11">
        <v>0.0</v>
      </c>
      <c r="D844" s="11" t="s">
        <v>1515</v>
      </c>
      <c r="E844" s="11">
        <v>0.0</v>
      </c>
      <c r="F844" s="11" t="s">
        <v>2360</v>
      </c>
    </row>
    <row r="845">
      <c r="A845" s="11">
        <v>-31.6012554168701</v>
      </c>
      <c r="B845" s="11">
        <v>-27.5370426177978</v>
      </c>
      <c r="C845" s="11">
        <v>0.0</v>
      </c>
      <c r="D845" s="11" t="s">
        <v>1515</v>
      </c>
      <c r="E845" s="11">
        <v>0.0</v>
      </c>
      <c r="F845" s="11" t="s">
        <v>2362</v>
      </c>
    </row>
    <row r="846">
      <c r="A846" s="11">
        <v>53.161449432373</v>
      </c>
      <c r="B846" s="11">
        <v>13.963674545288</v>
      </c>
      <c r="C846" s="11">
        <v>-1.0</v>
      </c>
      <c r="D846" s="11" t="s">
        <v>1515</v>
      </c>
      <c r="E846" s="11">
        <v>-1.0</v>
      </c>
      <c r="F846" s="11" t="s">
        <v>2364</v>
      </c>
    </row>
    <row r="847">
      <c r="A847" s="11">
        <v>-51.6077194213867</v>
      </c>
      <c r="B847" s="11">
        <v>-34.3498344421386</v>
      </c>
      <c r="C847" s="11">
        <v>0.0</v>
      </c>
      <c r="D847" s="11" t="s">
        <v>1515</v>
      </c>
      <c r="E847" s="11">
        <v>0.0</v>
      </c>
      <c r="F847" s="11" t="s">
        <v>2366</v>
      </c>
    </row>
    <row r="848">
      <c r="A848" s="11">
        <v>-43.8166046142578</v>
      </c>
      <c r="B848" s="11">
        <v>-30.3912677764892</v>
      </c>
      <c r="C848" s="11">
        <v>0.0</v>
      </c>
      <c r="D848" s="11" t="s">
        <v>1515</v>
      </c>
      <c r="E848" s="11">
        <v>0.0</v>
      </c>
      <c r="F848" s="11" t="s">
        <v>2368</v>
      </c>
    </row>
    <row r="849">
      <c r="A849" s="11">
        <v>-54.1778297424316</v>
      </c>
      <c r="B849" s="11">
        <v>-15.4544334411621</v>
      </c>
      <c r="C849" s="11">
        <v>0.0</v>
      </c>
      <c r="D849" s="11" t="s">
        <v>1515</v>
      </c>
      <c r="E849" s="11">
        <v>0.0</v>
      </c>
      <c r="F849" s="11" t="s">
        <v>2370</v>
      </c>
    </row>
    <row r="850">
      <c r="A850" s="11">
        <v>-40.1296577453613</v>
      </c>
      <c r="B850" s="11">
        <v>-22.735424041748</v>
      </c>
      <c r="C850" s="11">
        <v>0.0</v>
      </c>
      <c r="D850" s="11" t="s">
        <v>1515</v>
      </c>
      <c r="E850" s="11">
        <v>0.0</v>
      </c>
      <c r="F850" s="11" t="s">
        <v>2372</v>
      </c>
    </row>
    <row r="851">
      <c r="A851" s="11">
        <v>-14.3544559478759</v>
      </c>
      <c r="B851" s="11">
        <v>-19.4777717590332</v>
      </c>
      <c r="C851" s="11">
        <v>-1.0</v>
      </c>
      <c r="D851" s="11" t="s">
        <v>1515</v>
      </c>
      <c r="E851" s="11">
        <v>-1.0</v>
      </c>
      <c r="F851" s="11" t="s">
        <v>2503</v>
      </c>
    </row>
    <row r="852">
      <c r="A852" s="11">
        <v>71.9969406127929</v>
      </c>
      <c r="B852" s="11">
        <v>-2.31667137145996</v>
      </c>
      <c r="C852" s="11">
        <v>2.0</v>
      </c>
      <c r="D852" s="11" t="s">
        <v>1515</v>
      </c>
      <c r="E852" s="11">
        <v>2.0</v>
      </c>
      <c r="F852" s="11" t="s">
        <v>2374</v>
      </c>
    </row>
    <row r="853">
      <c r="A853" s="11">
        <v>-43.4851722717285</v>
      </c>
      <c r="B853" s="11">
        <v>-15.4025011062622</v>
      </c>
      <c r="C853" s="11">
        <v>0.0</v>
      </c>
      <c r="D853" s="11" t="s">
        <v>1515</v>
      </c>
      <c r="E853" s="11">
        <v>0.0</v>
      </c>
      <c r="F853" s="11" t="s">
        <v>2376</v>
      </c>
    </row>
    <row r="854">
      <c r="A854" s="11">
        <v>7.5264549255371</v>
      </c>
      <c r="B854" s="11">
        <v>61.3688507080078</v>
      </c>
      <c r="C854" s="11">
        <v>0.0</v>
      </c>
      <c r="D854" s="11" t="s">
        <v>1515</v>
      </c>
      <c r="E854" s="11">
        <v>0.0</v>
      </c>
      <c r="F854" s="11" t="s">
        <v>2379</v>
      </c>
    </row>
    <row r="855">
      <c r="A855" s="11">
        <v>-58.4455490112304</v>
      </c>
      <c r="B855" s="11">
        <v>-1.27376973628997</v>
      </c>
      <c r="C855" s="11">
        <v>0.0</v>
      </c>
      <c r="D855" s="11" t="s">
        <v>1515</v>
      </c>
      <c r="E855" s="11">
        <v>0.0</v>
      </c>
      <c r="F855" s="11" t="s">
        <v>2381</v>
      </c>
    </row>
    <row r="856">
      <c r="A856" s="11">
        <v>-34.5792770385742</v>
      </c>
      <c r="B856" s="11">
        <v>-35.31591796875</v>
      </c>
      <c r="C856" s="11">
        <v>0.0</v>
      </c>
      <c r="D856" s="11" t="s">
        <v>1515</v>
      </c>
      <c r="E856" s="11">
        <v>0.0</v>
      </c>
      <c r="F856" s="11" t="s">
        <v>2383</v>
      </c>
    </row>
    <row r="857">
      <c r="A857" s="11">
        <v>-59.5062446594238</v>
      </c>
      <c r="B857" s="11">
        <v>-30.4022407531738</v>
      </c>
      <c r="C857" s="11">
        <v>0.0</v>
      </c>
      <c r="D857" s="11" t="s">
        <v>1515</v>
      </c>
      <c r="E857" s="11">
        <v>0.0</v>
      </c>
      <c r="F857" s="11" t="s">
        <v>2385</v>
      </c>
    </row>
    <row r="858">
      <c r="A858" s="11">
        <v>6.43244504928588</v>
      </c>
      <c r="B858" s="11">
        <v>-39.7337989807128</v>
      </c>
      <c r="C858" s="11">
        <v>0.0</v>
      </c>
      <c r="D858" s="11" t="s">
        <v>1515</v>
      </c>
      <c r="E858" s="11">
        <v>0.0</v>
      </c>
      <c r="F858" s="11" t="s">
        <v>2387</v>
      </c>
    </row>
    <row r="859">
      <c r="A859" s="11">
        <v>-7.14606142044067</v>
      </c>
      <c r="B859" s="11">
        <v>-23.0428447723388</v>
      </c>
      <c r="C859" s="11">
        <v>0.0</v>
      </c>
      <c r="D859" s="11" t="s">
        <v>1515</v>
      </c>
      <c r="E859" s="11">
        <v>0.0</v>
      </c>
      <c r="F859" s="11" t="s">
        <v>2389</v>
      </c>
    </row>
    <row r="860">
      <c r="A860" s="11">
        <v>-21.7130508422851</v>
      </c>
      <c r="B860" s="11">
        <v>31.3390922546386</v>
      </c>
      <c r="C860" s="11">
        <v>0.0</v>
      </c>
      <c r="D860" s="11" t="s">
        <v>1515</v>
      </c>
      <c r="E860" s="11">
        <v>0.0</v>
      </c>
      <c r="F860" s="11" t="s">
        <v>2391</v>
      </c>
    </row>
    <row r="861">
      <c r="A861" s="11">
        <v>14.01425075531</v>
      </c>
      <c r="B861" s="11">
        <v>36.1213874816894</v>
      </c>
      <c r="C861" s="11">
        <v>2.0</v>
      </c>
      <c r="D861" s="11" t="s">
        <v>1515</v>
      </c>
      <c r="E861" s="11">
        <v>2.0</v>
      </c>
      <c r="F861" s="11" t="s">
        <v>2504</v>
      </c>
    </row>
    <row r="862">
      <c r="A862" s="11">
        <v>-15.249656677246</v>
      </c>
      <c r="B862" s="11">
        <v>-34.7740020751953</v>
      </c>
      <c r="C862" s="11">
        <v>0.0</v>
      </c>
      <c r="D862" s="11" t="s">
        <v>1515</v>
      </c>
      <c r="E862" s="11">
        <v>0.0</v>
      </c>
      <c r="F862" s="11" t="s">
        <v>2393</v>
      </c>
    </row>
    <row r="863">
      <c r="A863" s="11">
        <v>-52.9988441467285</v>
      </c>
      <c r="B863" s="11">
        <v>-14.9534654617309</v>
      </c>
      <c r="C863" s="11">
        <v>0.0</v>
      </c>
      <c r="D863" s="11" t="s">
        <v>1515</v>
      </c>
      <c r="E863" s="11">
        <v>0.0</v>
      </c>
      <c r="F863" s="11" t="s">
        <v>2394</v>
      </c>
    </row>
    <row r="864">
      <c r="A864" s="11">
        <v>32.3853607177734</v>
      </c>
      <c r="B864" s="11">
        <v>-39.8906745910644</v>
      </c>
      <c r="C864" s="11">
        <v>-1.0</v>
      </c>
      <c r="D864" s="11" t="s">
        <v>1515</v>
      </c>
      <c r="E864" s="11">
        <v>-1.0</v>
      </c>
      <c r="F864" s="11" t="s">
        <v>2396</v>
      </c>
    </row>
    <row r="865">
      <c r="A865" s="11">
        <v>-73.3697509765625</v>
      </c>
      <c r="B865" s="11">
        <v>-9.75501251220703</v>
      </c>
      <c r="C865" s="11">
        <v>0.0</v>
      </c>
      <c r="D865" s="11" t="s">
        <v>1515</v>
      </c>
      <c r="E865" s="11">
        <v>0.0</v>
      </c>
      <c r="F865" s="11" t="s">
        <v>2397</v>
      </c>
    </row>
    <row r="866">
      <c r="A866" s="11">
        <v>0.513670146465301</v>
      </c>
      <c r="B866" s="11">
        <v>48.6871452331543</v>
      </c>
      <c r="C866" s="11">
        <v>0.0</v>
      </c>
      <c r="D866" s="11" t="s">
        <v>1515</v>
      </c>
      <c r="E866" s="11">
        <v>0.0</v>
      </c>
      <c r="F866" s="11" t="s">
        <v>2399</v>
      </c>
    </row>
    <row r="867">
      <c r="A867" s="11">
        <v>-16.6194515228271</v>
      </c>
      <c r="B867" s="11">
        <v>-4.8889136314392</v>
      </c>
      <c r="C867" s="11">
        <v>0.0</v>
      </c>
      <c r="D867" s="11" t="s">
        <v>1515</v>
      </c>
      <c r="E867" s="11">
        <v>0.0</v>
      </c>
      <c r="F867" s="11" t="s">
        <v>2402</v>
      </c>
    </row>
    <row r="868">
      <c r="A868" s="11">
        <v>15.523470878601</v>
      </c>
      <c r="B868" s="11">
        <v>-57.5695915222168</v>
      </c>
      <c r="C868" s="11">
        <v>0.0</v>
      </c>
      <c r="D868" s="11" t="s">
        <v>1515</v>
      </c>
      <c r="E868" s="11">
        <v>0.0</v>
      </c>
      <c r="F868" s="11" t="s">
        <v>2404</v>
      </c>
    </row>
    <row r="869">
      <c r="A869" s="11">
        <v>-22.2477416992187</v>
      </c>
      <c r="B869" s="11">
        <v>-58.9000015258789</v>
      </c>
      <c r="C869" s="11">
        <v>0.0</v>
      </c>
      <c r="D869" s="11" t="s">
        <v>1515</v>
      </c>
      <c r="E869" s="11">
        <v>0.0</v>
      </c>
      <c r="F869" s="11" t="s">
        <v>2406</v>
      </c>
    </row>
    <row r="870">
      <c r="A870" s="11">
        <v>74.5325088500976</v>
      </c>
      <c r="B870" s="11">
        <v>-3.11596274375915</v>
      </c>
      <c r="C870" s="11">
        <v>2.0</v>
      </c>
      <c r="D870" s="11" t="s">
        <v>1515</v>
      </c>
      <c r="E870" s="11">
        <v>2.0</v>
      </c>
      <c r="F870" s="11" t="s">
        <v>2409</v>
      </c>
    </row>
    <row r="871">
      <c r="A871" s="11">
        <v>50.4307136535644</v>
      </c>
      <c r="B871" s="11">
        <v>9.73491477966308</v>
      </c>
      <c r="C871" s="11">
        <v>0.0</v>
      </c>
      <c r="D871" s="11" t="s">
        <v>1515</v>
      </c>
      <c r="E871" s="11">
        <v>0.0</v>
      </c>
      <c r="F871" s="11" t="s">
        <v>2411</v>
      </c>
    </row>
    <row r="872">
      <c r="A872" s="11">
        <v>36.9161872863769</v>
      </c>
      <c r="B872" s="11">
        <v>7.6300950050354</v>
      </c>
      <c r="C872" s="11">
        <v>-2.0</v>
      </c>
      <c r="D872" s="11" t="s">
        <v>1515</v>
      </c>
      <c r="E872" s="11">
        <v>-2.0</v>
      </c>
      <c r="F872" s="11" t="s">
        <v>2414</v>
      </c>
    </row>
    <row r="873">
      <c r="A873" s="11">
        <v>-19.4785728454589</v>
      </c>
      <c r="B873" s="11">
        <v>-37.1369857788085</v>
      </c>
      <c r="C873" s="11">
        <v>0.0</v>
      </c>
      <c r="D873" s="11" t="s">
        <v>1515</v>
      </c>
      <c r="E873" s="11">
        <v>0.0</v>
      </c>
      <c r="F873" s="11" t="s">
        <v>2417</v>
      </c>
    </row>
    <row r="874">
      <c r="A874" s="11">
        <v>-11.2200088500976</v>
      </c>
      <c r="B874" s="11">
        <v>-40.9506301879882</v>
      </c>
      <c r="C874" s="11">
        <v>0.0</v>
      </c>
      <c r="D874" s="11" t="s">
        <v>1515</v>
      </c>
      <c r="E874" s="11">
        <v>0.0</v>
      </c>
      <c r="F874" s="11" t="s">
        <v>2419</v>
      </c>
    </row>
    <row r="875">
      <c r="A875" s="11">
        <v>-29.7660369873046</v>
      </c>
      <c r="B875" s="11">
        <v>55.5669136047363</v>
      </c>
      <c r="C875" s="11">
        <v>0.0</v>
      </c>
      <c r="D875" s="11" t="s">
        <v>1515</v>
      </c>
      <c r="E875" s="11">
        <v>0.0</v>
      </c>
      <c r="F875" s="11" t="s">
        <v>2421</v>
      </c>
    </row>
    <row r="876">
      <c r="A876" s="11">
        <v>26.2895965576171</v>
      </c>
      <c r="B876" s="11">
        <v>12.1479682922363</v>
      </c>
      <c r="C876" s="11">
        <v>0.0</v>
      </c>
      <c r="D876" s="11" t="s">
        <v>1515</v>
      </c>
      <c r="E876" s="11">
        <v>0.0</v>
      </c>
      <c r="F876" s="11" t="s">
        <v>2424</v>
      </c>
    </row>
    <row r="877">
      <c r="A877" s="11">
        <v>16.6432380676269</v>
      </c>
      <c r="B877" s="11">
        <v>-56.9536437988281</v>
      </c>
      <c r="C877" s="11">
        <v>0.0</v>
      </c>
      <c r="D877" s="11" t="s">
        <v>1515</v>
      </c>
      <c r="E877" s="11">
        <v>0.0</v>
      </c>
      <c r="F877" s="11" t="s">
        <v>2425</v>
      </c>
    </row>
    <row r="878">
      <c r="A878" s="11">
        <v>-14.3860530853271</v>
      </c>
      <c r="B878" s="11">
        <v>-18.7673110961914</v>
      </c>
      <c r="C878" s="11">
        <v>-1.0</v>
      </c>
      <c r="D878" s="11" t="s">
        <v>1515</v>
      </c>
      <c r="E878" s="11">
        <v>-1.0</v>
      </c>
      <c r="F878" s="11" t="s">
        <v>2532</v>
      </c>
    </row>
    <row r="879">
      <c r="A879" s="11">
        <v>62.6446418762207</v>
      </c>
      <c r="B879" s="11">
        <v>10.9068727493286</v>
      </c>
      <c r="C879" s="11">
        <v>1.0</v>
      </c>
      <c r="D879" s="11" t="s">
        <v>1515</v>
      </c>
      <c r="E879" s="11">
        <v>1.0</v>
      </c>
      <c r="F879" s="11" t="s">
        <v>2427</v>
      </c>
    </row>
    <row r="880">
      <c r="A880" s="11">
        <v>-21.7304439544677</v>
      </c>
      <c r="B880" s="11">
        <v>-59.930004119873</v>
      </c>
      <c r="C880" s="11">
        <v>0.0</v>
      </c>
      <c r="D880" s="11" t="s">
        <v>1515</v>
      </c>
      <c r="E880" s="11">
        <v>0.0</v>
      </c>
      <c r="F880" s="11" t="s">
        <v>2429</v>
      </c>
    </row>
    <row r="881">
      <c r="A881" s="11">
        <v>-36.9580879211425</v>
      </c>
      <c r="B881" s="11">
        <v>-15.0395908355712</v>
      </c>
      <c r="C881" s="11">
        <v>0.0</v>
      </c>
      <c r="D881" s="11" t="s">
        <v>1515</v>
      </c>
      <c r="E881" s="11">
        <v>0.0</v>
      </c>
      <c r="F881" s="11" t="s">
        <v>2431</v>
      </c>
    </row>
    <row r="882">
      <c r="A882" s="11">
        <v>-2.11528372764587</v>
      </c>
      <c r="B882" s="11">
        <v>-35.0052490234375</v>
      </c>
      <c r="C882" s="11">
        <v>0.0</v>
      </c>
      <c r="D882" s="11" t="s">
        <v>1515</v>
      </c>
      <c r="E882" s="11">
        <v>0.0</v>
      </c>
      <c r="F882" s="11" t="s">
        <v>2433</v>
      </c>
    </row>
    <row r="883">
      <c r="A883" s="11">
        <v>-46.6383056640625</v>
      </c>
      <c r="B883" s="11">
        <v>-26.7131595611572</v>
      </c>
      <c r="C883" s="11">
        <v>0.0</v>
      </c>
      <c r="D883" s="11" t="s">
        <v>1515</v>
      </c>
      <c r="E883" s="11">
        <v>0.0</v>
      </c>
      <c r="F883" s="11" t="s">
        <v>2435</v>
      </c>
    </row>
    <row r="884">
      <c r="A884" s="11">
        <v>57.7784576416015</v>
      </c>
      <c r="B884" s="11">
        <v>20.9291801452636</v>
      </c>
      <c r="C884" s="11">
        <v>-2.0</v>
      </c>
      <c r="D884" s="11" t="s">
        <v>2524</v>
      </c>
      <c r="E884" s="11">
        <v>-2.0</v>
      </c>
      <c r="F884" s="11" t="s">
        <v>2526</v>
      </c>
    </row>
    <row r="885">
      <c r="A885" s="11">
        <v>57.8303337097168</v>
      </c>
      <c r="B885" s="11">
        <v>20.8653717041015</v>
      </c>
      <c r="C885" s="11">
        <v>-2.0</v>
      </c>
      <c r="D885" s="11" t="s">
        <v>2524</v>
      </c>
      <c r="E885" s="11">
        <v>-2.0</v>
      </c>
      <c r="F885" s="11" t="s">
        <v>2530</v>
      </c>
    </row>
    <row r="886">
      <c r="A886" s="11">
        <v>43.3312606811523</v>
      </c>
      <c r="B886" s="11">
        <v>20.0705814361572</v>
      </c>
      <c r="C886" s="11">
        <v>-2.0</v>
      </c>
      <c r="D886" s="11" t="s">
        <v>2524</v>
      </c>
      <c r="E886" s="11">
        <v>-2.0</v>
      </c>
      <c r="F886" s="11" t="s">
        <v>2534</v>
      </c>
    </row>
    <row r="887">
      <c r="A887" s="11">
        <v>48.3034553527832</v>
      </c>
      <c r="B887" s="11">
        <v>21.0454597473144</v>
      </c>
      <c r="C887" s="11">
        <v>2.0</v>
      </c>
      <c r="D887" s="11" t="s">
        <v>2524</v>
      </c>
      <c r="E887" s="11">
        <v>2.0</v>
      </c>
      <c r="F887" s="11" t="s">
        <v>2538</v>
      </c>
    </row>
    <row r="888">
      <c r="A888" s="11">
        <v>63.9789390563964</v>
      </c>
      <c r="B888" s="11">
        <v>38.0478744506835</v>
      </c>
      <c r="C888" s="11">
        <v>-2.0</v>
      </c>
      <c r="D888" s="11" t="s">
        <v>2524</v>
      </c>
      <c r="E888" s="11">
        <v>-2.0</v>
      </c>
      <c r="F888" s="11" t="s">
        <v>2540</v>
      </c>
    </row>
    <row r="889">
      <c r="A889" s="11">
        <v>-25.0888576507568</v>
      </c>
      <c r="B889" s="11">
        <v>25.7943973541259</v>
      </c>
      <c r="C889" s="11">
        <v>0.0</v>
      </c>
      <c r="D889" s="11" t="s">
        <v>2524</v>
      </c>
      <c r="E889" s="11">
        <v>0.0</v>
      </c>
      <c r="F889" s="11" t="s">
        <v>2544</v>
      </c>
    </row>
    <row r="890">
      <c r="A890" s="11">
        <v>61.9087982177734</v>
      </c>
      <c r="B890" s="11">
        <v>40.3339805603027</v>
      </c>
      <c r="C890" s="11">
        <v>-2.0</v>
      </c>
      <c r="D890" s="11" t="s">
        <v>2524</v>
      </c>
      <c r="E890" s="11">
        <v>-2.0</v>
      </c>
      <c r="F890" s="11" t="s">
        <v>2547</v>
      </c>
    </row>
    <row r="891">
      <c r="A891" s="11">
        <v>63.1984024047851</v>
      </c>
      <c r="B891" s="11">
        <v>36.814842224121</v>
      </c>
      <c r="C891" s="11">
        <v>-2.0</v>
      </c>
      <c r="D891" s="11" t="s">
        <v>2524</v>
      </c>
      <c r="E891" s="11">
        <v>-2.0</v>
      </c>
      <c r="F891" s="11" t="s">
        <v>2551</v>
      </c>
    </row>
    <row r="892">
      <c r="A892" s="11">
        <v>-8.76604747772216</v>
      </c>
      <c r="B892" s="11">
        <v>6.08098316192626</v>
      </c>
      <c r="C892" s="11">
        <v>-1.0</v>
      </c>
      <c r="D892" s="11" t="s">
        <v>2524</v>
      </c>
      <c r="E892" s="11">
        <v>-1.0</v>
      </c>
      <c r="F892" s="11" t="s">
        <v>2555</v>
      </c>
    </row>
    <row r="893">
      <c r="A893" s="11">
        <v>56.262638092041</v>
      </c>
      <c r="B893" s="11">
        <v>36.1446075439453</v>
      </c>
      <c r="C893" s="11">
        <v>1.0</v>
      </c>
      <c r="D893" s="11" t="s">
        <v>2524</v>
      </c>
      <c r="E893" s="11">
        <v>1.0</v>
      </c>
      <c r="F893" s="11" t="s">
        <v>2557</v>
      </c>
    </row>
    <row r="894">
      <c r="A894" s="11">
        <v>13.4438781738281</v>
      </c>
      <c r="B894" s="11">
        <v>13.0898714065551</v>
      </c>
      <c r="C894" s="11">
        <v>0.0</v>
      </c>
      <c r="D894" s="11" t="s">
        <v>2524</v>
      </c>
      <c r="E894" s="11">
        <v>0.0</v>
      </c>
      <c r="F894" s="11" t="s">
        <v>2558</v>
      </c>
    </row>
    <row r="895">
      <c r="A895" s="11">
        <v>57.5473365783691</v>
      </c>
      <c r="B895" s="11">
        <v>31.1828174591064</v>
      </c>
      <c r="C895" s="11">
        <v>-2.0</v>
      </c>
      <c r="D895" s="11" t="s">
        <v>2524</v>
      </c>
      <c r="E895" s="11">
        <v>-2.0</v>
      </c>
      <c r="F895" s="11" t="s">
        <v>2559</v>
      </c>
    </row>
    <row r="896">
      <c r="A896" s="11">
        <v>62.5547065734863</v>
      </c>
      <c r="B896" s="11">
        <v>38.1656646728515</v>
      </c>
      <c r="C896" s="11">
        <v>-2.0</v>
      </c>
      <c r="D896" s="11" t="s">
        <v>2524</v>
      </c>
      <c r="E896" s="11">
        <v>-2.0</v>
      </c>
      <c r="F896" s="11" t="s">
        <v>2560</v>
      </c>
    </row>
    <row r="897">
      <c r="A897" s="11">
        <v>60.9168968200683</v>
      </c>
      <c r="B897" s="11">
        <v>42.6670608520507</v>
      </c>
      <c r="C897" s="11">
        <v>-2.0</v>
      </c>
      <c r="D897" s="11" t="s">
        <v>2524</v>
      </c>
      <c r="E897" s="11">
        <v>-2.0</v>
      </c>
      <c r="F897" s="11" t="s">
        <v>2561</v>
      </c>
    </row>
    <row r="898">
      <c r="A898" s="11">
        <v>9.79512596130371</v>
      </c>
      <c r="B898" s="11">
        <v>11.497347831726</v>
      </c>
      <c r="C898" s="11">
        <v>-1.0</v>
      </c>
      <c r="D898" s="11" t="s">
        <v>2524</v>
      </c>
      <c r="E898" s="11">
        <v>-1.0</v>
      </c>
      <c r="F898" s="11" t="s">
        <v>2562</v>
      </c>
    </row>
    <row r="899">
      <c r="A899" s="11">
        <v>44.3638610839843</v>
      </c>
      <c r="B899" s="11">
        <v>20.3717536926269</v>
      </c>
      <c r="C899" s="11">
        <v>-2.0</v>
      </c>
      <c r="D899" s="11" t="s">
        <v>2524</v>
      </c>
      <c r="E899" s="11">
        <v>-2.0</v>
      </c>
      <c r="F899" s="11" t="s">
        <v>2563</v>
      </c>
    </row>
    <row r="900">
      <c r="A900" s="11">
        <v>46.4169082641601</v>
      </c>
      <c r="B900" s="11">
        <v>30.5759258270263</v>
      </c>
      <c r="C900" s="11">
        <v>-2.0</v>
      </c>
      <c r="D900" s="11" t="s">
        <v>2524</v>
      </c>
      <c r="E900" s="11">
        <v>-2.0</v>
      </c>
      <c r="F900" s="11" t="s">
        <v>2564</v>
      </c>
    </row>
    <row r="901">
      <c r="A901" s="11">
        <v>9.79220390319824</v>
      </c>
      <c r="B901" s="11">
        <v>11.4942798614501</v>
      </c>
      <c r="C901" s="11">
        <v>-2.0</v>
      </c>
      <c r="D901" s="11" t="s">
        <v>2524</v>
      </c>
      <c r="E901" s="11">
        <v>-2.0</v>
      </c>
      <c r="F901" s="11" t="s">
        <v>2565</v>
      </c>
    </row>
    <row r="902">
      <c r="A902" s="11">
        <v>48.0409545898437</v>
      </c>
      <c r="B902" s="11">
        <v>21.210012435913</v>
      </c>
      <c r="C902" s="11">
        <v>1.0</v>
      </c>
      <c r="D902" s="11" t="s">
        <v>2524</v>
      </c>
      <c r="E902" s="11">
        <v>1.0</v>
      </c>
      <c r="F902" s="11" t="s">
        <v>2566</v>
      </c>
    </row>
    <row r="903">
      <c r="A903" s="11">
        <v>43.0857734680175</v>
      </c>
      <c r="B903" s="11">
        <v>22.634048461914</v>
      </c>
      <c r="C903" s="11">
        <v>1.0</v>
      </c>
      <c r="D903" s="11" t="s">
        <v>2524</v>
      </c>
      <c r="E903" s="11">
        <v>1.0</v>
      </c>
      <c r="F903" s="11" t="s">
        <v>2567</v>
      </c>
    </row>
    <row r="904">
      <c r="A904" s="11">
        <v>54.7927742004394</v>
      </c>
      <c r="B904" s="11">
        <v>25.3114967346191</v>
      </c>
      <c r="C904" s="11">
        <v>-1.0</v>
      </c>
      <c r="D904" s="11" t="s">
        <v>2524</v>
      </c>
      <c r="E904" s="11">
        <v>-1.0</v>
      </c>
      <c r="F904" s="11" t="s">
        <v>2568</v>
      </c>
    </row>
    <row r="905">
      <c r="A905" s="11">
        <v>62.338882446289</v>
      </c>
      <c r="B905" s="11">
        <v>41.5997009277343</v>
      </c>
      <c r="C905" s="11">
        <v>-1.0</v>
      </c>
      <c r="D905" s="11" t="s">
        <v>2524</v>
      </c>
      <c r="E905" s="11">
        <v>-1.0</v>
      </c>
      <c r="F905" s="11" t="s">
        <v>2569</v>
      </c>
    </row>
    <row r="906">
      <c r="A906" s="11">
        <v>54.8706741333007</v>
      </c>
      <c r="B906" s="11">
        <v>40.3172416687011</v>
      </c>
      <c r="C906" s="11">
        <v>-2.0</v>
      </c>
      <c r="D906" s="11" t="s">
        <v>2524</v>
      </c>
      <c r="E906" s="11">
        <v>-2.0</v>
      </c>
      <c r="F906" s="11" t="s">
        <v>2570</v>
      </c>
    </row>
    <row r="907">
      <c r="A907" s="11">
        <v>54.8960723876953</v>
      </c>
      <c r="B907" s="11">
        <v>38.7590026855468</v>
      </c>
      <c r="C907" s="11">
        <v>0.0</v>
      </c>
      <c r="D907" s="11" t="s">
        <v>2524</v>
      </c>
      <c r="E907" s="11">
        <v>0.0</v>
      </c>
      <c r="F907" s="11" t="s">
        <v>2571</v>
      </c>
    </row>
    <row r="908">
      <c r="A908" s="11">
        <v>57.7447814941406</v>
      </c>
      <c r="B908" s="11">
        <v>31.3169612884521</v>
      </c>
      <c r="C908" s="11">
        <v>-2.0</v>
      </c>
      <c r="D908" s="11" t="s">
        <v>2524</v>
      </c>
      <c r="E908" s="11">
        <v>-2.0</v>
      </c>
      <c r="F908" s="11" t="s">
        <v>2572</v>
      </c>
    </row>
    <row r="909">
      <c r="A909" s="11">
        <v>40.2966995239257</v>
      </c>
      <c r="B909" s="11">
        <v>23.6027374267578</v>
      </c>
      <c r="C909" s="11">
        <v>-2.0</v>
      </c>
      <c r="D909" s="11" t="s">
        <v>2524</v>
      </c>
      <c r="E909" s="11">
        <v>-2.0</v>
      </c>
      <c r="F909" s="11" t="s">
        <v>2573</v>
      </c>
    </row>
    <row r="910">
      <c r="A910" s="11">
        <v>55.281867980957</v>
      </c>
      <c r="B910" s="11">
        <v>35.340274810791</v>
      </c>
      <c r="C910" s="11">
        <v>2.0</v>
      </c>
      <c r="D910" s="11" t="s">
        <v>2524</v>
      </c>
      <c r="E910" s="11">
        <v>2.0</v>
      </c>
      <c r="F910" s="11" t="s">
        <v>2574</v>
      </c>
    </row>
    <row r="911">
      <c r="A911" s="11">
        <v>47.1223907470703</v>
      </c>
      <c r="B911" s="11">
        <v>39.1732139587402</v>
      </c>
      <c r="C911" s="11">
        <v>0.0</v>
      </c>
      <c r="D911" s="11" t="s">
        <v>2524</v>
      </c>
      <c r="E911" s="11">
        <v>0.0</v>
      </c>
      <c r="F911" s="11" t="s">
        <v>2575</v>
      </c>
    </row>
    <row r="912">
      <c r="A912" s="11">
        <v>61.909122467041</v>
      </c>
      <c r="B912" s="11">
        <v>43.1101989746093</v>
      </c>
      <c r="C912" s="11">
        <v>-1.0</v>
      </c>
      <c r="D912" s="11" t="s">
        <v>2524</v>
      </c>
      <c r="E912" s="11">
        <v>-1.0</v>
      </c>
      <c r="F912" s="11" t="s">
        <v>2576</v>
      </c>
    </row>
    <row r="913">
      <c r="A913" s="11">
        <v>54.8086967468261</v>
      </c>
      <c r="B913" s="11">
        <v>40.7610206604003</v>
      </c>
      <c r="C913" s="11">
        <v>0.0</v>
      </c>
      <c r="D913" s="11" t="s">
        <v>2524</v>
      </c>
      <c r="E913" s="11">
        <v>0.0</v>
      </c>
      <c r="F913" s="11" t="s">
        <v>2577</v>
      </c>
    </row>
    <row r="914">
      <c r="A914" s="11">
        <v>63.1984024047851</v>
      </c>
      <c r="B914" s="11">
        <v>36.814842224121</v>
      </c>
      <c r="C914" s="11">
        <v>-2.0</v>
      </c>
      <c r="D914" s="11" t="s">
        <v>2524</v>
      </c>
      <c r="E914" s="11">
        <v>-2.0</v>
      </c>
      <c r="F914" s="11" t="s">
        <v>2578</v>
      </c>
    </row>
    <row r="915">
      <c r="A915" s="11">
        <v>-4.49766206741333</v>
      </c>
      <c r="B915" s="11">
        <v>36.6994400024414</v>
      </c>
      <c r="C915" s="11">
        <v>-1.0</v>
      </c>
      <c r="D915" s="11" t="s">
        <v>2524</v>
      </c>
      <c r="E915" s="11">
        <v>-1.0</v>
      </c>
      <c r="F915" s="11" t="s">
        <v>2579</v>
      </c>
    </row>
    <row r="916">
      <c r="A916" s="11">
        <v>57.7193489074707</v>
      </c>
      <c r="B916" s="11">
        <v>34.496768951416</v>
      </c>
      <c r="C916" s="11">
        <v>0.0</v>
      </c>
      <c r="D916" s="11" t="s">
        <v>2524</v>
      </c>
      <c r="E916" s="11">
        <v>0.0</v>
      </c>
      <c r="F916" s="11" t="s">
        <v>2580</v>
      </c>
    </row>
    <row r="917">
      <c r="A917" s="11">
        <v>45.312328338623</v>
      </c>
      <c r="B917" s="11">
        <v>23.5266704559326</v>
      </c>
      <c r="C917" s="11">
        <v>-2.0</v>
      </c>
      <c r="D917" s="11" t="s">
        <v>2524</v>
      </c>
      <c r="E917" s="11">
        <v>-2.0</v>
      </c>
      <c r="F917" s="11" t="s">
        <v>2581</v>
      </c>
    </row>
    <row r="918">
      <c r="A918" s="11">
        <v>58.1286697387695</v>
      </c>
      <c r="B918" s="11">
        <v>41.1950187683105</v>
      </c>
      <c r="C918" s="11">
        <v>-2.0</v>
      </c>
      <c r="D918" s="11" t="s">
        <v>2524</v>
      </c>
      <c r="E918" s="11">
        <v>-2.0</v>
      </c>
      <c r="F918" s="11" t="s">
        <v>2582</v>
      </c>
    </row>
    <row r="919">
      <c r="A919" s="11">
        <v>63.5570640563964</v>
      </c>
      <c r="B919" s="11">
        <v>42.6696281433105</v>
      </c>
      <c r="C919" s="11">
        <v>-2.0</v>
      </c>
      <c r="D919" s="11" t="s">
        <v>2524</v>
      </c>
      <c r="E919" s="11">
        <v>-2.0</v>
      </c>
      <c r="F919" s="11" t="s">
        <v>2583</v>
      </c>
    </row>
    <row r="920">
      <c r="A920" s="11">
        <v>61.7197189331054</v>
      </c>
      <c r="B920" s="11">
        <v>37.1600837707519</v>
      </c>
      <c r="C920" s="11">
        <v>-2.0</v>
      </c>
      <c r="D920" s="11" t="s">
        <v>2524</v>
      </c>
      <c r="E920" s="11">
        <v>-2.0</v>
      </c>
      <c r="F920" s="11" t="s">
        <v>2584</v>
      </c>
    </row>
    <row r="921">
      <c r="A921" s="11">
        <v>6.71912765502929</v>
      </c>
      <c r="B921" s="11">
        <v>-1.96733403205871</v>
      </c>
      <c r="C921" s="11">
        <v>2.0</v>
      </c>
      <c r="D921" s="11" t="s">
        <v>2524</v>
      </c>
      <c r="E921" s="11">
        <v>2.0</v>
      </c>
      <c r="F921" s="11" t="s">
        <v>2585</v>
      </c>
    </row>
    <row r="922">
      <c r="A922" s="11">
        <v>61.0059471130371</v>
      </c>
      <c r="B922" s="11">
        <v>41.2649307250976</v>
      </c>
      <c r="C922" s="11">
        <v>-2.0</v>
      </c>
      <c r="D922" s="11" t="s">
        <v>2524</v>
      </c>
      <c r="E922" s="11">
        <v>-2.0</v>
      </c>
      <c r="F922" s="11" t="s">
        <v>2586</v>
      </c>
    </row>
    <row r="923">
      <c r="A923" s="11">
        <v>58.5157165527343</v>
      </c>
      <c r="B923" s="11">
        <v>42.027961730957</v>
      </c>
      <c r="C923" s="11">
        <v>-2.0</v>
      </c>
      <c r="D923" s="11" t="s">
        <v>2524</v>
      </c>
      <c r="E923" s="11">
        <v>-2.0</v>
      </c>
      <c r="F923" s="11" t="s">
        <v>2587</v>
      </c>
    </row>
    <row r="924">
      <c r="A924" s="11">
        <v>-9.83515644073486</v>
      </c>
      <c r="B924" s="11">
        <v>6.28150272369384</v>
      </c>
      <c r="C924" s="11">
        <v>1.0</v>
      </c>
      <c r="D924" s="11" t="s">
        <v>2524</v>
      </c>
      <c r="E924" s="11">
        <v>1.0</v>
      </c>
      <c r="F924" s="11" t="s">
        <v>2588</v>
      </c>
    </row>
    <row r="925">
      <c r="A925" s="11">
        <v>45.7388801574707</v>
      </c>
      <c r="B925" s="11">
        <v>31.1970596313476</v>
      </c>
      <c r="C925" s="11">
        <v>-2.0</v>
      </c>
      <c r="D925" s="11" t="s">
        <v>2524</v>
      </c>
      <c r="E925" s="11">
        <v>-2.0</v>
      </c>
      <c r="F925" s="11" t="s">
        <v>2589</v>
      </c>
    </row>
    <row r="926">
      <c r="A926" s="11">
        <v>43.2756309509277</v>
      </c>
      <c r="B926" s="11">
        <v>17.6919574737548</v>
      </c>
      <c r="C926" s="11">
        <v>-2.0</v>
      </c>
      <c r="D926" s="11" t="s">
        <v>2524</v>
      </c>
      <c r="E926" s="11">
        <v>-2.0</v>
      </c>
      <c r="F926" s="11" t="s">
        <v>2590</v>
      </c>
    </row>
    <row r="927">
      <c r="A927" s="11">
        <v>63.1984024047851</v>
      </c>
      <c r="B927" s="11">
        <v>36.814842224121</v>
      </c>
      <c r="C927" s="11">
        <v>-2.0</v>
      </c>
      <c r="D927" s="11" t="s">
        <v>2524</v>
      </c>
      <c r="E927" s="11">
        <v>-2.0</v>
      </c>
      <c r="F927" s="11" t="s">
        <v>2591</v>
      </c>
    </row>
    <row r="928">
      <c r="A928" s="11">
        <v>-11.5537528991699</v>
      </c>
      <c r="B928" s="11">
        <v>7.23653030395507</v>
      </c>
      <c r="C928" s="11">
        <v>0.0</v>
      </c>
      <c r="D928" s="11" t="s">
        <v>2524</v>
      </c>
      <c r="E928" s="11">
        <v>0.0</v>
      </c>
      <c r="F928" s="11" t="s">
        <v>2592</v>
      </c>
    </row>
    <row r="929">
      <c r="A929" s="11">
        <v>40.9370613098144</v>
      </c>
      <c r="B929" s="11">
        <v>21.8265132904052</v>
      </c>
      <c r="C929" s="11">
        <v>-2.0</v>
      </c>
      <c r="D929" s="11" t="s">
        <v>2524</v>
      </c>
      <c r="E929" s="11">
        <v>-2.0</v>
      </c>
      <c r="F929" s="11" t="s">
        <v>2593</v>
      </c>
    </row>
    <row r="930">
      <c r="A930" s="11">
        <v>62.338882446289</v>
      </c>
      <c r="B930" s="11">
        <v>41.5997009277343</v>
      </c>
      <c r="C930" s="11">
        <v>-1.0</v>
      </c>
      <c r="D930" s="11" t="s">
        <v>2524</v>
      </c>
      <c r="E930" s="11">
        <v>-1.0</v>
      </c>
      <c r="F930" s="11" t="s">
        <v>2594</v>
      </c>
    </row>
    <row r="931">
      <c r="A931" s="11">
        <v>13.4741744995117</v>
      </c>
      <c r="B931" s="11">
        <v>13.1504116058349</v>
      </c>
      <c r="C931" s="11">
        <v>2.0</v>
      </c>
      <c r="D931" s="11" t="s">
        <v>2524</v>
      </c>
      <c r="E931" s="11">
        <v>2.0</v>
      </c>
      <c r="F931" s="11" t="s">
        <v>2595</v>
      </c>
    </row>
    <row r="932">
      <c r="A932" s="11">
        <v>46.9481620788574</v>
      </c>
      <c r="B932" s="11">
        <v>39.2801246643066</v>
      </c>
      <c r="C932" s="11">
        <v>0.0</v>
      </c>
      <c r="D932" s="11" t="s">
        <v>2524</v>
      </c>
      <c r="E932" s="11">
        <v>0.0</v>
      </c>
      <c r="F932" s="11" t="s">
        <v>2596</v>
      </c>
    </row>
    <row r="933">
      <c r="A933" s="11">
        <v>41.8904075622558</v>
      </c>
      <c r="B933" s="11">
        <v>19.6673488616943</v>
      </c>
      <c r="C933" s="11">
        <v>0.0</v>
      </c>
      <c r="D933" s="11" t="s">
        <v>2524</v>
      </c>
      <c r="E933" s="11">
        <v>0.0</v>
      </c>
      <c r="F933" s="11" t="s">
        <v>2597</v>
      </c>
    </row>
    <row r="934">
      <c r="A934" s="11">
        <v>52.1599464416503</v>
      </c>
      <c r="B934" s="11">
        <v>26.6469364166259</v>
      </c>
      <c r="C934" s="11">
        <v>-2.0</v>
      </c>
      <c r="D934" s="11" t="s">
        <v>2524</v>
      </c>
      <c r="E934" s="11">
        <v>-2.0</v>
      </c>
      <c r="F934" s="11" t="s">
        <v>2598</v>
      </c>
    </row>
    <row r="935">
      <c r="A935" s="11">
        <v>58.1709747314453</v>
      </c>
      <c r="B935" s="11">
        <v>34.8170204162597</v>
      </c>
      <c r="C935" s="11">
        <v>0.0</v>
      </c>
      <c r="D935" s="11" t="s">
        <v>2524</v>
      </c>
      <c r="E935" s="11">
        <v>0.0</v>
      </c>
      <c r="F935" s="11" t="s">
        <v>2599</v>
      </c>
    </row>
    <row r="936">
      <c r="A936" s="11">
        <v>63.7644309997558</v>
      </c>
      <c r="B936" s="11">
        <v>40.557746887207</v>
      </c>
      <c r="C936" s="11">
        <v>-2.0</v>
      </c>
      <c r="D936" s="11" t="s">
        <v>2524</v>
      </c>
      <c r="E936" s="11">
        <v>-2.0</v>
      </c>
      <c r="F936" s="11" t="s">
        <v>2600</v>
      </c>
    </row>
    <row r="937">
      <c r="A937" s="11">
        <v>58.506591796875</v>
      </c>
      <c r="B937" s="11">
        <v>40.4592170715332</v>
      </c>
      <c r="C937" s="11">
        <v>-2.0</v>
      </c>
      <c r="D937" s="11" t="s">
        <v>2524</v>
      </c>
      <c r="E937" s="11">
        <v>-2.0</v>
      </c>
      <c r="F937" s="11" t="s">
        <v>2517</v>
      </c>
    </row>
    <row r="938">
      <c r="A938" s="11">
        <v>7.12301158905029</v>
      </c>
      <c r="B938" s="11">
        <v>9.11066913604736</v>
      </c>
      <c r="C938" s="11">
        <v>2.0</v>
      </c>
      <c r="D938" s="11" t="s">
        <v>2524</v>
      </c>
      <c r="E938" s="11">
        <v>2.0</v>
      </c>
      <c r="F938" s="11" t="s">
        <v>2601</v>
      </c>
    </row>
    <row r="939">
      <c r="A939" s="11">
        <v>-17.0849552154541</v>
      </c>
      <c r="B939" s="11">
        <v>14.2443351745605</v>
      </c>
      <c r="C939" s="11">
        <v>0.0</v>
      </c>
      <c r="D939" s="11" t="s">
        <v>2602</v>
      </c>
      <c r="E939" s="11">
        <v>0.0</v>
      </c>
      <c r="F939" s="11" t="s">
        <v>2603</v>
      </c>
    </row>
    <row r="940">
      <c r="A940" s="11">
        <v>13.7337551116943</v>
      </c>
      <c r="B940" s="11">
        <v>-0.0746648535132408</v>
      </c>
      <c r="C940" s="11">
        <v>1.0</v>
      </c>
      <c r="D940" s="11" t="s">
        <v>2602</v>
      </c>
      <c r="E940" s="11">
        <v>1.0</v>
      </c>
      <c r="F940" s="11" t="s">
        <v>2604</v>
      </c>
    </row>
    <row r="941">
      <c r="A941" s="11">
        <v>10.2510948181152</v>
      </c>
      <c r="B941" s="11">
        <v>1.42014050483703</v>
      </c>
      <c r="C941" s="11">
        <v>0.0</v>
      </c>
      <c r="D941" s="11" t="s">
        <v>2602</v>
      </c>
      <c r="E941" s="11">
        <v>0.0</v>
      </c>
      <c r="F941" s="11" t="s">
        <v>2605</v>
      </c>
    </row>
    <row r="942">
      <c r="A942" s="11">
        <v>44.7153167724609</v>
      </c>
      <c r="B942" s="11">
        <v>-34.2627143859863</v>
      </c>
      <c r="C942" s="11">
        <v>1.0</v>
      </c>
      <c r="D942" s="11" t="s">
        <v>2602</v>
      </c>
      <c r="E942" s="11">
        <v>1.0</v>
      </c>
      <c r="F942" s="11" t="s">
        <v>2606</v>
      </c>
    </row>
    <row r="943">
      <c r="A943" s="11">
        <v>18.81978225708</v>
      </c>
      <c r="B943" s="11">
        <v>12.2353563308715</v>
      </c>
      <c r="C943" s="11">
        <v>2.0</v>
      </c>
      <c r="D943" s="11" t="s">
        <v>2602</v>
      </c>
      <c r="E943" s="11">
        <v>2.0</v>
      </c>
      <c r="F943" s="11" t="s">
        <v>2607</v>
      </c>
    </row>
    <row r="944">
      <c r="A944" s="11">
        <v>7.55560445785522</v>
      </c>
      <c r="B944" s="11">
        <v>-25.2524108886718</v>
      </c>
      <c r="C944" s="11">
        <v>0.0</v>
      </c>
      <c r="D944" s="11" t="s">
        <v>2602</v>
      </c>
      <c r="E944" s="11">
        <v>0.0</v>
      </c>
      <c r="F944" s="11" t="s">
        <v>2608</v>
      </c>
    </row>
    <row r="945">
      <c r="A945" s="11">
        <v>2.03951787948608</v>
      </c>
      <c r="B945" s="11">
        <v>26.8504180908203</v>
      </c>
      <c r="C945" s="11">
        <v>0.0</v>
      </c>
      <c r="D945" s="11" t="s">
        <v>2602</v>
      </c>
      <c r="E945" s="11">
        <v>0.0</v>
      </c>
      <c r="F945" s="11" t="s">
        <v>2609</v>
      </c>
    </row>
    <row r="946">
      <c r="A946" s="11">
        <v>2.03951787948608</v>
      </c>
      <c r="B946" s="11">
        <v>26.8504180908203</v>
      </c>
      <c r="C946" s="11">
        <v>0.0</v>
      </c>
      <c r="D946" s="11" t="s">
        <v>2602</v>
      </c>
      <c r="E946" s="11">
        <v>0.0</v>
      </c>
      <c r="F946" s="11" t="s">
        <v>2610</v>
      </c>
    </row>
    <row r="947">
      <c r="A947" s="11">
        <v>15.8786821365356</v>
      </c>
      <c r="B947" s="11">
        <v>0.63337218761444</v>
      </c>
      <c r="C947" s="11">
        <v>0.0</v>
      </c>
      <c r="D947" s="11" t="s">
        <v>2602</v>
      </c>
      <c r="E947" s="11">
        <v>0.0</v>
      </c>
      <c r="F947" s="11" t="s">
        <v>2611</v>
      </c>
    </row>
    <row r="948">
      <c r="A948" s="11">
        <v>10.6322708129882</v>
      </c>
      <c r="B948" s="11">
        <v>-3.15755534172058</v>
      </c>
      <c r="C948" s="11">
        <v>0.0</v>
      </c>
      <c r="D948" s="11" t="s">
        <v>2602</v>
      </c>
      <c r="E948" s="11">
        <v>0.0</v>
      </c>
      <c r="F948" s="11" t="s">
        <v>2612</v>
      </c>
    </row>
    <row r="949">
      <c r="A949" s="11">
        <v>13.6449146270751</v>
      </c>
      <c r="B949" s="11">
        <v>7.87635326385498</v>
      </c>
      <c r="C949" s="11">
        <v>2.0</v>
      </c>
      <c r="D949" s="11" t="s">
        <v>2602</v>
      </c>
      <c r="E949" s="11">
        <v>2.0</v>
      </c>
      <c r="F949" s="11" t="s">
        <v>2613</v>
      </c>
    </row>
    <row r="950">
      <c r="A950" s="11">
        <v>-3.35121893882751</v>
      </c>
      <c r="B950" s="11">
        <v>-15.9729824066162</v>
      </c>
      <c r="C950" s="11">
        <v>0.0</v>
      </c>
      <c r="D950" s="11" t="s">
        <v>2602</v>
      </c>
      <c r="E950" s="11">
        <v>0.0</v>
      </c>
      <c r="F950" s="11" t="s">
        <v>2614</v>
      </c>
    </row>
    <row r="951">
      <c r="A951" s="11">
        <v>-14.3626155853271</v>
      </c>
      <c r="B951" s="11">
        <v>7.09591436386108</v>
      </c>
      <c r="C951" s="11">
        <v>2.0</v>
      </c>
      <c r="D951" s="11" t="s">
        <v>2602</v>
      </c>
      <c r="E951" s="11">
        <v>2.0</v>
      </c>
      <c r="F951" s="11" t="s">
        <v>2615</v>
      </c>
    </row>
    <row r="952">
      <c r="A952" s="11">
        <v>10.2412729263305</v>
      </c>
      <c r="B952" s="11">
        <v>-20.5890254974365</v>
      </c>
      <c r="C952" s="11">
        <v>1.0</v>
      </c>
      <c r="D952" s="11" t="s">
        <v>2602</v>
      </c>
      <c r="E952" s="11">
        <v>1.0</v>
      </c>
      <c r="F952" s="11" t="s">
        <v>2616</v>
      </c>
    </row>
    <row r="953">
      <c r="A953" s="11">
        <v>12.241057395935</v>
      </c>
      <c r="B953" s="11">
        <v>1.38296318054199</v>
      </c>
      <c r="C953" s="11">
        <v>1.0</v>
      </c>
      <c r="D953" s="11" t="s">
        <v>2602</v>
      </c>
      <c r="E953" s="11">
        <v>1.0</v>
      </c>
      <c r="F953" s="11" t="s">
        <v>2617</v>
      </c>
    </row>
    <row r="954">
      <c r="A954" s="11">
        <v>10.6360006332397</v>
      </c>
      <c r="B954" s="11">
        <v>-3.1580319404602</v>
      </c>
      <c r="C954" s="11">
        <v>0.0</v>
      </c>
      <c r="D954" s="11" t="s">
        <v>2602</v>
      </c>
      <c r="E954" s="11">
        <v>0.0</v>
      </c>
      <c r="F954" s="11" t="s">
        <v>2618</v>
      </c>
    </row>
    <row r="955">
      <c r="A955" s="11">
        <v>12.4718790054321</v>
      </c>
      <c r="B955" s="11">
        <v>5.09953784942626</v>
      </c>
      <c r="C955" s="11">
        <v>-2.0</v>
      </c>
      <c r="D955" s="11" t="s">
        <v>2602</v>
      </c>
      <c r="E955" s="11">
        <v>-2.0</v>
      </c>
      <c r="F955" s="11" t="s">
        <v>2619</v>
      </c>
    </row>
    <row r="956">
      <c r="A956" s="11">
        <v>-26.051362991333</v>
      </c>
      <c r="B956" s="11">
        <v>26.1197395324707</v>
      </c>
      <c r="C956" s="11">
        <v>0.0</v>
      </c>
      <c r="D956" s="11" t="s">
        <v>2602</v>
      </c>
      <c r="E956" s="11">
        <v>0.0</v>
      </c>
      <c r="F956" s="11" t="s">
        <v>2620</v>
      </c>
    </row>
    <row r="957">
      <c r="A957" s="11">
        <v>9.86225414276123</v>
      </c>
      <c r="B957" s="11">
        <v>-19.8422317504882</v>
      </c>
      <c r="C957" s="11">
        <v>1.0</v>
      </c>
      <c r="D957" s="11" t="s">
        <v>2602</v>
      </c>
      <c r="E957" s="11">
        <v>1.0</v>
      </c>
      <c r="F957" s="11" t="s">
        <v>2621</v>
      </c>
    </row>
    <row r="958">
      <c r="A958" s="11">
        <v>35.9215812683105</v>
      </c>
      <c r="B958" s="11">
        <v>-22.0357837677001</v>
      </c>
      <c r="C958" s="11">
        <v>2.0</v>
      </c>
      <c r="D958" s="11" t="s">
        <v>2602</v>
      </c>
      <c r="E958" s="11">
        <v>2.0</v>
      </c>
      <c r="F958" s="11" t="s">
        <v>2622</v>
      </c>
    </row>
    <row r="959">
      <c r="A959" s="11">
        <v>18.81978225708</v>
      </c>
      <c r="B959" s="11">
        <v>12.2353563308715</v>
      </c>
      <c r="C959" s="11">
        <v>1.0</v>
      </c>
      <c r="D959" s="11" t="s">
        <v>2602</v>
      </c>
      <c r="E959" s="11">
        <v>1.0</v>
      </c>
      <c r="F959" s="11" t="s">
        <v>2623</v>
      </c>
    </row>
    <row r="960">
      <c r="A960" s="11">
        <v>7.55560445785522</v>
      </c>
      <c r="B960" s="11">
        <v>-25.2524108886718</v>
      </c>
      <c r="C960" s="11">
        <v>0.0</v>
      </c>
      <c r="D960" s="11" t="s">
        <v>2602</v>
      </c>
      <c r="E960" s="11">
        <v>0.0</v>
      </c>
      <c r="F960" s="11" t="s">
        <v>2624</v>
      </c>
    </row>
    <row r="961">
      <c r="A961" s="11">
        <v>-17.0465717315673</v>
      </c>
      <c r="B961" s="11">
        <v>13.9189453125</v>
      </c>
      <c r="C961" s="11">
        <v>0.0</v>
      </c>
      <c r="D961" s="11" t="s">
        <v>2602</v>
      </c>
      <c r="E961" s="11">
        <v>0.0</v>
      </c>
      <c r="F961" s="11" t="s">
        <v>2625</v>
      </c>
    </row>
    <row r="962">
      <c r="A962" s="11">
        <v>16.7442035675048</v>
      </c>
      <c r="B962" s="11">
        <v>8.90114593505859</v>
      </c>
      <c r="C962" s="11">
        <v>1.0</v>
      </c>
      <c r="D962" s="11" t="s">
        <v>2602</v>
      </c>
      <c r="E962" s="11">
        <v>1.0</v>
      </c>
      <c r="F962" s="11" t="s">
        <v>2626</v>
      </c>
    </row>
    <row r="963">
      <c r="A963" s="11">
        <v>19.3535118103027</v>
      </c>
      <c r="B963" s="11">
        <v>11.5966300964355</v>
      </c>
      <c r="C963" s="11">
        <v>1.0</v>
      </c>
      <c r="D963" s="11" t="s">
        <v>2602</v>
      </c>
      <c r="E963" s="11">
        <v>1.0</v>
      </c>
      <c r="F963" s="11" t="s">
        <v>2627</v>
      </c>
    </row>
    <row r="964">
      <c r="A964" s="11">
        <v>44.6030502319335</v>
      </c>
      <c r="B964" s="11">
        <v>-34.2737579345703</v>
      </c>
      <c r="C964" s="11">
        <v>1.0</v>
      </c>
      <c r="D964" s="11" t="s">
        <v>2602</v>
      </c>
      <c r="E964" s="11">
        <v>1.0</v>
      </c>
      <c r="F964" s="11" t="s">
        <v>2631</v>
      </c>
    </row>
    <row r="965">
      <c r="A965" s="11">
        <v>-29.2052345275878</v>
      </c>
      <c r="B965" s="11">
        <v>-18.5270614624023</v>
      </c>
      <c r="C965" s="11">
        <v>0.0</v>
      </c>
      <c r="D965" s="11" t="s">
        <v>2602</v>
      </c>
      <c r="E965" s="11">
        <v>0.0</v>
      </c>
      <c r="F965" s="11" t="s">
        <v>2635</v>
      </c>
    </row>
    <row r="966">
      <c r="A966" s="11">
        <v>13.5150098800659</v>
      </c>
      <c r="B966" s="11">
        <v>4.24068689346313</v>
      </c>
      <c r="C966" s="11">
        <v>1.0</v>
      </c>
      <c r="D966" s="11" t="s">
        <v>2602</v>
      </c>
      <c r="E966" s="11">
        <v>1.0</v>
      </c>
      <c r="F966" s="11" t="s">
        <v>2636</v>
      </c>
    </row>
    <row r="967">
      <c r="A967" s="11">
        <v>12.241057395935</v>
      </c>
      <c r="B967" s="11">
        <v>1.38296318054199</v>
      </c>
      <c r="C967" s="11">
        <v>1.0</v>
      </c>
      <c r="D967" s="11" t="s">
        <v>2602</v>
      </c>
      <c r="E967" s="11">
        <v>1.0</v>
      </c>
      <c r="F967" s="11" t="s">
        <v>2637</v>
      </c>
    </row>
    <row r="968">
      <c r="A968" s="11">
        <v>-19.021800994873</v>
      </c>
      <c r="B968" s="11">
        <v>0.729837596416473</v>
      </c>
      <c r="C968" s="11">
        <v>1.0</v>
      </c>
      <c r="D968" s="11" t="s">
        <v>2602</v>
      </c>
      <c r="E968" s="11">
        <v>1.0</v>
      </c>
      <c r="F968" s="11" t="s">
        <v>2638</v>
      </c>
    </row>
    <row r="969">
      <c r="A969" s="11">
        <v>11.5538940429687</v>
      </c>
      <c r="B969" s="11">
        <v>5.91231679916381</v>
      </c>
      <c r="C969" s="11">
        <v>1.0</v>
      </c>
      <c r="D969" s="11" t="s">
        <v>2602</v>
      </c>
      <c r="E969" s="11">
        <v>1.0</v>
      </c>
      <c r="F969" s="11" t="s">
        <v>2639</v>
      </c>
    </row>
    <row r="970">
      <c r="A970" s="11">
        <v>16.7442035675048</v>
      </c>
      <c r="B970" s="11">
        <v>8.90114593505859</v>
      </c>
      <c r="C970" s="11">
        <v>0.0</v>
      </c>
      <c r="D970" s="11" t="s">
        <v>2602</v>
      </c>
      <c r="E970" s="11">
        <v>0.0</v>
      </c>
      <c r="F970" s="11" t="s">
        <v>2640</v>
      </c>
    </row>
    <row r="971">
      <c r="A971" s="11">
        <v>-15.7997989654541</v>
      </c>
      <c r="B971" s="11">
        <v>-0.0768097415566444</v>
      </c>
      <c r="C971" s="11">
        <v>0.0</v>
      </c>
      <c r="D971" s="11" t="s">
        <v>1061</v>
      </c>
      <c r="E971" s="11">
        <v>0.0</v>
      </c>
      <c r="F971" s="11" t="s">
        <v>2641</v>
      </c>
    </row>
    <row r="972">
      <c r="A972" s="11">
        <v>-30.5607070922851</v>
      </c>
      <c r="B972" s="11">
        <v>34.1109352111816</v>
      </c>
      <c r="C972" s="11">
        <v>0.0</v>
      </c>
      <c r="D972" s="11" t="s">
        <v>1061</v>
      </c>
      <c r="E972" s="11">
        <v>0.0</v>
      </c>
      <c r="F972" s="11" t="s">
        <v>2642</v>
      </c>
    </row>
    <row r="973">
      <c r="A973" s="11">
        <v>16.6834526062011</v>
      </c>
      <c r="B973" s="11">
        <v>33.519416809082</v>
      </c>
      <c r="C973" s="11">
        <v>2.0</v>
      </c>
      <c r="D973" s="11" t="s">
        <v>1061</v>
      </c>
      <c r="E973" s="11">
        <v>2.0</v>
      </c>
      <c r="F973" s="11" t="s">
        <v>2643</v>
      </c>
    </row>
    <row r="974">
      <c r="A974" s="11">
        <v>-24.1788940429687</v>
      </c>
      <c r="B974" s="11">
        <v>5.36745643615722</v>
      </c>
      <c r="C974" s="11">
        <v>0.0</v>
      </c>
      <c r="D974" s="11" t="s">
        <v>1061</v>
      </c>
      <c r="E974" s="11">
        <v>0.0</v>
      </c>
      <c r="F974" s="11" t="s">
        <v>2644</v>
      </c>
    </row>
    <row r="975">
      <c r="A975" s="11">
        <v>26.232458114624</v>
      </c>
      <c r="B975" s="11">
        <v>21.1546535491943</v>
      </c>
      <c r="C975" s="11">
        <v>2.0</v>
      </c>
      <c r="D975" s="11" t="s">
        <v>1061</v>
      </c>
      <c r="E975" s="11">
        <v>2.0</v>
      </c>
      <c r="F975" s="11" t="s">
        <v>2645</v>
      </c>
    </row>
    <row r="976">
      <c r="A976" s="11">
        <v>36.4086761474609</v>
      </c>
      <c r="B976" s="11">
        <v>27.8214626312255</v>
      </c>
      <c r="C976" s="11">
        <v>0.0</v>
      </c>
      <c r="D976" s="11" t="s">
        <v>1061</v>
      </c>
      <c r="E976" s="11">
        <v>0.0</v>
      </c>
      <c r="F976" s="11" t="s">
        <v>2646</v>
      </c>
    </row>
    <row r="977">
      <c r="A977" s="11">
        <v>-1.32607817649841</v>
      </c>
      <c r="B977" s="11">
        <v>-7.34643030166626</v>
      </c>
      <c r="C977" s="11">
        <v>1.0</v>
      </c>
      <c r="D977" s="11" t="s">
        <v>1061</v>
      </c>
      <c r="E977" s="11">
        <v>1.0</v>
      </c>
      <c r="F977" s="11" t="s">
        <v>2647</v>
      </c>
    </row>
    <row r="978">
      <c r="A978" s="11">
        <v>35.7619819641113</v>
      </c>
      <c r="B978" s="11">
        <v>27.3085174560546</v>
      </c>
      <c r="C978" s="11">
        <v>0.0</v>
      </c>
      <c r="D978" s="11" t="s">
        <v>1061</v>
      </c>
      <c r="E978" s="11">
        <v>0.0</v>
      </c>
      <c r="F978" s="11" t="s">
        <v>2648</v>
      </c>
    </row>
    <row r="979">
      <c r="A979" s="11">
        <v>-32.0548553466796</v>
      </c>
      <c r="B979" s="11">
        <v>34.3538780212402</v>
      </c>
      <c r="C979" s="11">
        <v>0.0</v>
      </c>
      <c r="D979" s="11" t="s">
        <v>1061</v>
      </c>
      <c r="E979" s="11">
        <v>0.0</v>
      </c>
      <c r="F979" s="11" t="s">
        <v>2649</v>
      </c>
    </row>
    <row r="980">
      <c r="A980" s="11">
        <v>15.4616556167602</v>
      </c>
      <c r="B980" s="11">
        <v>-27.1757583618164</v>
      </c>
      <c r="C980" s="11">
        <v>0.0</v>
      </c>
      <c r="D980" s="11" t="s">
        <v>1061</v>
      </c>
      <c r="E980" s="11">
        <v>0.0</v>
      </c>
      <c r="F980" s="11" t="s">
        <v>2650</v>
      </c>
    </row>
    <row r="981">
      <c r="A981" s="11">
        <v>13.6639356613159</v>
      </c>
      <c r="B981" s="11">
        <v>-25.2804241180419</v>
      </c>
      <c r="C981" s="11">
        <v>0.0</v>
      </c>
      <c r="D981" s="11" t="s">
        <v>1061</v>
      </c>
      <c r="E981" s="11">
        <v>0.0</v>
      </c>
      <c r="F981" s="11" t="s">
        <v>2651</v>
      </c>
    </row>
    <row r="982">
      <c r="A982" s="11">
        <v>14.8744421005249</v>
      </c>
      <c r="B982" s="11">
        <v>-44.9247703552246</v>
      </c>
      <c r="C982" s="11">
        <v>0.0</v>
      </c>
      <c r="D982" s="11" t="s">
        <v>1061</v>
      </c>
      <c r="E982" s="11">
        <v>0.0</v>
      </c>
      <c r="F982" s="11" t="s">
        <v>2652</v>
      </c>
    </row>
    <row r="983">
      <c r="A983" s="11">
        <v>-9.80675792694091</v>
      </c>
      <c r="B983" s="11">
        <v>1.56312835216522</v>
      </c>
      <c r="C983" s="11">
        <v>0.0</v>
      </c>
      <c r="D983" s="11" t="s">
        <v>1061</v>
      </c>
      <c r="E983" s="11">
        <v>0.0</v>
      </c>
      <c r="F983" s="11" t="s">
        <v>2653</v>
      </c>
    </row>
    <row r="984">
      <c r="A984" s="11">
        <v>26.8903121948242</v>
      </c>
      <c r="B984" s="11">
        <v>36.5435676574707</v>
      </c>
      <c r="C984" s="11">
        <v>2.0</v>
      </c>
      <c r="D984" s="11" t="s">
        <v>1061</v>
      </c>
      <c r="E984" s="11">
        <v>2.0</v>
      </c>
      <c r="F984" s="11" t="s">
        <v>2654</v>
      </c>
    </row>
    <row r="985">
      <c r="A985" s="11">
        <v>-62.449119567871</v>
      </c>
      <c r="B985" s="11">
        <v>37.3980903625488</v>
      </c>
      <c r="C985" s="11">
        <v>0.0</v>
      </c>
      <c r="D985" s="11" t="s">
        <v>1061</v>
      </c>
      <c r="E985" s="11">
        <v>0.0</v>
      </c>
      <c r="F985" s="11" t="s">
        <v>2655</v>
      </c>
    </row>
    <row r="986">
      <c r="A986" s="11">
        <v>-64.3106918334961</v>
      </c>
      <c r="B986" s="11">
        <v>25.8096256256103</v>
      </c>
      <c r="C986" s="11">
        <v>0.0</v>
      </c>
      <c r="D986" s="11" t="s">
        <v>1061</v>
      </c>
      <c r="E986" s="11">
        <v>0.0</v>
      </c>
      <c r="F986" s="11" t="s">
        <v>2656</v>
      </c>
    </row>
    <row r="987">
      <c r="A987" s="11">
        <v>-38.0004768371582</v>
      </c>
      <c r="B987" s="11">
        <v>6.51316881179809</v>
      </c>
      <c r="C987" s="11">
        <v>0.0</v>
      </c>
      <c r="D987" s="11" t="s">
        <v>1061</v>
      </c>
      <c r="E987" s="11">
        <v>0.0</v>
      </c>
      <c r="F987" s="11" t="s">
        <v>2657</v>
      </c>
    </row>
    <row r="988">
      <c r="A988" s="11">
        <v>-34.6016616821289</v>
      </c>
      <c r="B988" s="11">
        <v>8.32213592529296</v>
      </c>
      <c r="C988" s="11">
        <v>0.0</v>
      </c>
      <c r="D988" s="11" t="s">
        <v>1061</v>
      </c>
      <c r="E988" s="11">
        <v>0.0</v>
      </c>
      <c r="F988" s="11" t="s">
        <v>2658</v>
      </c>
    </row>
    <row r="989">
      <c r="A989" s="11">
        <v>30.252363204956</v>
      </c>
      <c r="B989" s="11">
        <v>-0.660483360290527</v>
      </c>
      <c r="C989" s="11">
        <v>-1.0</v>
      </c>
      <c r="D989" s="11" t="s">
        <v>1061</v>
      </c>
      <c r="E989" s="11">
        <v>-1.0</v>
      </c>
      <c r="F989" s="11" t="s">
        <v>2659</v>
      </c>
    </row>
    <row r="990">
      <c r="A990" s="11">
        <v>15.9715528488159</v>
      </c>
      <c r="B990" s="11">
        <v>-25.8498821258544</v>
      </c>
      <c r="C990" s="11">
        <v>0.0</v>
      </c>
      <c r="D990" s="11" t="s">
        <v>1061</v>
      </c>
      <c r="E990" s="11">
        <v>0.0</v>
      </c>
      <c r="F990" s="11" t="s">
        <v>2660</v>
      </c>
    </row>
    <row r="991">
      <c r="A991" s="11">
        <v>90.6647338867187</v>
      </c>
      <c r="B991" s="11">
        <v>11.133936882019</v>
      </c>
      <c r="C991" s="11">
        <v>2.0</v>
      </c>
      <c r="D991" s="11" t="s">
        <v>1061</v>
      </c>
      <c r="E991" s="11">
        <v>2.0</v>
      </c>
      <c r="F991" s="11" t="s">
        <v>2661</v>
      </c>
    </row>
    <row r="992">
      <c r="A992" s="11">
        <v>15.4616556167602</v>
      </c>
      <c r="B992" s="11">
        <v>-27.1757583618164</v>
      </c>
      <c r="C992" s="11">
        <v>0.0</v>
      </c>
      <c r="D992" s="11" t="s">
        <v>1061</v>
      </c>
      <c r="E992" s="11">
        <v>0.0</v>
      </c>
      <c r="F992" s="11" t="s">
        <v>2662</v>
      </c>
    </row>
    <row r="993">
      <c r="A993" s="11">
        <v>13.8081455230712</v>
      </c>
      <c r="B993" s="11">
        <v>-45.2903594970703</v>
      </c>
      <c r="C993" s="11">
        <v>0.0</v>
      </c>
      <c r="D993" s="11" t="s">
        <v>1061</v>
      </c>
      <c r="E993" s="11">
        <v>0.0</v>
      </c>
      <c r="F993" s="11" t="s">
        <v>2663</v>
      </c>
    </row>
    <row r="994">
      <c r="A994" s="11">
        <v>19.6998825073242</v>
      </c>
      <c r="B994" s="11">
        <v>2.65952086448669</v>
      </c>
      <c r="C994" s="11">
        <v>-1.0</v>
      </c>
      <c r="D994" s="11" t="s">
        <v>1061</v>
      </c>
      <c r="E994" s="11">
        <v>-1.0</v>
      </c>
      <c r="F994" s="11" t="s">
        <v>2664</v>
      </c>
    </row>
    <row r="995">
      <c r="A995" s="11">
        <v>-32.0548553466796</v>
      </c>
      <c r="B995" s="11">
        <v>34.3538780212402</v>
      </c>
      <c r="C995" s="11">
        <v>0.0</v>
      </c>
      <c r="D995" s="11" t="s">
        <v>1061</v>
      </c>
      <c r="E995" s="11">
        <v>0.0</v>
      </c>
      <c r="F995" s="11" t="s">
        <v>2665</v>
      </c>
    </row>
    <row r="996">
      <c r="A996" s="11">
        <v>-63.9233131408691</v>
      </c>
      <c r="B996" s="11">
        <v>24.271800994873</v>
      </c>
      <c r="C996" s="11">
        <v>0.0</v>
      </c>
      <c r="D996" s="11" t="s">
        <v>1061</v>
      </c>
      <c r="E996" s="11">
        <v>0.0</v>
      </c>
      <c r="F996" s="11" t="s">
        <v>2666</v>
      </c>
    </row>
    <row r="997">
      <c r="A997" s="11">
        <v>-32.0548553466796</v>
      </c>
      <c r="B997" s="11">
        <v>34.3538780212402</v>
      </c>
      <c r="C997" s="11">
        <v>0.0</v>
      </c>
      <c r="D997" s="11" t="s">
        <v>1061</v>
      </c>
      <c r="E997" s="11">
        <v>0.0</v>
      </c>
      <c r="F997" s="11" t="s">
        <v>2667</v>
      </c>
    </row>
    <row r="998">
      <c r="A998" s="11">
        <v>4.01119661331176</v>
      </c>
      <c r="B998" s="11">
        <v>32.9299392700195</v>
      </c>
      <c r="C998" s="11">
        <v>0.0</v>
      </c>
      <c r="D998" s="11" t="s">
        <v>1061</v>
      </c>
      <c r="E998" s="11">
        <v>0.0</v>
      </c>
      <c r="F998" s="11" t="s">
        <v>2668</v>
      </c>
    </row>
    <row r="999">
      <c r="A999" s="11">
        <v>-6.49283456802368</v>
      </c>
      <c r="B999" s="11">
        <v>-1.22745621204376</v>
      </c>
      <c r="C999" s="11">
        <v>0.0</v>
      </c>
      <c r="D999" s="11" t="s">
        <v>1061</v>
      </c>
      <c r="E999" s="11">
        <v>0.0</v>
      </c>
      <c r="F999" s="11" t="s">
        <v>2669</v>
      </c>
    </row>
    <row r="1000">
      <c r="A1000" s="11">
        <v>-64.3106918334961</v>
      </c>
      <c r="B1000" s="11">
        <v>25.8096256256103</v>
      </c>
      <c r="C1000" s="11">
        <v>0.0</v>
      </c>
      <c r="D1000" s="11" t="s">
        <v>1061</v>
      </c>
      <c r="E1000" s="11">
        <v>0.0</v>
      </c>
      <c r="F1000" s="11" t="s">
        <v>2670</v>
      </c>
    </row>
    <row r="1001">
      <c r="A1001" s="11">
        <v>-1.3262048959732</v>
      </c>
      <c r="B1001" s="11">
        <v>-7.3464331626892</v>
      </c>
      <c r="C1001" s="11">
        <v>1.0</v>
      </c>
      <c r="D1001" s="11" t="s">
        <v>1061</v>
      </c>
      <c r="E1001" s="11">
        <v>1.0</v>
      </c>
      <c r="F1001" s="11" t="s">
        <v>2671</v>
      </c>
    </row>
    <row r="1002">
      <c r="A1002" s="11">
        <v>-62.1889305114746</v>
      </c>
      <c r="B1002" s="11">
        <v>38.7238121032714</v>
      </c>
      <c r="C1002" s="11">
        <v>0.0</v>
      </c>
      <c r="D1002" s="11" t="s">
        <v>1061</v>
      </c>
      <c r="E1002" s="11">
        <v>0.0</v>
      </c>
      <c r="F1002" s="11" t="s">
        <v>2672</v>
      </c>
    </row>
    <row r="1003">
      <c r="A1003" s="11">
        <v>35.7619819641113</v>
      </c>
      <c r="B1003" s="11">
        <v>27.3085174560546</v>
      </c>
      <c r="C1003" s="11">
        <v>0.0</v>
      </c>
      <c r="D1003" s="11" t="s">
        <v>1061</v>
      </c>
      <c r="E1003" s="11">
        <v>0.0</v>
      </c>
      <c r="F1003" s="11" t="s">
        <v>2673</v>
      </c>
    </row>
    <row r="1004">
      <c r="A1004" s="11">
        <v>-30.5607070922851</v>
      </c>
      <c r="B1004" s="11">
        <v>34.1109352111816</v>
      </c>
      <c r="C1004" s="11">
        <v>0.0</v>
      </c>
      <c r="D1004" s="11" t="s">
        <v>1061</v>
      </c>
      <c r="E1004" s="11">
        <v>0.0</v>
      </c>
      <c r="F1004" s="11" t="s">
        <v>2674</v>
      </c>
    </row>
    <row r="1005">
      <c r="A1005" s="11">
        <v>11.3248147964477</v>
      </c>
      <c r="B1005" s="11">
        <v>-67.6583938598632</v>
      </c>
      <c r="C1005" s="11">
        <v>0.0</v>
      </c>
      <c r="D1005" s="11" t="s">
        <v>1061</v>
      </c>
      <c r="E1005" s="11">
        <v>0.0</v>
      </c>
      <c r="F1005" s="11" t="s">
        <v>2675</v>
      </c>
    </row>
    <row r="1006">
      <c r="A1006" s="11">
        <v>15.4616556167602</v>
      </c>
      <c r="B1006" s="11">
        <v>-27.1757583618164</v>
      </c>
      <c r="C1006" s="11">
        <v>0.0</v>
      </c>
      <c r="D1006" s="11" t="s">
        <v>1061</v>
      </c>
      <c r="E1006" s="11">
        <v>0.0</v>
      </c>
      <c r="F1006" s="11" t="s">
        <v>2676</v>
      </c>
    </row>
    <row r="1007">
      <c r="A1007" s="11">
        <v>-62.1889305114746</v>
      </c>
      <c r="B1007" s="11">
        <v>38.7238121032714</v>
      </c>
      <c r="C1007" s="11">
        <v>0.0</v>
      </c>
      <c r="D1007" s="11" t="s">
        <v>1061</v>
      </c>
      <c r="E1007" s="11">
        <v>0.0</v>
      </c>
      <c r="F1007" s="11" t="s">
        <v>2677</v>
      </c>
    </row>
    <row r="1008">
      <c r="A1008" s="11">
        <v>45.6167030334472</v>
      </c>
      <c r="B1008" s="11">
        <v>9.86140823364257</v>
      </c>
      <c r="C1008" s="11">
        <v>-1.0</v>
      </c>
      <c r="D1008" s="11" t="s">
        <v>1061</v>
      </c>
      <c r="E1008" s="11">
        <v>-1.0</v>
      </c>
      <c r="F1008" s="11" t="s">
        <v>2678</v>
      </c>
    </row>
    <row r="1009">
      <c r="A1009" s="11">
        <v>46.1213035583496</v>
      </c>
      <c r="B1009" s="11">
        <v>-0.183051347732543</v>
      </c>
      <c r="C1009" s="11">
        <v>2.0</v>
      </c>
      <c r="D1009" s="11" t="s">
        <v>1061</v>
      </c>
      <c r="E1009" s="11">
        <v>2.0</v>
      </c>
      <c r="F1009" s="11" t="s">
        <v>2679</v>
      </c>
    </row>
    <row r="1010">
      <c r="A1010" s="11">
        <v>-26.7820281982421</v>
      </c>
      <c r="B1010" s="11">
        <v>25.46923828125</v>
      </c>
      <c r="C1010" s="11">
        <v>0.0</v>
      </c>
      <c r="D1010" s="11" t="s">
        <v>1061</v>
      </c>
      <c r="E1010" s="11">
        <v>0.0</v>
      </c>
      <c r="F1010" s="11" t="s">
        <v>2680</v>
      </c>
    </row>
    <row r="1011">
      <c r="A1011" s="11">
        <v>46.3938217163085</v>
      </c>
      <c r="B1011" s="11">
        <v>14.2049531936645</v>
      </c>
      <c r="C1011" s="11">
        <v>2.0</v>
      </c>
      <c r="D1011" s="11" t="s">
        <v>1061</v>
      </c>
      <c r="E1011" s="11">
        <v>2.0</v>
      </c>
      <c r="F1011" s="11" t="s">
        <v>2681</v>
      </c>
    </row>
    <row r="1012">
      <c r="A1012" s="11">
        <v>-31.5485877990722</v>
      </c>
      <c r="B1012" s="11">
        <v>32.9681930541992</v>
      </c>
      <c r="C1012" s="11">
        <v>0.0</v>
      </c>
      <c r="D1012" s="11" t="s">
        <v>1061</v>
      </c>
      <c r="E1012" s="11">
        <v>0.0</v>
      </c>
      <c r="F1012" s="11" t="s">
        <v>2682</v>
      </c>
    </row>
    <row r="1013">
      <c r="A1013" s="11">
        <v>-42.8644180297851</v>
      </c>
      <c r="B1013" s="11">
        <v>36.2784690856933</v>
      </c>
      <c r="C1013" s="11">
        <v>-1.0</v>
      </c>
      <c r="D1013" s="11" t="s">
        <v>1061</v>
      </c>
      <c r="E1013" s="11">
        <v>-1.0</v>
      </c>
      <c r="F1013" s="11" t="s">
        <v>2683</v>
      </c>
    </row>
    <row r="1014">
      <c r="A1014" s="11">
        <v>-65.1041030883789</v>
      </c>
      <c r="B1014" s="11">
        <v>23.8476886749267</v>
      </c>
      <c r="C1014" s="11">
        <v>0.0</v>
      </c>
      <c r="D1014" s="11" t="s">
        <v>1061</v>
      </c>
      <c r="E1014" s="11">
        <v>0.0</v>
      </c>
      <c r="F1014" s="11" t="s">
        <v>2684</v>
      </c>
    </row>
    <row r="1015">
      <c r="A1015" s="11">
        <v>-20.7719898223876</v>
      </c>
      <c r="B1015" s="11">
        <v>-13.101577758789</v>
      </c>
      <c r="C1015" s="11">
        <v>0.0</v>
      </c>
      <c r="D1015" s="11" t="s">
        <v>1515</v>
      </c>
      <c r="E1015" s="11">
        <v>0.0</v>
      </c>
      <c r="F1015" s="11" t="s">
        <v>2685</v>
      </c>
    </row>
    <row r="1016">
      <c r="A1016" s="11">
        <v>-22.8750076293945</v>
      </c>
      <c r="B1016" s="11">
        <v>-1.90056383609771</v>
      </c>
      <c r="C1016" s="11">
        <v>1.0</v>
      </c>
      <c r="D1016" s="11" t="s">
        <v>1515</v>
      </c>
      <c r="E1016" s="11">
        <v>1.0</v>
      </c>
      <c r="F1016" s="11" t="s">
        <v>2686</v>
      </c>
    </row>
    <row r="1017">
      <c r="A1017" s="11">
        <v>72.9242935180664</v>
      </c>
      <c r="B1017" s="11">
        <v>-1.2894434928894</v>
      </c>
      <c r="C1017" s="11">
        <v>2.0</v>
      </c>
      <c r="D1017" s="11" t="s">
        <v>1515</v>
      </c>
      <c r="E1017" s="11">
        <v>2.0</v>
      </c>
      <c r="F1017" s="11" t="s">
        <v>2687</v>
      </c>
    </row>
    <row r="1018">
      <c r="A1018" s="11">
        <v>19.6821098327636</v>
      </c>
      <c r="B1018" s="11">
        <v>-3.3422622680664</v>
      </c>
      <c r="C1018" s="11">
        <v>0.0</v>
      </c>
      <c r="D1018" s="11" t="s">
        <v>1515</v>
      </c>
      <c r="E1018" s="11">
        <v>0.0</v>
      </c>
      <c r="F1018" s="11" t="s">
        <v>2688</v>
      </c>
    </row>
    <row r="1019">
      <c r="A1019" s="11">
        <v>-21.9201717376709</v>
      </c>
      <c r="B1019" s="11">
        <v>-1.66822695732116</v>
      </c>
      <c r="C1019" s="11">
        <v>1.0</v>
      </c>
      <c r="D1019" s="11" t="s">
        <v>1515</v>
      </c>
      <c r="E1019" s="11">
        <v>1.0</v>
      </c>
      <c r="F1019" s="11" t="s">
        <v>2689</v>
      </c>
    </row>
    <row r="1020">
      <c r="A1020" s="11">
        <v>-21.7000312805175</v>
      </c>
      <c r="B1020" s="11">
        <v>-2.63577079772949</v>
      </c>
      <c r="C1020" s="11">
        <v>1.0</v>
      </c>
      <c r="D1020" s="11" t="s">
        <v>1515</v>
      </c>
      <c r="E1020" s="11">
        <v>1.0</v>
      </c>
      <c r="F1020" s="11" t="s">
        <v>2690</v>
      </c>
    </row>
    <row r="1021">
      <c r="A1021" s="11">
        <v>48.4964256286621</v>
      </c>
      <c r="B1021" s="11">
        <v>11.8649806976318</v>
      </c>
      <c r="C1021" s="11">
        <v>0.0</v>
      </c>
      <c r="D1021" s="11" t="s">
        <v>1515</v>
      </c>
      <c r="E1021" s="11">
        <v>0.0</v>
      </c>
      <c r="F1021" s="11" t="s">
        <v>2691</v>
      </c>
    </row>
    <row r="1022">
      <c r="A1022" s="11">
        <v>-27.6646194458007</v>
      </c>
      <c r="B1022" s="11">
        <v>-23.2536392211914</v>
      </c>
      <c r="C1022" s="11">
        <v>0.0</v>
      </c>
      <c r="D1022" s="11" t="s">
        <v>1515</v>
      </c>
      <c r="E1022" s="11">
        <v>0.0</v>
      </c>
      <c r="F1022" s="11" t="s">
        <v>2692</v>
      </c>
    </row>
    <row r="1023">
      <c r="A1023" s="11">
        <v>-20.4916648864746</v>
      </c>
      <c r="B1023" s="11">
        <v>-46.9870109558105</v>
      </c>
      <c r="C1023" s="11">
        <v>0.0</v>
      </c>
      <c r="D1023" s="11" t="s">
        <v>1515</v>
      </c>
      <c r="E1023" s="11">
        <v>0.0</v>
      </c>
      <c r="F1023" s="11" t="s">
        <v>2693</v>
      </c>
    </row>
    <row r="1024">
      <c r="A1024" s="11">
        <v>-21.3108310699462</v>
      </c>
      <c r="B1024" s="11">
        <v>-47.7484321594238</v>
      </c>
      <c r="C1024" s="11">
        <v>0.0</v>
      </c>
      <c r="D1024" s="11" t="s">
        <v>1515</v>
      </c>
      <c r="E1024" s="11">
        <v>0.0</v>
      </c>
      <c r="F1024" s="11" t="s">
        <v>2694</v>
      </c>
    </row>
    <row r="1025">
      <c r="A1025" s="11">
        <v>-5.973641872406</v>
      </c>
      <c r="B1025" s="11">
        <v>-50.4630432128906</v>
      </c>
      <c r="C1025" s="11">
        <v>0.0</v>
      </c>
      <c r="D1025" s="11" t="s">
        <v>1515</v>
      </c>
      <c r="E1025" s="11">
        <v>0.0</v>
      </c>
      <c r="F1025" s="11" t="s">
        <v>2695</v>
      </c>
    </row>
    <row r="1026">
      <c r="A1026" s="11">
        <v>50.9028053283691</v>
      </c>
      <c r="B1026" s="11">
        <v>10.9029073715209</v>
      </c>
      <c r="C1026" s="11">
        <v>0.0</v>
      </c>
      <c r="D1026" s="11" t="s">
        <v>1515</v>
      </c>
      <c r="E1026" s="11">
        <v>0.0</v>
      </c>
      <c r="F1026" s="11" t="s">
        <v>2696</v>
      </c>
    </row>
    <row r="1027">
      <c r="A1027" s="11">
        <v>74.7104263305664</v>
      </c>
      <c r="B1027" s="11">
        <v>0.636399447917938</v>
      </c>
      <c r="C1027" s="11">
        <v>2.0</v>
      </c>
      <c r="D1027" s="11" t="s">
        <v>1515</v>
      </c>
      <c r="E1027" s="11">
        <v>2.0</v>
      </c>
      <c r="F1027" s="11" t="s">
        <v>2697</v>
      </c>
    </row>
    <row r="1028">
      <c r="A1028" s="11">
        <v>-10.2214946746826</v>
      </c>
      <c r="B1028" s="11">
        <v>24.9988746643066</v>
      </c>
      <c r="C1028" s="11">
        <v>-1.0</v>
      </c>
      <c r="D1028" s="11" t="s">
        <v>1515</v>
      </c>
      <c r="E1028" s="11">
        <v>-1.0</v>
      </c>
      <c r="F1028" s="11" t="s">
        <v>2698</v>
      </c>
    </row>
    <row r="1029">
      <c r="A1029" s="11">
        <v>-15.8517360687255</v>
      </c>
      <c r="B1029" s="11">
        <v>-42.4047393798828</v>
      </c>
      <c r="C1029" s="11">
        <v>0.0</v>
      </c>
      <c r="D1029" s="11" t="s">
        <v>1515</v>
      </c>
      <c r="E1029" s="11">
        <v>0.0</v>
      </c>
      <c r="F1029" s="11" t="s">
        <v>2699</v>
      </c>
    </row>
    <row r="1030">
      <c r="A1030" s="11">
        <v>14.7885818481445</v>
      </c>
      <c r="B1030" s="11">
        <v>-4.87111282348632</v>
      </c>
      <c r="C1030" s="11">
        <v>0.0</v>
      </c>
      <c r="D1030" s="11" t="s">
        <v>1515</v>
      </c>
      <c r="E1030" s="11">
        <v>0.0</v>
      </c>
      <c r="F1030" s="11" t="s">
        <v>2700</v>
      </c>
    </row>
    <row r="1031">
      <c r="A1031" s="11">
        <v>-5.16791629791259</v>
      </c>
      <c r="B1031" s="11">
        <v>-49.4764289855957</v>
      </c>
      <c r="C1031" s="11">
        <v>0.0</v>
      </c>
      <c r="D1031" s="11" t="s">
        <v>1515</v>
      </c>
      <c r="E1031" s="11">
        <v>0.0</v>
      </c>
      <c r="F1031" s="11" t="s">
        <v>2701</v>
      </c>
    </row>
    <row r="1032">
      <c r="A1032" s="11">
        <v>75.4374237060546</v>
      </c>
      <c r="B1032" s="11">
        <v>-4.14136314392089</v>
      </c>
      <c r="C1032" s="11">
        <v>2.0</v>
      </c>
      <c r="D1032" s="11" t="s">
        <v>1515</v>
      </c>
      <c r="E1032" s="11">
        <v>2.0</v>
      </c>
      <c r="F1032" s="11" t="s">
        <v>2702</v>
      </c>
    </row>
    <row r="1033">
      <c r="A1033" s="11">
        <v>-4.36310911178588</v>
      </c>
      <c r="B1033" s="11">
        <v>-50.3039779663085</v>
      </c>
      <c r="C1033" s="11">
        <v>0.0</v>
      </c>
      <c r="D1033" s="11" t="s">
        <v>1515</v>
      </c>
      <c r="E1033" s="11">
        <v>0.0</v>
      </c>
      <c r="F1033" s="11" t="s">
        <v>2703</v>
      </c>
    </row>
    <row r="1034">
      <c r="A1034" s="11">
        <v>19.7026462554931</v>
      </c>
      <c r="B1034" s="11">
        <v>30.4147224426269</v>
      </c>
      <c r="C1034" s="11">
        <v>2.0</v>
      </c>
      <c r="D1034" s="11" t="s">
        <v>1515</v>
      </c>
      <c r="E1034" s="11">
        <v>2.0</v>
      </c>
      <c r="F1034" s="11" t="s">
        <v>2704</v>
      </c>
    </row>
    <row r="1035">
      <c r="A1035" s="11">
        <v>53.1385078430175</v>
      </c>
      <c r="B1035" s="11">
        <v>10.212776184082</v>
      </c>
      <c r="C1035" s="11">
        <v>0.0</v>
      </c>
      <c r="D1035" s="11" t="s">
        <v>1515</v>
      </c>
      <c r="E1035" s="11">
        <v>0.0</v>
      </c>
      <c r="F1035" s="11" t="s">
        <v>2705</v>
      </c>
    </row>
    <row r="1036">
      <c r="A1036" s="11">
        <v>-16.1115837097167</v>
      </c>
      <c r="B1036" s="11">
        <v>-43.645896911621</v>
      </c>
      <c r="C1036" s="11">
        <v>0.0</v>
      </c>
      <c r="D1036" s="11" t="s">
        <v>1515</v>
      </c>
      <c r="E1036" s="11">
        <v>0.0</v>
      </c>
      <c r="F1036" s="11" t="s">
        <v>2706</v>
      </c>
    </row>
    <row r="1037">
      <c r="A1037" s="11">
        <v>-4.61506986618042</v>
      </c>
      <c r="B1037" s="11">
        <v>-51.3413505554199</v>
      </c>
      <c r="C1037" s="11">
        <v>0.0</v>
      </c>
      <c r="D1037" s="11" t="s">
        <v>1515</v>
      </c>
      <c r="E1037" s="11">
        <v>0.0</v>
      </c>
      <c r="F1037" s="11" t="s">
        <v>2707</v>
      </c>
    </row>
    <row r="1038">
      <c r="A1038" s="11">
        <v>53.0739250183105</v>
      </c>
      <c r="B1038" s="11">
        <v>11.6731262207031</v>
      </c>
      <c r="C1038" s="11">
        <v>0.0</v>
      </c>
      <c r="D1038" s="11" t="s">
        <v>1515</v>
      </c>
      <c r="E1038" s="11">
        <v>0.0</v>
      </c>
      <c r="F1038" s="11" t="s">
        <v>2708</v>
      </c>
    </row>
    <row r="1039">
      <c r="A1039" s="11">
        <v>14.7810564041137</v>
      </c>
      <c r="B1039" s="11">
        <v>-4.82974290847778</v>
      </c>
      <c r="C1039" s="11">
        <v>0.0</v>
      </c>
      <c r="D1039" s="11" t="s">
        <v>1515</v>
      </c>
      <c r="E1039" s="11">
        <v>0.0</v>
      </c>
      <c r="F1039" s="11" t="s">
        <v>2709</v>
      </c>
    </row>
    <row r="1040">
      <c r="A1040" s="11">
        <v>-19.4066524505615</v>
      </c>
      <c r="B1040" s="11">
        <v>-10.923318862915</v>
      </c>
      <c r="C1040" s="11">
        <v>0.0</v>
      </c>
      <c r="D1040" s="11" t="s">
        <v>1515</v>
      </c>
      <c r="E1040" s="11">
        <v>0.0</v>
      </c>
      <c r="F1040" s="11" t="s">
        <v>2710</v>
      </c>
    </row>
    <row r="1041">
      <c r="A1041" s="11">
        <v>-15.8517360687255</v>
      </c>
      <c r="B1041" s="11">
        <v>-42.4047393798828</v>
      </c>
      <c r="C1041" s="11">
        <v>0.0</v>
      </c>
      <c r="D1041" s="11" t="s">
        <v>1515</v>
      </c>
      <c r="E1041" s="11">
        <v>0.0</v>
      </c>
      <c r="F1041" s="11" t="s">
        <v>2711</v>
      </c>
    </row>
    <row r="1042">
      <c r="A1042" s="11">
        <v>18.0454730987548</v>
      </c>
      <c r="B1042" s="11">
        <v>25.1419582366943</v>
      </c>
      <c r="C1042" s="11">
        <v>0.0</v>
      </c>
      <c r="D1042" s="11" t="s">
        <v>1515</v>
      </c>
      <c r="E1042" s="11">
        <v>0.0</v>
      </c>
      <c r="F1042" s="11" t="s">
        <v>2712</v>
      </c>
    </row>
    <row r="1043">
      <c r="A1043" s="11">
        <v>-78.817886352539</v>
      </c>
      <c r="B1043" s="11">
        <v>-9.30661296844482</v>
      </c>
      <c r="C1043" s="11">
        <v>0.0</v>
      </c>
      <c r="D1043" s="11" t="s">
        <v>1515</v>
      </c>
      <c r="E1043" s="11">
        <v>0.0</v>
      </c>
      <c r="F1043" s="11" t="s">
        <v>2713</v>
      </c>
    </row>
    <row r="1044">
      <c r="A1044" s="11">
        <v>-17.3526248931884</v>
      </c>
      <c r="B1044" s="11">
        <v>-42.1288871765136</v>
      </c>
      <c r="C1044" s="11">
        <v>0.0</v>
      </c>
      <c r="D1044" s="11" t="s">
        <v>1515</v>
      </c>
      <c r="E1044" s="11">
        <v>0.0</v>
      </c>
      <c r="F1044" s="11" t="s">
        <v>2714</v>
      </c>
    </row>
    <row r="1045">
      <c r="A1045" s="11">
        <v>-17.1825084686279</v>
      </c>
      <c r="B1045" s="11">
        <v>-43.200828552246</v>
      </c>
      <c r="C1045" s="11">
        <v>0.0</v>
      </c>
      <c r="D1045" s="11" t="s">
        <v>1515</v>
      </c>
      <c r="E1045" s="11">
        <v>0.0</v>
      </c>
      <c r="F1045" s="11" t="s">
        <v>2715</v>
      </c>
    </row>
    <row r="1046">
      <c r="A1046" s="11">
        <v>-22.6658382415771</v>
      </c>
      <c r="B1046" s="11">
        <v>-2.88636565208435</v>
      </c>
      <c r="C1046" s="11">
        <v>1.0</v>
      </c>
      <c r="D1046" s="11" t="s">
        <v>1515</v>
      </c>
      <c r="E1046" s="11">
        <v>1.0</v>
      </c>
      <c r="F1046" s="11" t="s">
        <v>2716</v>
      </c>
    </row>
    <row r="1047">
      <c r="A1047" s="11">
        <v>3.62035584449768</v>
      </c>
      <c r="B1047" s="11">
        <v>-30.6883144378662</v>
      </c>
      <c r="C1047" s="11">
        <v>0.0</v>
      </c>
      <c r="D1047" s="11" t="s">
        <v>1515</v>
      </c>
      <c r="E1047" s="11">
        <v>0.0</v>
      </c>
      <c r="F1047" s="11" t="s">
        <v>2717</v>
      </c>
    </row>
    <row r="1048">
      <c r="A1048" s="11">
        <v>-5.973641872406</v>
      </c>
      <c r="B1048" s="11">
        <v>-50.4630432128906</v>
      </c>
      <c r="C1048" s="11">
        <v>0.0</v>
      </c>
      <c r="D1048" s="11" t="s">
        <v>1515</v>
      </c>
      <c r="E1048" s="11">
        <v>0.0</v>
      </c>
      <c r="F1048" s="11" t="s">
        <v>2718</v>
      </c>
    </row>
    <row r="1049">
      <c r="A1049" s="11">
        <v>3.2707359790802</v>
      </c>
      <c r="B1049" s="11">
        <v>-29.4090633392334</v>
      </c>
      <c r="C1049" s="11">
        <v>0.0</v>
      </c>
      <c r="D1049" s="11" t="s">
        <v>1515</v>
      </c>
      <c r="E1049" s="11">
        <v>0.0</v>
      </c>
      <c r="F1049" s="11" t="s">
        <v>2719</v>
      </c>
    </row>
    <row r="1050">
      <c r="A1050" s="11">
        <v>-7.14612865447998</v>
      </c>
      <c r="B1050" s="11">
        <v>-32.3826141357421</v>
      </c>
      <c r="C1050" s="11">
        <v>0.0</v>
      </c>
      <c r="D1050" s="11" t="s">
        <v>1515</v>
      </c>
      <c r="E1050" s="11">
        <v>0.0</v>
      </c>
      <c r="F1050" s="11" t="s">
        <v>2720</v>
      </c>
    </row>
    <row r="1051">
      <c r="A1051" s="11">
        <v>-77.2872848510742</v>
      </c>
      <c r="B1051" s="11">
        <v>-11.0154075622558</v>
      </c>
      <c r="C1051" s="11">
        <v>0.0</v>
      </c>
      <c r="D1051" s="11" t="s">
        <v>1515</v>
      </c>
      <c r="E1051" s="11">
        <v>0.0</v>
      </c>
      <c r="F1051" s="11" t="s">
        <v>2721</v>
      </c>
    </row>
    <row r="1052">
      <c r="A1052" s="11">
        <v>26.6393432617187</v>
      </c>
      <c r="B1052" s="11">
        <v>0.637530028820037</v>
      </c>
      <c r="C1052" s="11">
        <v>0.0</v>
      </c>
      <c r="D1052" s="11" t="s">
        <v>1515</v>
      </c>
      <c r="E1052" s="11">
        <v>0.0</v>
      </c>
      <c r="F1052" s="11" t="s">
        <v>2722</v>
      </c>
    </row>
    <row r="1053">
      <c r="A1053" s="11">
        <v>-5.71709442138671</v>
      </c>
      <c r="B1053" s="11">
        <v>-51.7198257446289</v>
      </c>
      <c r="C1053" s="11">
        <v>0.0</v>
      </c>
      <c r="D1053" s="11" t="s">
        <v>1515</v>
      </c>
      <c r="E1053" s="11">
        <v>0.0</v>
      </c>
      <c r="F1053" s="11" t="s">
        <v>2723</v>
      </c>
    </row>
    <row r="1054">
      <c r="A1054" s="11">
        <v>-38.626350402832</v>
      </c>
      <c r="B1054" s="11">
        <v>-25.8978042602539</v>
      </c>
      <c r="C1054" s="11">
        <v>0.0</v>
      </c>
      <c r="D1054" s="11" t="s">
        <v>1515</v>
      </c>
      <c r="E1054" s="11">
        <v>0.0</v>
      </c>
      <c r="F1054" s="11" t="s">
        <v>2724</v>
      </c>
    </row>
    <row r="1055">
      <c r="A1055" s="11">
        <v>-16.5277709960937</v>
      </c>
      <c r="B1055" s="11">
        <v>-41.3333892822265</v>
      </c>
      <c r="C1055" s="11">
        <v>0.0</v>
      </c>
      <c r="D1055" s="11" t="s">
        <v>1515</v>
      </c>
      <c r="E1055" s="11">
        <v>0.0</v>
      </c>
      <c r="F1055" s="11" t="s">
        <v>2725</v>
      </c>
    </row>
    <row r="1056">
      <c r="A1056" s="11">
        <v>76.8622894287109</v>
      </c>
      <c r="B1056" s="11">
        <v>-1.66320133209228</v>
      </c>
      <c r="C1056" s="11">
        <v>2.0</v>
      </c>
      <c r="D1056" s="11" t="s">
        <v>1515</v>
      </c>
      <c r="E1056" s="11">
        <v>2.0</v>
      </c>
      <c r="F1056" s="11" t="s">
        <v>2726</v>
      </c>
    </row>
    <row r="1057">
      <c r="A1057" s="11">
        <v>19.2922840118408</v>
      </c>
      <c r="B1057" s="11">
        <v>36.5422477722168</v>
      </c>
      <c r="C1057" s="11">
        <v>2.0</v>
      </c>
      <c r="D1057" s="11" t="s">
        <v>1515</v>
      </c>
      <c r="E1057" s="11">
        <v>2.0</v>
      </c>
      <c r="F1057" s="11" t="s">
        <v>2727</v>
      </c>
    </row>
    <row r="1058">
      <c r="A1058" s="11">
        <v>3.2707359790802</v>
      </c>
      <c r="B1058" s="11">
        <v>-29.4090633392334</v>
      </c>
      <c r="C1058" s="11">
        <v>0.0</v>
      </c>
      <c r="D1058" s="11" t="s">
        <v>1515</v>
      </c>
      <c r="E1058" s="11">
        <v>0.0</v>
      </c>
      <c r="F1058" s="11" t="s">
        <v>2728</v>
      </c>
    </row>
    <row r="1059">
      <c r="A1059" s="11">
        <v>-15.5916061401367</v>
      </c>
      <c r="B1059" s="11">
        <v>-7.30539846420288</v>
      </c>
      <c r="C1059" s="11">
        <v>0.0</v>
      </c>
      <c r="D1059" s="11" t="s">
        <v>1515</v>
      </c>
      <c r="E1059" s="11">
        <v>0.0</v>
      </c>
      <c r="F1059" s="11" t="s">
        <v>2729</v>
      </c>
    </row>
    <row r="1060">
      <c r="A1060" s="11">
        <v>54.2626190185546</v>
      </c>
      <c r="B1060" s="11">
        <v>-17.3650512695312</v>
      </c>
      <c r="C1060" s="11">
        <v>2.0</v>
      </c>
      <c r="D1060" s="11" t="s">
        <v>1515</v>
      </c>
      <c r="E1060" s="11">
        <v>2.0</v>
      </c>
      <c r="F1060" s="11" t="s">
        <v>2730</v>
      </c>
    </row>
    <row r="1061">
      <c r="A1061" s="11">
        <v>52.4011535644531</v>
      </c>
      <c r="B1061" s="11">
        <v>12.7967061996459</v>
      </c>
      <c r="C1061" s="11">
        <v>0.0</v>
      </c>
      <c r="D1061" s="11" t="s">
        <v>1515</v>
      </c>
      <c r="E1061" s="11">
        <v>0.0</v>
      </c>
      <c r="F1061" s="11" t="s">
        <v>2731</v>
      </c>
    </row>
    <row r="1062">
      <c r="A1062" s="11">
        <v>60.3181533813476</v>
      </c>
      <c r="B1062" s="11">
        <v>39.5548477172851</v>
      </c>
      <c r="C1062" s="11">
        <v>-2.0</v>
      </c>
      <c r="D1062" s="11" t="s">
        <v>2524</v>
      </c>
      <c r="E1062" s="11">
        <v>-2.0</v>
      </c>
      <c r="F1062" s="11" t="s">
        <v>2732</v>
      </c>
    </row>
    <row r="1063">
      <c r="A1063" s="11">
        <v>53.2115478515625</v>
      </c>
      <c r="B1063" s="11">
        <v>25.8054962158203</v>
      </c>
      <c r="C1063" s="11">
        <v>-2.0</v>
      </c>
      <c r="D1063" s="11" t="s">
        <v>2524</v>
      </c>
      <c r="E1063" s="11">
        <v>-2.0</v>
      </c>
      <c r="F1063" s="11" t="s">
        <v>2733</v>
      </c>
    </row>
    <row r="1064">
      <c r="A1064" s="11">
        <v>52.8303756713867</v>
      </c>
      <c r="B1064" s="11">
        <v>33.9869537353515</v>
      </c>
      <c r="C1064" s="11">
        <v>1.0</v>
      </c>
      <c r="D1064" s="11" t="s">
        <v>2524</v>
      </c>
      <c r="E1064" s="11">
        <v>1.0</v>
      </c>
      <c r="F1064" s="11" t="s">
        <v>2734</v>
      </c>
    </row>
    <row r="1065">
      <c r="A1065" s="11">
        <v>45.1144332885742</v>
      </c>
      <c r="B1065" s="11">
        <v>22.1211643218994</v>
      </c>
      <c r="C1065" s="11">
        <v>-1.0</v>
      </c>
      <c r="D1065" s="11" t="s">
        <v>2524</v>
      </c>
      <c r="E1065" s="11">
        <v>-1.0</v>
      </c>
      <c r="F1065" s="11" t="s">
        <v>2735</v>
      </c>
    </row>
    <row r="1066">
      <c r="A1066" s="11">
        <v>-3.34000039100646</v>
      </c>
      <c r="B1066" s="11">
        <v>-16.0215492248535</v>
      </c>
      <c r="C1066" s="11">
        <v>0.0</v>
      </c>
      <c r="D1066" s="11" t="s">
        <v>2602</v>
      </c>
      <c r="E1066" s="11">
        <v>0.0</v>
      </c>
      <c r="F1066" s="11" t="s">
        <v>2736</v>
      </c>
    </row>
    <row r="1067">
      <c r="A1067" s="11">
        <v>9.86225414276123</v>
      </c>
      <c r="B1067" s="11">
        <v>-19.8422317504882</v>
      </c>
      <c r="C1067" s="11">
        <v>1.0</v>
      </c>
      <c r="D1067" s="11" t="s">
        <v>2602</v>
      </c>
      <c r="E1067" s="11">
        <v>1.0</v>
      </c>
      <c r="F1067" s="11" t="s">
        <v>2737</v>
      </c>
    </row>
    <row r="1068">
      <c r="A1068" s="11">
        <v>16.2683506011962</v>
      </c>
      <c r="B1068" s="11">
        <v>0.61031550168991</v>
      </c>
      <c r="C1068" s="11">
        <v>0.0</v>
      </c>
      <c r="D1068" s="11" t="s">
        <v>2602</v>
      </c>
      <c r="E1068" s="11">
        <v>0.0</v>
      </c>
      <c r="F1068" s="11" t="s">
        <v>2739</v>
      </c>
    </row>
    <row r="1069">
      <c r="A1069" s="11">
        <v>16.2699832916259</v>
      </c>
      <c r="B1069" s="11">
        <v>9.56972122192382</v>
      </c>
      <c r="C1069" s="11">
        <v>0.0</v>
      </c>
      <c r="D1069" s="11" t="s">
        <v>2602</v>
      </c>
      <c r="E1069" s="11">
        <v>0.0</v>
      </c>
      <c r="F1069" s="11" t="s">
        <v>2741</v>
      </c>
    </row>
    <row r="1070">
      <c r="A1070" s="11">
        <v>30.6267871856689</v>
      </c>
      <c r="B1070" s="11">
        <v>6.76428842544555</v>
      </c>
      <c r="C1070" s="11">
        <v>0.0</v>
      </c>
      <c r="D1070" s="11" t="s">
        <v>1061</v>
      </c>
      <c r="E1070" s="11">
        <v>0.0</v>
      </c>
      <c r="F1070" s="11" t="s">
        <v>2743</v>
      </c>
    </row>
    <row r="1071">
      <c r="A1071" s="11">
        <v>52.5274124145507</v>
      </c>
      <c r="B1071" s="11">
        <v>1.17830753326416</v>
      </c>
      <c r="C1071" s="11">
        <v>-1.0</v>
      </c>
      <c r="D1071" s="11" t="s">
        <v>1061</v>
      </c>
      <c r="E1071" s="11">
        <v>-1.0</v>
      </c>
      <c r="F1071" s="11" t="s">
        <v>2744</v>
      </c>
    </row>
    <row r="1072">
      <c r="A1072" s="11">
        <v>3.37098670005798</v>
      </c>
      <c r="B1072" s="11">
        <v>-61.3563003540039</v>
      </c>
      <c r="C1072" s="11">
        <v>0.0</v>
      </c>
      <c r="D1072" s="11" t="s">
        <v>1061</v>
      </c>
      <c r="E1072" s="11">
        <v>0.0</v>
      </c>
      <c r="F1072" s="11" t="s">
        <v>2745</v>
      </c>
    </row>
    <row r="1073">
      <c r="A1073" s="11">
        <v>-55.6586761474609</v>
      </c>
      <c r="B1073" s="11">
        <v>14.9199199676513</v>
      </c>
      <c r="C1073" s="11">
        <v>0.0</v>
      </c>
      <c r="D1073" s="11" t="s">
        <v>1061</v>
      </c>
      <c r="E1073" s="11">
        <v>0.0</v>
      </c>
      <c r="F1073" s="11" t="s">
        <v>2746</v>
      </c>
    </row>
    <row r="1074">
      <c r="A1074" s="11">
        <v>35.1091957092285</v>
      </c>
      <c r="B1074" s="11">
        <v>1.66104698181152</v>
      </c>
      <c r="C1074" s="11">
        <v>0.0</v>
      </c>
      <c r="D1074" s="11" t="s">
        <v>1061</v>
      </c>
      <c r="E1074" s="11">
        <v>0.0</v>
      </c>
      <c r="F1074" s="11" t="s">
        <v>2747</v>
      </c>
    </row>
    <row r="1075">
      <c r="A1075" s="11">
        <v>32.1570472717285</v>
      </c>
      <c r="B1075" s="11">
        <v>-52.2247276306152</v>
      </c>
      <c r="C1075" s="11">
        <v>0.0</v>
      </c>
      <c r="D1075" s="11" t="s">
        <v>1061</v>
      </c>
      <c r="E1075" s="11">
        <v>0.0</v>
      </c>
      <c r="F1075" s="11" t="s">
        <v>2748</v>
      </c>
    </row>
    <row r="1076">
      <c r="A1076" s="11">
        <v>30.0910587310791</v>
      </c>
      <c r="B1076" s="11">
        <v>7.71567153930664</v>
      </c>
      <c r="C1076" s="11">
        <v>0.0</v>
      </c>
      <c r="D1076" s="11" t="s">
        <v>1061</v>
      </c>
      <c r="E1076" s="11">
        <v>0.0</v>
      </c>
      <c r="F1076" s="11" t="s">
        <v>2749</v>
      </c>
    </row>
    <row r="1077">
      <c r="A1077" s="11">
        <v>2.26307439804077</v>
      </c>
      <c r="B1077" s="11">
        <v>-61.1257286071777</v>
      </c>
      <c r="C1077" s="11">
        <v>0.0</v>
      </c>
      <c r="D1077" s="11" t="s">
        <v>1061</v>
      </c>
      <c r="E1077" s="11">
        <v>0.0</v>
      </c>
      <c r="F1077" s="11" t="s">
        <v>2750</v>
      </c>
    </row>
    <row r="1078">
      <c r="A1078" s="11">
        <v>-4.72532033920288</v>
      </c>
      <c r="B1078" s="11">
        <v>-0.444681853055954</v>
      </c>
      <c r="C1078" s="11">
        <v>0.0</v>
      </c>
      <c r="D1078" s="11" t="s">
        <v>1061</v>
      </c>
      <c r="E1078" s="11">
        <v>0.0</v>
      </c>
      <c r="F1078" s="11" t="s">
        <v>2751</v>
      </c>
    </row>
    <row r="1079">
      <c r="A1079" s="11">
        <v>36.4810409545898</v>
      </c>
      <c r="B1079" s="11">
        <v>1.33349955081939</v>
      </c>
      <c r="C1079" s="11">
        <v>0.0</v>
      </c>
      <c r="D1079" s="11" t="s">
        <v>1061</v>
      </c>
      <c r="E1079" s="11">
        <v>0.0</v>
      </c>
      <c r="F1079" s="11" t="s">
        <v>2752</v>
      </c>
    </row>
    <row r="1080">
      <c r="A1080" s="11">
        <v>2.26307439804077</v>
      </c>
      <c r="B1080" s="11">
        <v>-61.1257286071777</v>
      </c>
      <c r="C1080" s="11">
        <v>0.0</v>
      </c>
      <c r="D1080" s="11" t="s">
        <v>1061</v>
      </c>
      <c r="E1080" s="11">
        <v>0.0</v>
      </c>
      <c r="F1080" s="11" t="s">
        <v>2753</v>
      </c>
    </row>
    <row r="1081">
      <c r="A1081" s="11">
        <v>-56.5149192810058</v>
      </c>
      <c r="B1081" s="11">
        <v>16.3804759979248</v>
      </c>
      <c r="C1081" s="11">
        <v>0.0</v>
      </c>
      <c r="D1081" s="11" t="s">
        <v>1061</v>
      </c>
      <c r="E1081" s="11">
        <v>0.0</v>
      </c>
      <c r="F1081" s="11" t="s">
        <v>2754</v>
      </c>
    </row>
    <row r="1082">
      <c r="A1082" s="11">
        <v>30.252363204956</v>
      </c>
      <c r="B1082" s="11">
        <v>-0.660483360290527</v>
      </c>
      <c r="C1082" s="11">
        <v>-1.0</v>
      </c>
      <c r="D1082" s="11" t="s">
        <v>1061</v>
      </c>
      <c r="E1082" s="11">
        <v>-1.0</v>
      </c>
      <c r="F1082" s="11" t="s">
        <v>2755</v>
      </c>
    </row>
    <row r="1083">
      <c r="A1083" s="11">
        <v>1.14139580726623</v>
      </c>
      <c r="B1083" s="11">
        <v>9.5569372177124</v>
      </c>
      <c r="C1083" s="11">
        <v>0.0</v>
      </c>
      <c r="D1083" s="11" t="s">
        <v>1061</v>
      </c>
      <c r="E1083" s="11">
        <v>0.0</v>
      </c>
      <c r="F1083" s="11" t="s">
        <v>2756</v>
      </c>
    </row>
    <row r="1084">
      <c r="A1084" s="11">
        <v>-55.6586761474609</v>
      </c>
      <c r="B1084" s="11">
        <v>14.9199199676513</v>
      </c>
      <c r="C1084" s="11">
        <v>0.0</v>
      </c>
      <c r="D1084" s="11" t="s">
        <v>1061</v>
      </c>
      <c r="E1084" s="11">
        <v>0.0</v>
      </c>
      <c r="F1084" s="11" t="s">
        <v>2757</v>
      </c>
    </row>
    <row r="1085">
      <c r="A1085" s="11">
        <v>-38.0507926940918</v>
      </c>
      <c r="B1085" s="11">
        <v>6.69664525985717</v>
      </c>
      <c r="C1085" s="11">
        <v>0.0</v>
      </c>
      <c r="D1085" s="11" t="s">
        <v>1061</v>
      </c>
      <c r="E1085" s="11">
        <v>0.0</v>
      </c>
      <c r="F1085" s="11" t="s">
        <v>2758</v>
      </c>
    </row>
    <row r="1086">
      <c r="A1086" s="11">
        <v>32.7424201965332</v>
      </c>
      <c r="B1086" s="11">
        <v>-51.245677947998</v>
      </c>
      <c r="C1086" s="11">
        <v>0.0</v>
      </c>
      <c r="D1086" s="11" t="s">
        <v>1061</v>
      </c>
      <c r="E1086" s="11">
        <v>0.0</v>
      </c>
      <c r="F1086" s="11" t="s">
        <v>2759</v>
      </c>
    </row>
    <row r="1087">
      <c r="A1087" s="11">
        <v>29.4708557128906</v>
      </c>
      <c r="B1087" s="11">
        <v>6.39386320114135</v>
      </c>
      <c r="C1087" s="11">
        <v>0.0</v>
      </c>
      <c r="D1087" s="11" t="s">
        <v>1061</v>
      </c>
      <c r="E1087" s="11">
        <v>0.0</v>
      </c>
      <c r="F1087" s="11" t="s">
        <v>2760</v>
      </c>
    </row>
    <row r="1088">
      <c r="A1088" s="11">
        <v>29.4708557128906</v>
      </c>
      <c r="B1088" s="11">
        <v>6.39386320114135</v>
      </c>
      <c r="C1088" s="11">
        <v>0.0</v>
      </c>
      <c r="D1088" s="11" t="s">
        <v>1061</v>
      </c>
      <c r="E1088" s="11">
        <v>0.0</v>
      </c>
      <c r="F1088" s="11" t="s">
        <v>2761</v>
      </c>
    </row>
    <row r="1089">
      <c r="A1089" s="11">
        <v>53.2033233642578</v>
      </c>
      <c r="B1089" s="11">
        <v>-16.4992370605468</v>
      </c>
      <c r="C1089" s="11">
        <v>2.0</v>
      </c>
      <c r="D1089" s="11" t="s">
        <v>1061</v>
      </c>
      <c r="E1089" s="11">
        <v>2.0</v>
      </c>
      <c r="F1089" s="11" t="s">
        <v>2762</v>
      </c>
    </row>
    <row r="1090">
      <c r="A1090" s="11">
        <v>11.7269210815429</v>
      </c>
      <c r="B1090" s="11">
        <v>54.8678665161132</v>
      </c>
      <c r="C1090" s="11">
        <v>0.0</v>
      </c>
      <c r="D1090" s="11" t="s">
        <v>1061</v>
      </c>
      <c r="E1090" s="11">
        <v>0.0</v>
      </c>
      <c r="F1090" s="11" t="s">
        <v>2763</v>
      </c>
    </row>
    <row r="1091">
      <c r="A1091" s="11">
        <v>-1.39646553993225</v>
      </c>
      <c r="B1091" s="11">
        <v>17.2629470825195</v>
      </c>
      <c r="C1091" s="11">
        <v>0.0</v>
      </c>
      <c r="D1091" s="11" t="s">
        <v>1061</v>
      </c>
      <c r="E1091" s="11">
        <v>0.0</v>
      </c>
      <c r="F1091" s="11" t="s">
        <v>2764</v>
      </c>
    </row>
    <row r="1092">
      <c r="A1092" s="11">
        <v>17.5682220458984</v>
      </c>
      <c r="B1092" s="11">
        <v>-35.0682334899902</v>
      </c>
      <c r="C1092" s="11">
        <v>-1.0</v>
      </c>
      <c r="D1092" s="11" t="s">
        <v>1061</v>
      </c>
      <c r="E1092" s="11">
        <v>-1.0</v>
      </c>
      <c r="F1092" s="11" t="s">
        <v>2765</v>
      </c>
    </row>
    <row r="1093">
      <c r="A1093" s="11">
        <v>48.8768348693847</v>
      </c>
      <c r="B1093" s="11">
        <v>2.68634486198425</v>
      </c>
      <c r="C1093" s="11">
        <v>1.0</v>
      </c>
      <c r="D1093" s="11" t="s">
        <v>1061</v>
      </c>
      <c r="E1093" s="11">
        <v>1.0</v>
      </c>
      <c r="F1093" s="11" t="s">
        <v>2766</v>
      </c>
    </row>
    <row r="1094">
      <c r="A1094" s="11">
        <v>91.7904205322265</v>
      </c>
      <c r="B1094" s="11">
        <v>9.59877872467041</v>
      </c>
      <c r="C1094" s="11">
        <v>2.0</v>
      </c>
      <c r="D1094" s="11" t="s">
        <v>1061</v>
      </c>
      <c r="E1094" s="11">
        <v>2.0</v>
      </c>
      <c r="F1094" s="11" t="s">
        <v>2767</v>
      </c>
    </row>
    <row r="1095">
      <c r="A1095" s="11">
        <v>22.2773780822753</v>
      </c>
      <c r="B1095" s="11">
        <v>-22.0466403961181</v>
      </c>
      <c r="C1095" s="11">
        <v>0.0</v>
      </c>
      <c r="D1095" s="11" t="s">
        <v>1061</v>
      </c>
      <c r="E1095" s="11">
        <v>0.0</v>
      </c>
      <c r="F1095" s="11" t="s">
        <v>2768</v>
      </c>
    </row>
    <row r="1096">
      <c r="A1096" s="11">
        <v>22.2773780822753</v>
      </c>
      <c r="B1096" s="11">
        <v>-22.0466403961181</v>
      </c>
      <c r="C1096" s="11">
        <v>0.0</v>
      </c>
      <c r="D1096" s="11" t="s">
        <v>1061</v>
      </c>
      <c r="E1096" s="11">
        <v>0.0</v>
      </c>
      <c r="F1096" s="11" t="s">
        <v>2769</v>
      </c>
    </row>
    <row r="1097">
      <c r="A1097" s="11">
        <v>13.1338834762573</v>
      </c>
      <c r="B1097" s="11">
        <v>35.6085205078125</v>
      </c>
      <c r="C1097" s="11">
        <v>2.0</v>
      </c>
      <c r="D1097" s="11" t="s">
        <v>1061</v>
      </c>
      <c r="E1097" s="11">
        <v>2.0</v>
      </c>
      <c r="F1097" s="11" t="s">
        <v>2770</v>
      </c>
    </row>
    <row r="1098">
      <c r="A1098" s="11">
        <v>2.25221061706542</v>
      </c>
      <c r="B1098" s="11">
        <v>10.0112600326538</v>
      </c>
      <c r="C1098" s="11">
        <v>0.0</v>
      </c>
      <c r="D1098" s="11" t="s">
        <v>1061</v>
      </c>
      <c r="E1098" s="11">
        <v>0.0</v>
      </c>
      <c r="F1098" s="11" t="s">
        <v>2771</v>
      </c>
    </row>
    <row r="1099">
      <c r="A1099" s="11">
        <v>-55.6586761474609</v>
      </c>
      <c r="B1099" s="11">
        <v>14.9199199676513</v>
      </c>
      <c r="C1099" s="11">
        <v>0.0</v>
      </c>
      <c r="D1099" s="11" t="s">
        <v>1061</v>
      </c>
      <c r="E1099" s="11">
        <v>0.0</v>
      </c>
      <c r="F1099" s="11" t="s">
        <v>2772</v>
      </c>
    </row>
    <row r="1100">
      <c r="A1100" s="11">
        <v>33.2673568725585</v>
      </c>
      <c r="B1100" s="11">
        <v>-52.2374382019043</v>
      </c>
      <c r="C1100" s="11">
        <v>0.0</v>
      </c>
      <c r="D1100" s="11" t="s">
        <v>1061</v>
      </c>
      <c r="E1100" s="11">
        <v>0.0</v>
      </c>
      <c r="F1100" s="11" t="s">
        <v>2773</v>
      </c>
    </row>
    <row r="1101">
      <c r="A1101" s="11">
        <v>35.1091957092285</v>
      </c>
      <c r="B1101" s="11">
        <v>1.66104698181152</v>
      </c>
      <c r="C1101" s="11">
        <v>0.0</v>
      </c>
      <c r="D1101" s="11" t="s">
        <v>1061</v>
      </c>
      <c r="E1101" s="11">
        <v>0.0</v>
      </c>
      <c r="F1101" s="11" t="s">
        <v>2774</v>
      </c>
    </row>
    <row r="1102">
      <c r="A1102" s="11">
        <v>8.32890510559082</v>
      </c>
      <c r="B1102" s="11">
        <v>-32.0128707885742</v>
      </c>
      <c r="C1102" s="11">
        <v>0.0</v>
      </c>
      <c r="D1102" s="11" t="s">
        <v>1061</v>
      </c>
      <c r="E1102" s="11">
        <v>0.0</v>
      </c>
      <c r="F1102" s="11" t="s">
        <v>2775</v>
      </c>
    </row>
    <row r="1103">
      <c r="A1103" s="11">
        <v>22.2773780822753</v>
      </c>
      <c r="B1103" s="11">
        <v>-22.0466403961181</v>
      </c>
      <c r="C1103" s="11">
        <v>0.0</v>
      </c>
      <c r="D1103" s="11" t="s">
        <v>1061</v>
      </c>
      <c r="E1103" s="11">
        <v>0.0</v>
      </c>
      <c r="F1103" s="11" t="s">
        <v>2776</v>
      </c>
    </row>
    <row r="1104">
      <c r="A1104" s="11">
        <v>3.55088448524475</v>
      </c>
      <c r="B1104" s="11">
        <v>21.9230117797851</v>
      </c>
      <c r="C1104" s="11">
        <v>0.0</v>
      </c>
      <c r="D1104" s="11" t="s">
        <v>1061</v>
      </c>
      <c r="E1104" s="11">
        <v>0.0</v>
      </c>
      <c r="F1104" s="11" t="s">
        <v>2777</v>
      </c>
    </row>
    <row r="1105">
      <c r="A1105" s="11">
        <v>36.4810409545898</v>
      </c>
      <c r="B1105" s="11">
        <v>1.33349955081939</v>
      </c>
      <c r="C1105" s="11">
        <v>0.0</v>
      </c>
      <c r="D1105" s="11" t="s">
        <v>1061</v>
      </c>
      <c r="E1105" s="11">
        <v>0.0</v>
      </c>
      <c r="F1105" s="11" t="s">
        <v>2778</v>
      </c>
    </row>
    <row r="1106">
      <c r="A1106" s="11">
        <v>34.9333724975585</v>
      </c>
      <c r="B1106" s="11">
        <v>0.354793041944503</v>
      </c>
      <c r="C1106" s="11">
        <v>0.0</v>
      </c>
      <c r="D1106" s="11" t="s">
        <v>1061</v>
      </c>
      <c r="E1106" s="11">
        <v>0.0</v>
      </c>
      <c r="F1106" s="11" t="s">
        <v>2779</v>
      </c>
    </row>
    <row r="1107">
      <c r="A1107" s="11">
        <v>33.2673568725585</v>
      </c>
      <c r="B1107" s="11">
        <v>-52.2374382019043</v>
      </c>
      <c r="C1107" s="11">
        <v>0.0</v>
      </c>
      <c r="D1107" s="11" t="s">
        <v>1061</v>
      </c>
      <c r="E1107" s="11">
        <v>0.0</v>
      </c>
      <c r="F1107" s="11" t="s">
        <v>2780</v>
      </c>
    </row>
    <row r="1108">
      <c r="A1108" s="11">
        <v>-1.4928513765335</v>
      </c>
      <c r="B1108" s="11">
        <v>17.4120788574218</v>
      </c>
      <c r="C1108" s="11">
        <v>0.0</v>
      </c>
      <c r="D1108" s="11" t="s">
        <v>1061</v>
      </c>
      <c r="E1108" s="11">
        <v>0.0</v>
      </c>
      <c r="F1108" s="11" t="s">
        <v>2781</v>
      </c>
    </row>
    <row r="1109">
      <c r="A1109" s="11">
        <v>36.0685157775878</v>
      </c>
      <c r="B1109" s="11">
        <v>0.0857294276356697</v>
      </c>
      <c r="C1109" s="11">
        <v>0.0</v>
      </c>
      <c r="D1109" s="11" t="s">
        <v>1061</v>
      </c>
      <c r="E1109" s="11">
        <v>0.0</v>
      </c>
      <c r="F1109" s="11" t="s">
        <v>2782</v>
      </c>
    </row>
    <row r="1110">
      <c r="A1110" s="11">
        <v>24.771047592163</v>
      </c>
      <c r="B1110" s="11">
        <v>-28.0098133087158</v>
      </c>
      <c r="C1110" s="11">
        <v>-1.0</v>
      </c>
      <c r="D1110" s="11" t="s">
        <v>1061</v>
      </c>
      <c r="E1110" s="11">
        <v>-1.0</v>
      </c>
      <c r="F1110" s="11" t="s">
        <v>2783</v>
      </c>
    </row>
    <row r="1111">
      <c r="A1111" s="11">
        <v>1.24921131134033</v>
      </c>
      <c r="B1111" s="11">
        <v>9.37815570831298</v>
      </c>
      <c r="C1111" s="11">
        <v>0.0</v>
      </c>
      <c r="D1111" s="11" t="s">
        <v>1061</v>
      </c>
      <c r="E1111" s="11">
        <v>0.0</v>
      </c>
      <c r="F1111" s="11" t="s">
        <v>2784</v>
      </c>
    </row>
    <row r="1112">
      <c r="A1112" s="11">
        <v>-55.6586761474609</v>
      </c>
      <c r="B1112" s="11">
        <v>14.9199199676513</v>
      </c>
      <c r="C1112" s="11">
        <v>0.0</v>
      </c>
      <c r="D1112" s="11" t="s">
        <v>1061</v>
      </c>
      <c r="E1112" s="11">
        <v>0.0</v>
      </c>
      <c r="F1112" s="11" t="s">
        <v>2785</v>
      </c>
    </row>
    <row r="1113">
      <c r="A1113" s="11">
        <v>22.2773780822753</v>
      </c>
      <c r="B1113" s="11">
        <v>-22.0466403961181</v>
      </c>
      <c r="C1113" s="11">
        <v>0.0</v>
      </c>
      <c r="D1113" s="11" t="s">
        <v>1061</v>
      </c>
      <c r="E1113" s="11">
        <v>0.0</v>
      </c>
      <c r="F1113" s="11" t="s">
        <v>2786</v>
      </c>
    </row>
    <row r="1114">
      <c r="A1114" s="11">
        <v>3.37098670005798</v>
      </c>
      <c r="B1114" s="11">
        <v>-61.3563003540039</v>
      </c>
      <c r="C1114" s="11">
        <v>0.0</v>
      </c>
      <c r="D1114" s="11" t="s">
        <v>1061</v>
      </c>
      <c r="E1114" s="11">
        <v>0.0</v>
      </c>
      <c r="F1114" s="11" t="s">
        <v>2787</v>
      </c>
    </row>
    <row r="1115">
      <c r="A1115" s="11">
        <v>2.06208443641662</v>
      </c>
      <c r="B1115" s="11">
        <v>-62.9706077575683</v>
      </c>
      <c r="C1115" s="11">
        <v>0.0</v>
      </c>
      <c r="D1115" s="11" t="s">
        <v>1061</v>
      </c>
      <c r="E1115" s="11">
        <v>0.0</v>
      </c>
      <c r="F1115" s="11" t="s">
        <v>2788</v>
      </c>
    </row>
    <row r="1116">
      <c r="A1116" s="11">
        <v>10.3430948257446</v>
      </c>
      <c r="B1116" s="11">
        <v>40.1446113586425</v>
      </c>
      <c r="C1116" s="11">
        <v>2.0</v>
      </c>
      <c r="D1116" s="11" t="s">
        <v>1061</v>
      </c>
      <c r="E1116" s="11">
        <v>2.0</v>
      </c>
      <c r="F1116" s="11" t="s">
        <v>2789</v>
      </c>
    </row>
    <row r="1117">
      <c r="A1117" s="11">
        <v>-16.2611503601074</v>
      </c>
      <c r="B1117" s="11">
        <v>0.889522731304168</v>
      </c>
      <c r="C1117" s="11">
        <v>0.0</v>
      </c>
      <c r="D1117" s="11" t="s">
        <v>1061</v>
      </c>
      <c r="E1117" s="11">
        <v>0.0</v>
      </c>
      <c r="F1117" s="11" t="s">
        <v>2790</v>
      </c>
    </row>
    <row r="1118">
      <c r="A1118" s="11">
        <v>16.756269454956</v>
      </c>
      <c r="B1118" s="11">
        <v>-33.8570289611816</v>
      </c>
      <c r="C1118" s="11">
        <v>-1.0</v>
      </c>
      <c r="D1118" s="11" t="s">
        <v>1061</v>
      </c>
      <c r="E1118" s="11">
        <v>-1.0</v>
      </c>
      <c r="F1118" s="11" t="s">
        <v>2791</v>
      </c>
    </row>
    <row r="1119">
      <c r="A1119" s="11">
        <v>89.4086074829101</v>
      </c>
      <c r="B1119" s="11">
        <v>16.2670707702636</v>
      </c>
      <c r="C1119" s="11">
        <v>2.0</v>
      </c>
      <c r="D1119" s="11" t="s">
        <v>1061</v>
      </c>
      <c r="E1119" s="11">
        <v>2.0</v>
      </c>
      <c r="F1119" s="11" t="s">
        <v>2792</v>
      </c>
    </row>
    <row r="1120">
      <c r="A1120" s="11">
        <v>-8.97216796875</v>
      </c>
      <c r="B1120" s="11">
        <v>-2.53779458999633</v>
      </c>
      <c r="C1120" s="11">
        <v>0.0</v>
      </c>
      <c r="D1120" s="11" t="s">
        <v>1061</v>
      </c>
      <c r="E1120" s="11">
        <v>0.0</v>
      </c>
      <c r="F1120" s="11" t="s">
        <v>2793</v>
      </c>
    </row>
    <row r="1121">
      <c r="A1121" s="11">
        <v>-25.0446071624755</v>
      </c>
      <c r="B1121" s="11">
        <v>-23.0806236267089</v>
      </c>
      <c r="C1121" s="11">
        <v>-1.0</v>
      </c>
      <c r="D1121" s="11" t="s">
        <v>1515</v>
      </c>
      <c r="E1121" s="11">
        <v>-1.0</v>
      </c>
      <c r="F1121" s="11" t="s">
        <v>2794</v>
      </c>
    </row>
    <row r="1122">
      <c r="A1122" s="11">
        <v>70.5567092895507</v>
      </c>
      <c r="B1122" s="11">
        <v>-1.84107279777526</v>
      </c>
      <c r="C1122" s="11">
        <v>2.0</v>
      </c>
      <c r="D1122" s="11" t="s">
        <v>1515</v>
      </c>
      <c r="E1122" s="11">
        <v>2.0</v>
      </c>
      <c r="F1122" s="11" t="s">
        <v>2795</v>
      </c>
    </row>
    <row r="1123">
      <c r="A1123" s="11">
        <v>76.9780654907226</v>
      </c>
      <c r="B1123" s="11">
        <v>-4.99078369140625</v>
      </c>
      <c r="C1123" s="11">
        <v>2.0</v>
      </c>
      <c r="D1123" s="11" t="s">
        <v>1515</v>
      </c>
      <c r="E1123" s="11">
        <v>2.0</v>
      </c>
      <c r="F1123" s="11" t="s">
        <v>2796</v>
      </c>
    </row>
    <row r="1124">
      <c r="A1124" s="11">
        <v>-40.822525024414</v>
      </c>
      <c r="B1124" s="11">
        <v>-19.8116588592529</v>
      </c>
      <c r="C1124" s="11">
        <v>0.0</v>
      </c>
      <c r="D1124" s="11" t="s">
        <v>1515</v>
      </c>
      <c r="E1124" s="11">
        <v>0.0</v>
      </c>
      <c r="F1124" s="11" t="s">
        <v>2797</v>
      </c>
    </row>
    <row r="1125">
      <c r="A1125" s="11">
        <v>59.6330337524414</v>
      </c>
      <c r="B1125" s="11">
        <v>-30.1439990997314</v>
      </c>
      <c r="C1125" s="11">
        <v>0.0</v>
      </c>
      <c r="D1125" s="11" t="s">
        <v>1515</v>
      </c>
      <c r="E1125" s="11">
        <v>0.0</v>
      </c>
      <c r="F1125" s="11" t="s">
        <v>2798</v>
      </c>
    </row>
    <row r="1126">
      <c r="A1126" s="11">
        <v>-34.2343864440918</v>
      </c>
      <c r="B1126" s="11">
        <v>-5.7919487953186</v>
      </c>
      <c r="C1126" s="11">
        <v>0.0</v>
      </c>
      <c r="D1126" s="11" t="s">
        <v>1515</v>
      </c>
      <c r="E1126" s="11">
        <v>0.0</v>
      </c>
      <c r="F1126" s="11" t="s">
        <v>2799</v>
      </c>
    </row>
    <row r="1127">
      <c r="A1127" s="11">
        <v>34.045612335205</v>
      </c>
      <c r="B1127" s="11">
        <v>19.5714130401611</v>
      </c>
      <c r="C1127" s="11">
        <v>0.0</v>
      </c>
      <c r="D1127" s="11" t="s">
        <v>1515</v>
      </c>
      <c r="E1127" s="11">
        <v>0.0</v>
      </c>
      <c r="F1127" s="11" t="s">
        <v>2800</v>
      </c>
    </row>
    <row r="1128">
      <c r="A1128" s="11">
        <v>50.5449752807617</v>
      </c>
      <c r="B1128" s="11">
        <v>8.33461284637451</v>
      </c>
      <c r="C1128" s="11">
        <v>0.0</v>
      </c>
      <c r="D1128" s="11" t="s">
        <v>1515</v>
      </c>
      <c r="E1128" s="11">
        <v>0.0</v>
      </c>
      <c r="F1128" s="11" t="s">
        <v>2801</v>
      </c>
    </row>
    <row r="1129">
      <c r="A1129" s="11">
        <v>59.3554534912109</v>
      </c>
      <c r="B1129" s="11">
        <v>-29.0756721496582</v>
      </c>
      <c r="C1129" s="11">
        <v>0.0</v>
      </c>
      <c r="D1129" s="11" t="s">
        <v>1515</v>
      </c>
      <c r="E1129" s="11">
        <v>0.0</v>
      </c>
      <c r="F1129" s="11" t="s">
        <v>2802</v>
      </c>
    </row>
    <row r="1130">
      <c r="A1130" s="11">
        <v>-39.5430641174316</v>
      </c>
      <c r="B1130" s="11">
        <v>-20.7931976318359</v>
      </c>
      <c r="C1130" s="11">
        <v>0.0</v>
      </c>
      <c r="D1130" s="11" t="s">
        <v>1515</v>
      </c>
      <c r="E1130" s="11">
        <v>0.0</v>
      </c>
      <c r="F1130" s="11" t="s">
        <v>2803</v>
      </c>
    </row>
    <row r="1131">
      <c r="A1131" s="11">
        <v>-11.5360794067382</v>
      </c>
      <c r="B1131" s="11">
        <v>-9.07342433929443</v>
      </c>
      <c r="C1131" s="11">
        <v>0.0</v>
      </c>
      <c r="D1131" s="11" t="s">
        <v>1515</v>
      </c>
      <c r="E1131" s="11">
        <v>0.0</v>
      </c>
      <c r="F1131" s="11" t="s">
        <v>2804</v>
      </c>
    </row>
    <row r="1132">
      <c r="A1132" s="11">
        <v>-34.0301322937011</v>
      </c>
      <c r="B1132" s="11">
        <v>-36.3030090332031</v>
      </c>
      <c r="C1132" s="11">
        <v>0.0</v>
      </c>
      <c r="D1132" s="11" t="s">
        <v>1515</v>
      </c>
      <c r="E1132" s="11">
        <v>0.0</v>
      </c>
      <c r="F1132" s="11" t="s">
        <v>2805</v>
      </c>
    </row>
    <row r="1133">
      <c r="A1133" s="11">
        <v>-13.3712549209594</v>
      </c>
      <c r="B1133" s="11">
        <v>-30.2463226318359</v>
      </c>
      <c r="C1133" s="11">
        <v>0.0</v>
      </c>
      <c r="D1133" s="11" t="s">
        <v>1515</v>
      </c>
      <c r="E1133" s="11">
        <v>0.0</v>
      </c>
      <c r="F1133" s="11" t="s">
        <v>2806</v>
      </c>
    </row>
    <row r="1134">
      <c r="A1134" s="11">
        <v>-25.171251296997</v>
      </c>
      <c r="B1134" s="11">
        <v>-27.1375007629394</v>
      </c>
      <c r="C1134" s="11">
        <v>0.0</v>
      </c>
      <c r="D1134" s="11" t="s">
        <v>1515</v>
      </c>
      <c r="E1134" s="11">
        <v>0.0</v>
      </c>
      <c r="F1134" s="11" t="s">
        <v>2807</v>
      </c>
    </row>
    <row r="1135">
      <c r="A1135" s="11">
        <v>-40.4708099365234</v>
      </c>
      <c r="B1135" s="11">
        <v>-21.3641281127929</v>
      </c>
      <c r="C1135" s="11">
        <v>0.0</v>
      </c>
      <c r="D1135" s="11" t="s">
        <v>1515</v>
      </c>
      <c r="E1135" s="11">
        <v>0.0</v>
      </c>
      <c r="F1135" s="11" t="s">
        <v>2808</v>
      </c>
    </row>
    <row r="1136">
      <c r="A1136" s="11">
        <v>28.9032344818115</v>
      </c>
      <c r="B1136" s="11">
        <v>23.9316577911376</v>
      </c>
      <c r="C1136" s="11">
        <v>0.0</v>
      </c>
      <c r="D1136" s="11" t="s">
        <v>1515</v>
      </c>
      <c r="E1136" s="11">
        <v>0.0</v>
      </c>
      <c r="F1136" s="11" t="s">
        <v>2809</v>
      </c>
    </row>
    <row r="1137">
      <c r="A1137" s="11">
        <v>13.2856569290161</v>
      </c>
      <c r="B1137" s="11">
        <v>46.2019424438476</v>
      </c>
      <c r="C1137" s="11">
        <v>2.0</v>
      </c>
      <c r="D1137" s="11" t="s">
        <v>1515</v>
      </c>
      <c r="E1137" s="11">
        <v>2.0</v>
      </c>
      <c r="F1137" s="11" t="s">
        <v>2810</v>
      </c>
    </row>
    <row r="1138">
      <c r="A1138" s="11">
        <v>-69.2530822753906</v>
      </c>
      <c r="B1138" s="11">
        <v>-7.38424587249755</v>
      </c>
      <c r="C1138" s="11">
        <v>0.0</v>
      </c>
      <c r="D1138" s="11" t="s">
        <v>1515</v>
      </c>
      <c r="E1138" s="11">
        <v>0.0</v>
      </c>
      <c r="F1138" s="11" t="s">
        <v>2811</v>
      </c>
    </row>
    <row r="1139">
      <c r="A1139" s="11">
        <v>19.6824283599853</v>
      </c>
      <c r="B1139" s="11">
        <v>-3.34198522567749</v>
      </c>
      <c r="C1139" s="11">
        <v>0.0</v>
      </c>
      <c r="D1139" s="11" t="s">
        <v>1515</v>
      </c>
      <c r="E1139" s="11">
        <v>0.0</v>
      </c>
      <c r="F1139" s="11" t="s">
        <v>2812</v>
      </c>
    </row>
    <row r="1140">
      <c r="A1140" s="11">
        <v>-34.5866012573242</v>
      </c>
      <c r="B1140" s="11">
        <v>-6.56343746185302</v>
      </c>
      <c r="C1140" s="11">
        <v>0.0</v>
      </c>
      <c r="D1140" s="11" t="s">
        <v>1515</v>
      </c>
      <c r="E1140" s="11">
        <v>0.0</v>
      </c>
      <c r="F1140" s="11" t="s">
        <v>2813</v>
      </c>
    </row>
    <row r="1141">
      <c r="A1141" s="11">
        <v>-55.0591278076171</v>
      </c>
      <c r="B1141" s="11">
        <v>-2.09241724014282</v>
      </c>
      <c r="C1141" s="11">
        <v>0.0</v>
      </c>
      <c r="D1141" s="11" t="s">
        <v>1515</v>
      </c>
      <c r="E1141" s="11">
        <v>0.0</v>
      </c>
      <c r="F1141" s="11" t="s">
        <v>2814</v>
      </c>
    </row>
    <row r="1142">
      <c r="A1142" s="11">
        <v>-14.5323905944824</v>
      </c>
      <c r="B1142" s="11">
        <v>-29.9002780914306</v>
      </c>
      <c r="C1142" s="11">
        <v>0.0</v>
      </c>
      <c r="D1142" s="11" t="s">
        <v>1515</v>
      </c>
      <c r="E1142" s="11">
        <v>0.0</v>
      </c>
      <c r="F1142" s="11" t="s">
        <v>2815</v>
      </c>
    </row>
    <row r="1143">
      <c r="A1143" s="11">
        <v>59.6330337524414</v>
      </c>
      <c r="B1143" s="11">
        <v>-30.1439990997314</v>
      </c>
      <c r="C1143" s="11">
        <v>0.0</v>
      </c>
      <c r="D1143" s="11" t="s">
        <v>1515</v>
      </c>
      <c r="E1143" s="11">
        <v>0.0</v>
      </c>
      <c r="F1143" s="11" t="s">
        <v>2816</v>
      </c>
    </row>
    <row r="1144">
      <c r="A1144" s="11">
        <v>-16.5524654388427</v>
      </c>
      <c r="B1144" s="11">
        <v>-12.4056434631347</v>
      </c>
      <c r="C1144" s="11">
        <v>0.0</v>
      </c>
      <c r="D1144" s="11" t="s">
        <v>1515</v>
      </c>
      <c r="E1144" s="11">
        <v>0.0</v>
      </c>
      <c r="F1144" s="11" t="s">
        <v>2817</v>
      </c>
    </row>
    <row r="1145">
      <c r="A1145" s="11">
        <v>-9.33701229095459</v>
      </c>
      <c r="B1145" s="11">
        <v>-14.4557914733886</v>
      </c>
      <c r="C1145" s="11">
        <v>0.0</v>
      </c>
      <c r="D1145" s="11" t="s">
        <v>1515</v>
      </c>
      <c r="E1145" s="11">
        <v>0.0</v>
      </c>
      <c r="F1145" s="11" t="s">
        <v>2818</v>
      </c>
    </row>
    <row r="1146">
      <c r="A1146" s="11">
        <v>-35.0709571838378</v>
      </c>
      <c r="B1146" s="11">
        <v>-5.87601375579834</v>
      </c>
      <c r="C1146" s="11">
        <v>0.0</v>
      </c>
      <c r="D1146" s="11" t="s">
        <v>1515</v>
      </c>
      <c r="E1146" s="11">
        <v>0.0</v>
      </c>
      <c r="F1146" s="11" t="s">
        <v>2819</v>
      </c>
    </row>
    <row r="1147">
      <c r="A1147" s="11">
        <v>5.46290683746337</v>
      </c>
      <c r="B1147" s="11">
        <v>0.14830757677555</v>
      </c>
      <c r="C1147" s="11">
        <v>0.0</v>
      </c>
      <c r="D1147" s="11" t="s">
        <v>1515</v>
      </c>
      <c r="E1147" s="11">
        <v>0.0</v>
      </c>
      <c r="F1147" s="11" t="s">
        <v>2820</v>
      </c>
    </row>
    <row r="1148">
      <c r="A1148" s="11">
        <v>-21.7130508422851</v>
      </c>
      <c r="B1148" s="11">
        <v>31.3390922546386</v>
      </c>
      <c r="C1148" s="11">
        <v>0.0</v>
      </c>
      <c r="D1148" s="11" t="s">
        <v>1515</v>
      </c>
      <c r="E1148" s="11">
        <v>0.0</v>
      </c>
      <c r="F1148" s="11" t="s">
        <v>2821</v>
      </c>
    </row>
    <row r="1149">
      <c r="A1149" s="11">
        <v>-14.5658636093139</v>
      </c>
      <c r="B1149" s="11">
        <v>-28.6708145141601</v>
      </c>
      <c r="C1149" s="11">
        <v>0.0</v>
      </c>
      <c r="D1149" s="11" t="s">
        <v>1515</v>
      </c>
      <c r="E1149" s="11">
        <v>0.0</v>
      </c>
      <c r="F1149" s="11" t="s">
        <v>2822</v>
      </c>
    </row>
    <row r="1150">
      <c r="A1150" s="11">
        <v>-12.5320825576782</v>
      </c>
      <c r="B1150" s="11">
        <v>-29.2182331085205</v>
      </c>
      <c r="C1150" s="11">
        <v>0.0</v>
      </c>
      <c r="D1150" s="11" t="s">
        <v>1515</v>
      </c>
      <c r="E1150" s="11">
        <v>0.0</v>
      </c>
      <c r="F1150" s="11" t="s">
        <v>2823</v>
      </c>
    </row>
    <row r="1151">
      <c r="A1151" s="11">
        <v>-14.2650279998779</v>
      </c>
      <c r="B1151" s="11">
        <v>-39.7901000976562</v>
      </c>
      <c r="C1151" s="11">
        <v>0.0</v>
      </c>
      <c r="D1151" s="11" t="s">
        <v>1515</v>
      </c>
      <c r="E1151" s="11">
        <v>0.0</v>
      </c>
      <c r="F1151" s="11" t="s">
        <v>2824</v>
      </c>
    </row>
    <row r="1152">
      <c r="A1152" s="11">
        <v>77.6502227783203</v>
      </c>
      <c r="B1152" s="11">
        <v>-3.43692970275878</v>
      </c>
      <c r="C1152" s="11">
        <v>2.0</v>
      </c>
      <c r="D1152" s="11" t="s">
        <v>1515</v>
      </c>
      <c r="E1152" s="11">
        <v>2.0</v>
      </c>
      <c r="F1152" s="11" t="s">
        <v>2825</v>
      </c>
    </row>
    <row r="1153">
      <c r="A1153" s="11">
        <v>50.7931175231933</v>
      </c>
      <c r="B1153" s="11">
        <v>-20.4673309326171</v>
      </c>
      <c r="C1153" s="11">
        <v>1.0</v>
      </c>
      <c r="D1153" s="11" t="s">
        <v>1515</v>
      </c>
      <c r="E1153" s="11">
        <v>1.0</v>
      </c>
      <c r="F1153" s="11" t="s">
        <v>2826</v>
      </c>
    </row>
    <row r="1154">
      <c r="A1154" s="11">
        <v>-41.7119064331054</v>
      </c>
      <c r="B1154" s="11">
        <v>-8.73570346832275</v>
      </c>
      <c r="C1154" s="11">
        <v>0.0</v>
      </c>
      <c r="D1154" s="11" t="s">
        <v>1515</v>
      </c>
      <c r="E1154" s="11">
        <v>0.0</v>
      </c>
      <c r="F1154" s="11" t="s">
        <v>2827</v>
      </c>
    </row>
    <row r="1155">
      <c r="A1155" s="11">
        <v>-13.3415060043334</v>
      </c>
      <c r="B1155" s="11">
        <v>-28.1063404083251</v>
      </c>
      <c r="C1155" s="11">
        <v>0.0</v>
      </c>
      <c r="D1155" s="11" t="s">
        <v>1515</v>
      </c>
      <c r="E1155" s="11">
        <v>0.0</v>
      </c>
      <c r="F1155" s="11" t="s">
        <v>2828</v>
      </c>
    </row>
    <row r="1156">
      <c r="A1156" s="11">
        <v>-16.0642929077148</v>
      </c>
      <c r="B1156" s="11">
        <v>-1.22428357601165</v>
      </c>
      <c r="C1156" s="11">
        <v>0.0</v>
      </c>
      <c r="D1156" s="11" t="s">
        <v>1515</v>
      </c>
      <c r="E1156" s="11">
        <v>0.0</v>
      </c>
      <c r="F1156" s="11" t="s">
        <v>2829</v>
      </c>
    </row>
    <row r="1157">
      <c r="A1157" s="11">
        <v>-13.6014938354492</v>
      </c>
      <c r="B1157" s="11">
        <v>-29.2012786865234</v>
      </c>
      <c r="C1157" s="11">
        <v>0.0</v>
      </c>
      <c r="D1157" s="11" t="s">
        <v>1515</v>
      </c>
      <c r="E1157" s="11">
        <v>0.0</v>
      </c>
      <c r="F1157" s="11" t="s">
        <v>2830</v>
      </c>
    </row>
    <row r="1158">
      <c r="A1158" s="11">
        <v>-34.5792770385742</v>
      </c>
      <c r="B1158" s="11">
        <v>-35.31591796875</v>
      </c>
      <c r="C1158" s="11">
        <v>0.0</v>
      </c>
      <c r="D1158" s="11" t="s">
        <v>1515</v>
      </c>
      <c r="E1158" s="11">
        <v>0.0</v>
      </c>
      <c r="F1158" s="11" t="s">
        <v>2831</v>
      </c>
    </row>
    <row r="1159">
      <c r="A1159" s="11">
        <v>5.68304538726806</v>
      </c>
      <c r="B1159" s="11">
        <v>0.102916456758975</v>
      </c>
      <c r="C1159" s="11">
        <v>0.0</v>
      </c>
      <c r="D1159" s="11" t="s">
        <v>1515</v>
      </c>
      <c r="E1159" s="11">
        <v>0.0</v>
      </c>
      <c r="F1159" s="11" t="s">
        <v>2832</v>
      </c>
    </row>
    <row r="1160">
      <c r="A1160" s="11">
        <v>-25.9176139831542</v>
      </c>
      <c r="B1160" s="11">
        <v>-27.9556293487548</v>
      </c>
      <c r="C1160" s="11">
        <v>0.0</v>
      </c>
      <c r="D1160" s="11" t="s">
        <v>1515</v>
      </c>
      <c r="E1160" s="11">
        <v>0.0</v>
      </c>
      <c r="F1160" s="11" t="s">
        <v>2833</v>
      </c>
    </row>
    <row r="1161">
      <c r="A1161" s="11">
        <v>4.94565677642822</v>
      </c>
      <c r="B1161" s="11">
        <v>8.562424659729</v>
      </c>
      <c r="C1161" s="11">
        <v>0.0</v>
      </c>
      <c r="D1161" s="11" t="s">
        <v>1515</v>
      </c>
      <c r="E1161" s="11">
        <v>0.0</v>
      </c>
      <c r="F1161" s="11" t="s">
        <v>2834</v>
      </c>
    </row>
    <row r="1162">
      <c r="A1162" s="11">
        <v>58.5398979187011</v>
      </c>
      <c r="B1162" s="11">
        <v>-29.8952598571777</v>
      </c>
      <c r="C1162" s="11">
        <v>0.0</v>
      </c>
      <c r="D1162" s="11" t="s">
        <v>1515</v>
      </c>
      <c r="E1162" s="11">
        <v>0.0</v>
      </c>
      <c r="F1162" s="11" t="s">
        <v>2835</v>
      </c>
    </row>
    <row r="1163">
      <c r="A1163" s="11">
        <v>-41.5243949890136</v>
      </c>
      <c r="B1163" s="11">
        <v>-21.013219833374</v>
      </c>
      <c r="C1163" s="11">
        <v>0.0</v>
      </c>
      <c r="D1163" s="11" t="s">
        <v>1515</v>
      </c>
      <c r="E1163" s="11">
        <v>0.0</v>
      </c>
      <c r="F1163" s="11" t="s">
        <v>2836</v>
      </c>
    </row>
    <row r="1164">
      <c r="A1164" s="11">
        <v>22.3041553497314</v>
      </c>
      <c r="B1164" s="11">
        <v>38.2078208923339</v>
      </c>
      <c r="C1164" s="11">
        <v>2.0</v>
      </c>
      <c r="D1164" s="11" t="s">
        <v>1515</v>
      </c>
      <c r="E1164" s="11">
        <v>2.0</v>
      </c>
      <c r="F1164" s="11" t="s">
        <v>2837</v>
      </c>
    </row>
    <row r="1165">
      <c r="A1165" s="11">
        <v>40.8303794860839</v>
      </c>
      <c r="B1165" s="11">
        <v>-4.99156093597412</v>
      </c>
      <c r="C1165" s="11">
        <v>0.0</v>
      </c>
      <c r="D1165" s="11" t="s">
        <v>1515</v>
      </c>
      <c r="E1165" s="11">
        <v>0.0</v>
      </c>
      <c r="F1165" s="11" t="s">
        <v>2838</v>
      </c>
    </row>
    <row r="1166">
      <c r="A1166" s="11">
        <v>56.4349670410156</v>
      </c>
      <c r="B1166" s="11">
        <v>35.5122604370117</v>
      </c>
      <c r="C1166" s="11">
        <v>1.0</v>
      </c>
      <c r="D1166" s="11" t="s">
        <v>2524</v>
      </c>
      <c r="E1166" s="11">
        <v>1.0</v>
      </c>
      <c r="F1166" s="11" t="s">
        <v>2839</v>
      </c>
    </row>
    <row r="1167">
      <c r="A1167" s="11">
        <v>44.7546958923339</v>
      </c>
      <c r="B1167" s="11">
        <v>30.6706848144531</v>
      </c>
      <c r="C1167" s="11">
        <v>-2.0</v>
      </c>
      <c r="D1167" s="11" t="s">
        <v>2524</v>
      </c>
      <c r="E1167" s="11">
        <v>-2.0</v>
      </c>
      <c r="F1167" s="11" t="s">
        <v>2840</v>
      </c>
    </row>
    <row r="1168">
      <c r="A1168" s="11">
        <v>45.354190826416</v>
      </c>
      <c r="B1168" s="11">
        <v>18.1450767517089</v>
      </c>
      <c r="C1168" s="11">
        <v>-1.0</v>
      </c>
      <c r="D1168" s="11" t="s">
        <v>2524</v>
      </c>
      <c r="E1168" s="11">
        <v>-1.0</v>
      </c>
      <c r="F1168" s="11" t="s">
        <v>2841</v>
      </c>
    </row>
    <row r="1169">
      <c r="A1169" s="11">
        <v>17.0335807800292</v>
      </c>
      <c r="B1169" s="11">
        <v>4.22302103042602</v>
      </c>
      <c r="C1169" s="11">
        <v>1.0</v>
      </c>
      <c r="D1169" s="11" t="s">
        <v>2602</v>
      </c>
      <c r="E1169" s="11">
        <v>1.0</v>
      </c>
      <c r="F1169" s="11" t="s">
        <v>2842</v>
      </c>
    </row>
    <row r="1170">
      <c r="A1170" s="11">
        <v>6.73762559890747</v>
      </c>
      <c r="B1170" s="11">
        <v>-25.3127079010009</v>
      </c>
      <c r="C1170" s="11">
        <v>0.0</v>
      </c>
      <c r="D1170" s="11" t="s">
        <v>2602</v>
      </c>
      <c r="E1170" s="11">
        <v>0.0</v>
      </c>
      <c r="F1170" s="11" t="s">
        <v>2843</v>
      </c>
    </row>
    <row r="1171">
      <c r="A1171" s="11">
        <v>52.5281143188476</v>
      </c>
      <c r="B1171" s="11">
        <v>25.2465515136718</v>
      </c>
      <c r="C1171" s="11">
        <v>-1.0</v>
      </c>
      <c r="D1171" s="11" t="s">
        <v>2524</v>
      </c>
      <c r="E1171" s="11">
        <v>-1.0</v>
      </c>
      <c r="F1171" s="11" t="s">
        <v>2844</v>
      </c>
    </row>
    <row r="1172">
      <c r="A1172" s="11">
        <v>53.1424255371093</v>
      </c>
      <c r="B1172" s="11">
        <v>24.9152889251709</v>
      </c>
      <c r="C1172" s="11">
        <v>-1.0</v>
      </c>
      <c r="D1172" s="11" t="s">
        <v>2524</v>
      </c>
      <c r="E1172" s="11">
        <v>-1.0</v>
      </c>
      <c r="F1172" s="11" t="s">
        <v>2845</v>
      </c>
    </row>
    <row r="1173">
      <c r="A1173" s="11">
        <v>48.7175178527832</v>
      </c>
      <c r="B1173" s="11">
        <v>22.7209548950195</v>
      </c>
      <c r="C1173" s="11">
        <v>-1.0</v>
      </c>
      <c r="D1173" s="11" t="s">
        <v>2524</v>
      </c>
      <c r="E1173" s="11">
        <v>-1.0</v>
      </c>
      <c r="F1173" s="11" t="s">
        <v>2846</v>
      </c>
    </row>
    <row r="1174">
      <c r="A1174" s="11">
        <v>46.0553359985351</v>
      </c>
      <c r="B1174" s="11">
        <v>29.6093502044677</v>
      </c>
      <c r="C1174" s="11">
        <v>-1.0</v>
      </c>
      <c r="D1174" s="11" t="s">
        <v>2524</v>
      </c>
      <c r="E1174" s="11">
        <v>-1.0</v>
      </c>
      <c r="F1174" s="11" t="s">
        <v>2847</v>
      </c>
    </row>
    <row r="1175">
      <c r="A1175" s="11">
        <v>22.7343597412109</v>
      </c>
      <c r="B1175" s="11">
        <v>3.59555053710937</v>
      </c>
      <c r="C1175" s="11">
        <v>-1.0</v>
      </c>
      <c r="D1175" s="11" t="s">
        <v>1515</v>
      </c>
      <c r="E1175" s="11">
        <v>-1.0</v>
      </c>
      <c r="F1175" s="11" t="s">
        <v>2848</v>
      </c>
    </row>
    <row r="1176">
      <c r="A1176" s="11">
        <v>-10.6083288192749</v>
      </c>
      <c r="B1176" s="11">
        <v>10.7771110534667</v>
      </c>
      <c r="C1176" s="11">
        <v>0.0</v>
      </c>
      <c r="D1176" s="11" t="s">
        <v>1515</v>
      </c>
      <c r="E1176" s="11">
        <v>0.0</v>
      </c>
      <c r="F1176" s="11" t="s">
        <v>2849</v>
      </c>
    </row>
    <row r="1177">
      <c r="A1177" s="11">
        <v>-4.9443392753601</v>
      </c>
      <c r="B1177" s="11">
        <v>-8.54825592041015</v>
      </c>
      <c r="C1177" s="11">
        <v>-1.0</v>
      </c>
      <c r="D1177" s="11" t="s">
        <v>1515</v>
      </c>
      <c r="E1177" s="11">
        <v>-1.0</v>
      </c>
      <c r="F1177" s="11" t="s">
        <v>2850</v>
      </c>
    </row>
    <row r="1178">
      <c r="A1178" s="11">
        <v>44.964744567871</v>
      </c>
      <c r="B1178" s="11">
        <v>29.7718486785888</v>
      </c>
      <c r="C1178" s="11">
        <v>-1.0</v>
      </c>
      <c r="D1178" s="11" t="s">
        <v>2524</v>
      </c>
      <c r="E1178" s="11">
        <v>-1.0</v>
      </c>
      <c r="F1178" s="11" t="s">
        <v>2851</v>
      </c>
    </row>
    <row r="1179">
      <c r="A1179" s="11">
        <v>46.2479438781738</v>
      </c>
      <c r="B1179" s="11">
        <v>-2.81414318084716</v>
      </c>
      <c r="C1179" s="11">
        <v>-1.0</v>
      </c>
      <c r="D1179" s="11" t="s">
        <v>1061</v>
      </c>
      <c r="E1179" s="11">
        <v>-1.0</v>
      </c>
      <c r="F1179" s="11" t="s">
        <v>2852</v>
      </c>
    </row>
    <row r="1180">
      <c r="A1180" s="11">
        <v>52.0746040344238</v>
      </c>
      <c r="B1180" s="11">
        <v>-17.0182628631591</v>
      </c>
      <c r="C1180" s="11">
        <v>2.0</v>
      </c>
      <c r="D1180" s="11" t="s">
        <v>1061</v>
      </c>
      <c r="E1180" s="11">
        <v>2.0</v>
      </c>
      <c r="F1180" s="11" t="s">
        <v>2853</v>
      </c>
    </row>
    <row r="1181">
      <c r="A1181" s="11">
        <v>52.1445960998535</v>
      </c>
      <c r="B1181" s="11">
        <v>-18.2702770233154</v>
      </c>
      <c r="C1181" s="11">
        <v>1.0</v>
      </c>
      <c r="D1181" s="11" t="s">
        <v>1515</v>
      </c>
      <c r="E1181" s="11">
        <v>1.0</v>
      </c>
      <c r="F1181" s="11" t="s">
        <v>2854</v>
      </c>
    </row>
    <row r="1182">
      <c r="A1182" s="11">
        <v>53.0521125793457</v>
      </c>
      <c r="B1182" s="11">
        <v>-19.0777282714843</v>
      </c>
      <c r="C1182" s="11">
        <v>2.0</v>
      </c>
      <c r="D1182" s="11" t="s">
        <v>1515</v>
      </c>
      <c r="E1182" s="11">
        <v>2.0</v>
      </c>
      <c r="F1182" s="11" t="s">
        <v>2855</v>
      </c>
    </row>
    <row r="1183">
      <c r="A1183" s="11">
        <v>54.118553161621</v>
      </c>
      <c r="B1183" s="11">
        <v>-18.6140899658203</v>
      </c>
      <c r="C1183" s="11">
        <v>2.0</v>
      </c>
      <c r="D1183" s="11" t="s">
        <v>1515</v>
      </c>
      <c r="E1183" s="11">
        <v>2.0</v>
      </c>
      <c r="F1183" s="11" t="s">
        <v>2856</v>
      </c>
    </row>
    <row r="1184">
      <c r="A1184" s="11">
        <v>53.1676635742187</v>
      </c>
      <c r="B1184" s="11">
        <v>-17.8172016143798</v>
      </c>
      <c r="C1184" s="11">
        <v>2.0</v>
      </c>
      <c r="D1184" s="11" t="s">
        <v>1515</v>
      </c>
      <c r="E1184" s="11">
        <v>2.0</v>
      </c>
      <c r="F1184" s="11" t="s">
        <v>2857</v>
      </c>
    </row>
    <row r="1185">
      <c r="A1185" s="11">
        <v>-32.0564460754394</v>
      </c>
      <c r="B1185" s="11">
        <v>2.39257049560546</v>
      </c>
      <c r="C1185" s="11">
        <v>0.0</v>
      </c>
      <c r="D1185" s="11" t="s">
        <v>1061</v>
      </c>
      <c r="E1185" s="11">
        <v>0.0</v>
      </c>
      <c r="F1185" s="11" t="s">
        <v>2858</v>
      </c>
    </row>
    <row r="1186">
      <c r="A1186" s="11">
        <v>-30.2770614624023</v>
      </c>
      <c r="B1186" s="11">
        <v>5.13029289245605</v>
      </c>
      <c r="C1186" s="11">
        <v>0.0</v>
      </c>
      <c r="D1186" s="11" t="s">
        <v>1061</v>
      </c>
      <c r="E1186" s="11">
        <v>0.0</v>
      </c>
      <c r="F1186" s="11" t="s">
        <v>2859</v>
      </c>
    </row>
    <row r="1187">
      <c r="A1187" s="11">
        <v>-15.1416826248168</v>
      </c>
      <c r="B1187" s="11">
        <v>-19.1347274780273</v>
      </c>
      <c r="C1187" s="11">
        <v>-1.0</v>
      </c>
      <c r="D1187" s="11" t="s">
        <v>1515</v>
      </c>
      <c r="E1187" s="11">
        <v>-1.0</v>
      </c>
      <c r="F1187" s="11" t="s">
        <v>2860</v>
      </c>
    </row>
    <row r="1188">
      <c r="A1188" s="11">
        <v>-7.86684370040893</v>
      </c>
      <c r="B1188" s="11">
        <v>-59.3447685241699</v>
      </c>
      <c r="C1188" s="11">
        <v>0.0</v>
      </c>
      <c r="D1188" s="11" t="s">
        <v>1515</v>
      </c>
      <c r="E1188" s="11">
        <v>0.0</v>
      </c>
      <c r="F1188" s="11" t="s">
        <v>2861</v>
      </c>
    </row>
    <row r="1189">
      <c r="A1189" s="11">
        <v>23.2942142486572</v>
      </c>
      <c r="B1189" s="11">
        <v>-12.9737911224365</v>
      </c>
      <c r="C1189" s="11">
        <v>0.0</v>
      </c>
      <c r="D1189" s="11" t="s">
        <v>1515</v>
      </c>
      <c r="E1189" s="11">
        <v>0.0</v>
      </c>
      <c r="F1189" s="11" t="s">
        <v>2862</v>
      </c>
    </row>
    <row r="1190">
      <c r="A1190" s="11">
        <v>-32.8256034851074</v>
      </c>
      <c r="B1190" s="11">
        <v>-0.725281298160553</v>
      </c>
      <c r="C1190" s="11">
        <v>0.0</v>
      </c>
      <c r="D1190" s="11" t="s">
        <v>1515</v>
      </c>
      <c r="E1190" s="11">
        <v>0.0</v>
      </c>
      <c r="F1190" s="11" t="s">
        <v>2863</v>
      </c>
    </row>
    <row r="1191">
      <c r="A1191" s="11">
        <v>-32.2997589111328</v>
      </c>
      <c r="B1191" s="11">
        <v>2.46355056762695</v>
      </c>
      <c r="C1191" s="11">
        <v>0.0</v>
      </c>
      <c r="D1191" s="11" t="s">
        <v>1061</v>
      </c>
      <c r="E1191" s="11">
        <v>0.0</v>
      </c>
      <c r="F1191" s="11" t="s">
        <v>2864</v>
      </c>
    </row>
    <row r="1192">
      <c r="A1192" s="11">
        <v>-30.3981876373291</v>
      </c>
      <c r="B1192" s="11">
        <v>5.07513618469238</v>
      </c>
      <c r="C1192" s="11">
        <v>0.0</v>
      </c>
      <c r="D1192" s="11" t="s">
        <v>1061</v>
      </c>
      <c r="E1192" s="11">
        <v>0.0</v>
      </c>
      <c r="F1192" s="11" t="s">
        <v>2865</v>
      </c>
    </row>
    <row r="1193">
      <c r="A1193" s="11">
        <v>-32.6291847229003</v>
      </c>
      <c r="B1193" s="11">
        <v>-0.752062857151031</v>
      </c>
      <c r="C1193" s="11">
        <v>0.0</v>
      </c>
      <c r="D1193" s="11" t="s">
        <v>1515</v>
      </c>
      <c r="E1193" s="11">
        <v>0.0</v>
      </c>
      <c r="F1193" s="11" t="s">
        <v>2866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1" t="s">
        <v>1384</v>
      </c>
      <c r="I1" s="11" t="s">
        <v>1386</v>
      </c>
    </row>
    <row r="2">
      <c r="A2" s="11" t="s">
        <v>1056</v>
      </c>
      <c r="B2" s="11" t="s">
        <v>1057</v>
      </c>
      <c r="C2" s="11" t="s">
        <v>1058</v>
      </c>
      <c r="D2" s="11" t="s">
        <v>551</v>
      </c>
      <c r="E2" s="11" t="s">
        <v>1387</v>
      </c>
      <c r="F2" s="11" t="s">
        <v>1060</v>
      </c>
      <c r="I2" s="11" t="s">
        <v>1056</v>
      </c>
      <c r="J2" s="11" t="s">
        <v>1057</v>
      </c>
      <c r="K2" s="11" t="s">
        <v>1058</v>
      </c>
      <c r="L2" s="11" t="s">
        <v>551</v>
      </c>
      <c r="M2" s="11" t="s">
        <v>1387</v>
      </c>
      <c r="N2" s="11" t="s">
        <v>1060</v>
      </c>
    </row>
    <row r="3">
      <c r="A3" s="11">
        <v>12.2662382125854</v>
      </c>
      <c r="B3" s="11">
        <v>-17.4076862335205</v>
      </c>
      <c r="C3" s="11">
        <v>0.0</v>
      </c>
      <c r="D3" s="11" t="s">
        <v>1061</v>
      </c>
      <c r="E3" s="11">
        <v>0.0</v>
      </c>
      <c r="F3" s="11" t="s">
        <v>1063</v>
      </c>
      <c r="I3" s="11">
        <v>-3.2822413444519</v>
      </c>
      <c r="J3" s="11">
        <v>-6.99270009994506</v>
      </c>
      <c r="K3" s="11">
        <v>0.0</v>
      </c>
      <c r="L3" s="11" t="s">
        <v>1390</v>
      </c>
      <c r="M3" s="11">
        <v>0.0</v>
      </c>
      <c r="N3" s="11" t="s">
        <v>1391</v>
      </c>
    </row>
    <row r="4">
      <c r="A4" s="11">
        <v>25.9359416961669</v>
      </c>
      <c r="B4" s="11">
        <v>37.6414146423339</v>
      </c>
      <c r="C4" s="11">
        <v>2.0</v>
      </c>
      <c r="D4" s="11" t="s">
        <v>1061</v>
      </c>
      <c r="E4" s="11">
        <v>2.0</v>
      </c>
      <c r="F4" s="11" t="s">
        <v>1393</v>
      </c>
      <c r="I4" s="11">
        <v>45.8907585144043</v>
      </c>
      <c r="J4" s="11">
        <v>-4.77385282516479</v>
      </c>
      <c r="K4" s="11">
        <v>-1.0</v>
      </c>
      <c r="L4" s="11" t="s">
        <v>1390</v>
      </c>
      <c r="M4" s="11">
        <v>-1.0</v>
      </c>
      <c r="N4" s="11" t="s">
        <v>1394</v>
      </c>
    </row>
    <row r="5">
      <c r="A5" s="11">
        <v>22.1146907806396</v>
      </c>
      <c r="B5" s="11">
        <v>-5.26474046707153</v>
      </c>
      <c r="C5" s="11">
        <v>0.0</v>
      </c>
      <c r="D5" s="11" t="s">
        <v>1061</v>
      </c>
      <c r="E5" s="11">
        <v>0.0</v>
      </c>
      <c r="F5" s="11" t="s">
        <v>1064</v>
      </c>
      <c r="I5" s="11">
        <v>-18.5785083770751</v>
      </c>
      <c r="J5" s="11">
        <v>39.0400352478027</v>
      </c>
      <c r="K5" s="11">
        <v>1.0</v>
      </c>
      <c r="L5" s="11" t="s">
        <v>1390</v>
      </c>
      <c r="M5" s="11">
        <v>1.0</v>
      </c>
      <c r="N5" s="11" t="s">
        <v>1397</v>
      </c>
    </row>
    <row r="6">
      <c r="A6" s="11">
        <v>23.6193389892578</v>
      </c>
      <c r="B6" s="11">
        <v>31.5439834594726</v>
      </c>
      <c r="C6" s="11">
        <v>2.0</v>
      </c>
      <c r="D6" s="11" t="s">
        <v>1061</v>
      </c>
      <c r="E6" s="11">
        <v>2.0</v>
      </c>
      <c r="F6" s="11" t="s">
        <v>1065</v>
      </c>
      <c r="I6" s="11">
        <v>-19.1436195373535</v>
      </c>
      <c r="J6" s="11">
        <v>32.3612442016601</v>
      </c>
      <c r="K6" s="11">
        <v>1.0</v>
      </c>
      <c r="L6" s="11" t="s">
        <v>1390</v>
      </c>
      <c r="M6" s="11">
        <v>1.0</v>
      </c>
      <c r="N6" s="11" t="s">
        <v>1399</v>
      </c>
    </row>
    <row r="7">
      <c r="A7" s="11">
        <v>-39.3951034545898</v>
      </c>
      <c r="B7" s="11">
        <v>27.7690639495849</v>
      </c>
      <c r="C7" s="11">
        <v>-1.0</v>
      </c>
      <c r="D7" s="11" t="s">
        <v>1061</v>
      </c>
      <c r="E7" s="11">
        <v>-1.0</v>
      </c>
      <c r="F7" s="11" t="s">
        <v>1066</v>
      </c>
      <c r="I7" s="11">
        <v>-17.674180984497</v>
      </c>
      <c r="J7" s="11">
        <v>37.7936859130859</v>
      </c>
      <c r="K7" s="11">
        <v>1.0</v>
      </c>
      <c r="L7" s="11" t="s">
        <v>1390</v>
      </c>
      <c r="M7" s="11">
        <v>1.0</v>
      </c>
      <c r="N7" s="11" t="s">
        <v>1401</v>
      </c>
    </row>
    <row r="8">
      <c r="A8" s="11">
        <v>-41.5936126708984</v>
      </c>
      <c r="B8" s="11">
        <v>31.8875408172607</v>
      </c>
      <c r="C8" s="11">
        <v>-1.0</v>
      </c>
      <c r="D8" s="11" t="s">
        <v>1061</v>
      </c>
      <c r="E8" s="11">
        <v>-1.0</v>
      </c>
      <c r="F8" s="11" t="s">
        <v>1067</v>
      </c>
      <c r="I8" s="11">
        <v>-0.671793937683105</v>
      </c>
      <c r="J8" s="11">
        <v>-6.80934429168701</v>
      </c>
      <c r="K8" s="11">
        <v>0.0</v>
      </c>
      <c r="L8" s="11" t="s">
        <v>1390</v>
      </c>
      <c r="M8" s="11">
        <v>0.0</v>
      </c>
      <c r="N8" s="11" t="s">
        <v>1403</v>
      </c>
    </row>
    <row r="9">
      <c r="A9" s="11">
        <v>23.5349540710449</v>
      </c>
      <c r="B9" s="11">
        <v>32.0638046264648</v>
      </c>
      <c r="C9" s="11">
        <v>2.0</v>
      </c>
      <c r="D9" s="11" t="s">
        <v>1061</v>
      </c>
      <c r="E9" s="11">
        <v>2.0</v>
      </c>
      <c r="F9" s="11" t="s">
        <v>1068</v>
      </c>
      <c r="I9" s="11">
        <v>-3.01288414001464</v>
      </c>
      <c r="J9" s="11">
        <v>29.6789855957031</v>
      </c>
      <c r="K9" s="11">
        <v>0.0</v>
      </c>
      <c r="L9" s="11" t="s">
        <v>1390</v>
      </c>
      <c r="M9" s="11">
        <v>0.0</v>
      </c>
      <c r="N9" s="11" t="s">
        <v>1405</v>
      </c>
    </row>
    <row r="10">
      <c r="A10" s="11">
        <v>17.8071231842041</v>
      </c>
      <c r="B10" s="11">
        <v>-3.06172013282775</v>
      </c>
      <c r="C10" s="11">
        <v>0.0</v>
      </c>
      <c r="D10" s="11" t="s">
        <v>1061</v>
      </c>
      <c r="E10" s="11">
        <v>0.0</v>
      </c>
      <c r="F10" s="11" t="s">
        <v>1069</v>
      </c>
      <c r="I10" s="11">
        <v>39.8511047363281</v>
      </c>
      <c r="J10" s="11">
        <v>-2.52490878105163</v>
      </c>
      <c r="K10" s="11">
        <v>0.0</v>
      </c>
      <c r="L10" s="11" t="s">
        <v>1390</v>
      </c>
      <c r="M10" s="11">
        <v>0.0</v>
      </c>
      <c r="N10" s="11" t="s">
        <v>1407</v>
      </c>
    </row>
    <row r="11">
      <c r="A11" s="11">
        <v>-30.7591533660888</v>
      </c>
      <c r="B11" s="11">
        <v>4.99947881698608</v>
      </c>
      <c r="C11" s="11">
        <v>0.0</v>
      </c>
      <c r="D11" s="11" t="s">
        <v>1061</v>
      </c>
      <c r="E11" s="11">
        <v>0.0</v>
      </c>
      <c r="F11" s="11" t="s">
        <v>1070</v>
      </c>
      <c r="I11" s="11">
        <v>13.6864986419677</v>
      </c>
      <c r="J11" s="11">
        <v>-2.62788152694702</v>
      </c>
      <c r="K11" s="11">
        <v>0.0</v>
      </c>
      <c r="L11" s="11" t="s">
        <v>1390</v>
      </c>
      <c r="M11" s="11">
        <v>0.0</v>
      </c>
      <c r="N11" s="11" t="s">
        <v>1409</v>
      </c>
    </row>
    <row r="12">
      <c r="A12" s="11">
        <v>-40.73091506958</v>
      </c>
      <c r="B12" s="11">
        <v>4.03081464767456</v>
      </c>
      <c r="C12" s="11">
        <v>-1.0</v>
      </c>
      <c r="D12" s="11" t="s">
        <v>1061</v>
      </c>
      <c r="E12" s="11">
        <v>-1.0</v>
      </c>
      <c r="F12" s="11" t="s">
        <v>1071</v>
      </c>
      <c r="I12" s="11">
        <v>37.3684844970703</v>
      </c>
      <c r="J12" s="11">
        <v>-5.5181655883789</v>
      </c>
      <c r="K12" s="11">
        <v>0.0</v>
      </c>
      <c r="L12" s="11" t="s">
        <v>1390</v>
      </c>
      <c r="M12" s="11">
        <v>0.0</v>
      </c>
      <c r="N12" s="11" t="s">
        <v>1411</v>
      </c>
    </row>
    <row r="13">
      <c r="A13" s="11">
        <v>-35.520523071289</v>
      </c>
      <c r="B13" s="11">
        <v>-15.6542911529541</v>
      </c>
      <c r="C13" s="11">
        <v>0.0</v>
      </c>
      <c r="D13" s="11" t="s">
        <v>1061</v>
      </c>
      <c r="E13" s="11">
        <v>0.0</v>
      </c>
      <c r="F13" s="11" t="s">
        <v>1072</v>
      </c>
      <c r="I13" s="11">
        <v>20.8247642517089</v>
      </c>
      <c r="J13" s="11">
        <v>4.35324335098266</v>
      </c>
      <c r="K13" s="11">
        <v>-1.0</v>
      </c>
      <c r="L13" s="11" t="s">
        <v>1390</v>
      </c>
      <c r="M13" s="11">
        <v>-1.0</v>
      </c>
      <c r="N13" s="11" t="s">
        <v>1414</v>
      </c>
    </row>
    <row r="14">
      <c r="A14" s="11">
        <v>-15.6462087631225</v>
      </c>
      <c r="B14" s="11">
        <v>-4.04033470153808</v>
      </c>
      <c r="C14" s="11">
        <v>0.0</v>
      </c>
      <c r="D14" s="11" t="s">
        <v>1061</v>
      </c>
      <c r="E14" s="11">
        <v>0.0</v>
      </c>
      <c r="F14" s="11" t="s">
        <v>1073</v>
      </c>
      <c r="I14" s="11">
        <v>-6.2785210609436</v>
      </c>
      <c r="J14" s="11">
        <v>-18.6243000030517</v>
      </c>
      <c r="K14" s="11">
        <v>0.0</v>
      </c>
      <c r="L14" s="11" t="s">
        <v>1390</v>
      </c>
      <c r="M14" s="11">
        <v>0.0</v>
      </c>
      <c r="N14" s="11" t="s">
        <v>1416</v>
      </c>
    </row>
    <row r="15">
      <c r="A15" s="11">
        <v>-15.5754680633544</v>
      </c>
      <c r="B15" s="11">
        <v>11.2389011383056</v>
      </c>
      <c r="C15" s="11">
        <v>0.0</v>
      </c>
      <c r="D15" s="11" t="s">
        <v>1061</v>
      </c>
      <c r="E15" s="11">
        <v>0.0</v>
      </c>
      <c r="F15" s="11" t="s">
        <v>1074</v>
      </c>
      <c r="I15" s="11">
        <v>32.3576431274414</v>
      </c>
      <c r="J15" s="11">
        <v>-4.84519815444946</v>
      </c>
      <c r="K15" s="11">
        <v>0.0</v>
      </c>
      <c r="L15" s="11" t="s">
        <v>1390</v>
      </c>
      <c r="M15" s="11">
        <v>0.0</v>
      </c>
      <c r="N15" s="11" t="s">
        <v>1418</v>
      </c>
    </row>
    <row r="16">
      <c r="A16" s="11">
        <v>38.1755828857421</v>
      </c>
      <c r="B16" s="11">
        <v>17.9706516265869</v>
      </c>
      <c r="C16" s="11">
        <v>2.0</v>
      </c>
      <c r="D16" s="11" t="s">
        <v>1061</v>
      </c>
      <c r="E16" s="11">
        <v>2.0</v>
      </c>
      <c r="F16" s="11" t="s">
        <v>1075</v>
      </c>
      <c r="I16" s="11">
        <v>-15.8872909545898</v>
      </c>
      <c r="J16" s="11">
        <v>37.4474449157714</v>
      </c>
      <c r="K16" s="11">
        <v>1.0</v>
      </c>
      <c r="L16" s="11" t="s">
        <v>1390</v>
      </c>
      <c r="M16" s="11">
        <v>1.0</v>
      </c>
      <c r="N16" s="11" t="s">
        <v>1420</v>
      </c>
    </row>
    <row r="17">
      <c r="A17" s="11">
        <v>-31.2119159698486</v>
      </c>
      <c r="B17" s="11">
        <v>5.0958251953125</v>
      </c>
      <c r="C17" s="11">
        <v>0.0</v>
      </c>
      <c r="D17" s="11" t="s">
        <v>1061</v>
      </c>
      <c r="E17" s="11">
        <v>0.0</v>
      </c>
      <c r="F17" s="11" t="s">
        <v>1076</v>
      </c>
      <c r="I17" s="11">
        <v>47.1738204956054</v>
      </c>
      <c r="J17" s="11">
        <v>-22.3224258422851</v>
      </c>
      <c r="K17" s="11">
        <v>-2.0</v>
      </c>
      <c r="L17" s="11" t="s">
        <v>1390</v>
      </c>
      <c r="M17" s="11">
        <v>-2.0</v>
      </c>
      <c r="N17" s="11" t="s">
        <v>1422</v>
      </c>
    </row>
    <row r="18">
      <c r="A18" s="11">
        <v>17.6545810699462</v>
      </c>
      <c r="B18" s="11">
        <v>-19.4440650939941</v>
      </c>
      <c r="C18" s="11">
        <v>0.0</v>
      </c>
      <c r="D18" s="11" t="s">
        <v>1061</v>
      </c>
      <c r="E18" s="11">
        <v>0.0</v>
      </c>
      <c r="F18" s="11" t="s">
        <v>1077</v>
      </c>
      <c r="I18" s="11">
        <v>-2.32659268379211</v>
      </c>
      <c r="J18" s="11">
        <v>-15.4946451187133</v>
      </c>
      <c r="K18" s="11">
        <v>0.0</v>
      </c>
      <c r="L18" s="11" t="s">
        <v>1390</v>
      </c>
      <c r="M18" s="11">
        <v>0.0</v>
      </c>
      <c r="N18" s="11" t="s">
        <v>1424</v>
      </c>
    </row>
    <row r="19">
      <c r="A19" s="11">
        <v>-41.2896385192871</v>
      </c>
      <c r="B19" s="11">
        <v>36.5126762390136</v>
      </c>
      <c r="C19" s="11">
        <v>-2.0</v>
      </c>
      <c r="D19" s="11" t="s">
        <v>1061</v>
      </c>
      <c r="E19" s="11">
        <v>-2.0</v>
      </c>
      <c r="F19" s="11" t="s">
        <v>1078</v>
      </c>
      <c r="I19" s="11">
        <v>-11.266484260559</v>
      </c>
      <c r="J19" s="11">
        <v>29.0477790832519</v>
      </c>
      <c r="K19" s="11">
        <v>0.0</v>
      </c>
      <c r="L19" s="11" t="s">
        <v>1390</v>
      </c>
      <c r="M19" s="11">
        <v>0.0</v>
      </c>
      <c r="N19" s="11" t="s">
        <v>1427</v>
      </c>
    </row>
    <row r="20">
      <c r="A20" s="11">
        <v>-33.3885498046875</v>
      </c>
      <c r="B20" s="11">
        <v>30.6471405029296</v>
      </c>
      <c r="C20" s="11">
        <v>-1.0</v>
      </c>
      <c r="D20" s="11" t="s">
        <v>1061</v>
      </c>
      <c r="E20" s="11">
        <v>-1.0</v>
      </c>
      <c r="F20" s="11" t="s">
        <v>1079</v>
      </c>
      <c r="I20" s="11">
        <v>39.7057952880859</v>
      </c>
      <c r="J20" s="11">
        <v>-6.33652830123901</v>
      </c>
      <c r="K20" s="11">
        <v>-1.0</v>
      </c>
      <c r="L20" s="11" t="s">
        <v>1390</v>
      </c>
      <c r="M20" s="11">
        <v>-1.0</v>
      </c>
      <c r="N20" s="11" t="s">
        <v>1429</v>
      </c>
    </row>
    <row r="21">
      <c r="A21" s="11">
        <v>5.76623678207397</v>
      </c>
      <c r="B21" s="11">
        <v>-5.70707035064697</v>
      </c>
      <c r="C21" s="11">
        <v>0.0</v>
      </c>
      <c r="D21" s="11" t="s">
        <v>1061</v>
      </c>
      <c r="E21" s="11">
        <v>0.0</v>
      </c>
      <c r="F21" s="11" t="s">
        <v>1080</v>
      </c>
      <c r="I21" s="11">
        <v>16.7532291412353</v>
      </c>
      <c r="J21" s="11">
        <v>14.6202011108398</v>
      </c>
      <c r="K21" s="11">
        <v>0.0</v>
      </c>
      <c r="L21" s="11" t="s">
        <v>1390</v>
      </c>
      <c r="M21" s="11">
        <v>0.0</v>
      </c>
      <c r="N21" s="11" t="s">
        <v>1431</v>
      </c>
    </row>
    <row r="22">
      <c r="A22" s="11">
        <v>24.4962120056152</v>
      </c>
      <c r="B22" s="11">
        <v>-14.2530040740966</v>
      </c>
      <c r="C22" s="11">
        <v>0.0</v>
      </c>
      <c r="D22" s="11" t="s">
        <v>1061</v>
      </c>
      <c r="E22" s="11">
        <v>0.0</v>
      </c>
      <c r="F22" s="11" t="s">
        <v>1081</v>
      </c>
      <c r="I22" s="11">
        <v>46.9283638000488</v>
      </c>
      <c r="J22" s="11">
        <v>-2.46180629730224</v>
      </c>
      <c r="K22" s="11">
        <v>0.0</v>
      </c>
      <c r="L22" s="11" t="s">
        <v>1390</v>
      </c>
      <c r="M22" s="11">
        <v>0.0</v>
      </c>
      <c r="N22" s="11" t="s">
        <v>1433</v>
      </c>
    </row>
    <row r="23">
      <c r="A23" s="11">
        <v>40.021484375</v>
      </c>
      <c r="B23" s="11">
        <v>-9.80569458007812</v>
      </c>
      <c r="C23" s="11">
        <v>0.0</v>
      </c>
      <c r="D23" s="11" t="s">
        <v>1061</v>
      </c>
      <c r="E23" s="11">
        <v>0.0</v>
      </c>
      <c r="F23" s="11" t="s">
        <v>1082</v>
      </c>
      <c r="I23" s="11">
        <v>-19.9060554504394</v>
      </c>
      <c r="J23" s="11">
        <v>42.5833625793457</v>
      </c>
      <c r="K23" s="11">
        <v>2.0</v>
      </c>
      <c r="L23" s="11" t="s">
        <v>1390</v>
      </c>
      <c r="M23" s="11">
        <v>2.0</v>
      </c>
      <c r="N23" s="11" t="s">
        <v>1435</v>
      </c>
    </row>
    <row r="24">
      <c r="A24" s="11">
        <v>-17.8890781402587</v>
      </c>
      <c r="B24" s="11">
        <v>-3.276620388031</v>
      </c>
      <c r="C24" s="11">
        <v>0.0</v>
      </c>
      <c r="D24" s="11" t="s">
        <v>1061</v>
      </c>
      <c r="E24" s="11">
        <v>0.0</v>
      </c>
      <c r="F24" s="11" t="s">
        <v>1083</v>
      </c>
      <c r="I24" s="11">
        <v>-14.6977472305297</v>
      </c>
      <c r="J24" s="11">
        <v>30.4631195068359</v>
      </c>
      <c r="K24" s="11">
        <v>1.0</v>
      </c>
      <c r="L24" s="11" t="s">
        <v>1390</v>
      </c>
      <c r="M24" s="11">
        <v>1.0</v>
      </c>
      <c r="N24" s="11" t="s">
        <v>1437</v>
      </c>
    </row>
    <row r="25">
      <c r="A25" s="11">
        <v>24.2744884490966</v>
      </c>
      <c r="B25" s="11">
        <v>30.3454780578613</v>
      </c>
      <c r="C25" s="11">
        <v>2.0</v>
      </c>
      <c r="D25" s="11" t="s">
        <v>1061</v>
      </c>
      <c r="E25" s="11">
        <v>2.0</v>
      </c>
      <c r="F25" s="11" t="s">
        <v>1084</v>
      </c>
      <c r="I25" s="11">
        <v>43.9131202697753</v>
      </c>
      <c r="J25" s="11">
        <v>-6.58505153656005</v>
      </c>
      <c r="K25" s="11">
        <v>-1.0</v>
      </c>
      <c r="L25" s="11" t="s">
        <v>1390</v>
      </c>
      <c r="M25" s="11">
        <v>-1.0</v>
      </c>
      <c r="N25" s="11" t="s">
        <v>1440</v>
      </c>
    </row>
    <row r="26">
      <c r="A26" s="11">
        <v>-13.2970256805419</v>
      </c>
      <c r="B26" s="11">
        <v>-3.60962057113647</v>
      </c>
      <c r="C26" s="11">
        <v>0.0</v>
      </c>
      <c r="D26" s="11" t="s">
        <v>1061</v>
      </c>
      <c r="E26" s="11">
        <v>0.0</v>
      </c>
      <c r="F26" s="11" t="s">
        <v>1085</v>
      </c>
      <c r="I26" s="11">
        <v>-17.674180984497</v>
      </c>
      <c r="J26" s="11">
        <v>37.7936859130859</v>
      </c>
      <c r="K26" s="11">
        <v>1.0</v>
      </c>
      <c r="L26" s="11" t="s">
        <v>1390</v>
      </c>
      <c r="M26" s="11">
        <v>1.0</v>
      </c>
      <c r="N26" s="11" t="s">
        <v>1443</v>
      </c>
    </row>
    <row r="27">
      <c r="A27" s="11">
        <v>7.29059267044067</v>
      </c>
      <c r="B27" s="11">
        <v>-1.43066370487213</v>
      </c>
      <c r="C27" s="11">
        <v>0.0</v>
      </c>
      <c r="D27" s="11" t="s">
        <v>1061</v>
      </c>
      <c r="E27" s="11">
        <v>0.0</v>
      </c>
      <c r="F27" s="11" t="s">
        <v>1086</v>
      </c>
      <c r="I27" s="11">
        <v>-7.24538040161132</v>
      </c>
      <c r="J27" s="11">
        <v>-19.1999168395996</v>
      </c>
      <c r="K27" s="11">
        <v>0.0</v>
      </c>
      <c r="L27" s="11" t="s">
        <v>1390</v>
      </c>
      <c r="M27" s="11">
        <v>0.0</v>
      </c>
      <c r="N27" s="11" t="s">
        <v>1444</v>
      </c>
    </row>
    <row r="28">
      <c r="A28" s="11">
        <v>-36.5337181091308</v>
      </c>
      <c r="B28" s="11">
        <v>6.3936448097229</v>
      </c>
      <c r="C28" s="11">
        <v>0.0</v>
      </c>
      <c r="D28" s="11" t="s">
        <v>1061</v>
      </c>
      <c r="E28" s="11">
        <v>0.0</v>
      </c>
      <c r="F28" s="11" t="s">
        <v>1087</v>
      </c>
      <c r="I28" s="11">
        <v>16.474739074707</v>
      </c>
      <c r="J28" s="11">
        <v>15.8047485351562</v>
      </c>
      <c r="K28" s="11">
        <v>0.0</v>
      </c>
      <c r="L28" s="11" t="s">
        <v>1390</v>
      </c>
      <c r="M28" s="11">
        <v>0.0</v>
      </c>
      <c r="N28" s="11" t="s">
        <v>1449</v>
      </c>
    </row>
    <row r="29">
      <c r="A29" s="11">
        <v>-10.5114364624023</v>
      </c>
      <c r="B29" s="11">
        <v>1.94995176792144</v>
      </c>
      <c r="C29" s="11">
        <v>0.0</v>
      </c>
      <c r="D29" s="11" t="s">
        <v>1061</v>
      </c>
      <c r="E29" s="11">
        <v>0.0</v>
      </c>
      <c r="F29" s="11" t="s">
        <v>1088</v>
      </c>
      <c r="I29" s="11">
        <v>-16.77734375</v>
      </c>
      <c r="J29" s="11">
        <v>33.5909233093261</v>
      </c>
      <c r="K29" s="11">
        <v>1.0</v>
      </c>
      <c r="L29" s="11" t="s">
        <v>1390</v>
      </c>
      <c r="M29" s="11">
        <v>1.0</v>
      </c>
      <c r="N29" s="11" t="s">
        <v>1451</v>
      </c>
    </row>
    <row r="30">
      <c r="A30" s="11">
        <v>43.3494071960449</v>
      </c>
      <c r="B30" s="11">
        <v>-5.64047288894653</v>
      </c>
      <c r="C30" s="11">
        <v>1.0</v>
      </c>
      <c r="D30" s="11" t="s">
        <v>1061</v>
      </c>
      <c r="E30" s="11">
        <v>1.0</v>
      </c>
      <c r="F30" s="11" t="s">
        <v>1089</v>
      </c>
      <c r="I30" s="11">
        <v>2.13684058189392</v>
      </c>
      <c r="J30" s="11">
        <v>17.2415142059326</v>
      </c>
      <c r="K30" s="11">
        <v>0.0</v>
      </c>
      <c r="L30" s="11" t="s">
        <v>1390</v>
      </c>
      <c r="M30" s="11">
        <v>0.0</v>
      </c>
      <c r="N30" s="11" t="s">
        <v>1454</v>
      </c>
    </row>
    <row r="31">
      <c r="A31" s="11">
        <v>-36.5033073425293</v>
      </c>
      <c r="B31" s="11">
        <v>-8.59403038024902</v>
      </c>
      <c r="C31" s="11">
        <v>0.0</v>
      </c>
      <c r="D31" s="11" t="s">
        <v>1061</v>
      </c>
      <c r="E31" s="11">
        <v>0.0</v>
      </c>
      <c r="F31" s="11" t="s">
        <v>1090</v>
      </c>
      <c r="I31" s="11">
        <v>16.6281032562255</v>
      </c>
      <c r="J31" s="11">
        <v>12.9975938796997</v>
      </c>
      <c r="K31" s="11">
        <v>0.0</v>
      </c>
      <c r="L31" s="11" t="s">
        <v>1390</v>
      </c>
      <c r="M31" s="11">
        <v>0.0</v>
      </c>
      <c r="N31" s="11" t="s">
        <v>1456</v>
      </c>
    </row>
    <row r="32">
      <c r="A32" s="11">
        <v>21.2833595275878</v>
      </c>
      <c r="B32" s="11">
        <v>-26.148546218872</v>
      </c>
      <c r="C32" s="11">
        <v>0.0</v>
      </c>
      <c r="D32" s="11" t="s">
        <v>1061</v>
      </c>
      <c r="E32" s="11">
        <v>0.0</v>
      </c>
      <c r="F32" s="11" t="s">
        <v>1091</v>
      </c>
      <c r="I32" s="11">
        <v>43.4170837402343</v>
      </c>
      <c r="J32" s="11">
        <v>-4.03660440444946</v>
      </c>
      <c r="K32" s="11">
        <v>0.0</v>
      </c>
      <c r="L32" s="11" t="s">
        <v>1390</v>
      </c>
      <c r="M32" s="11">
        <v>0.0</v>
      </c>
      <c r="N32" s="11" t="s">
        <v>1458</v>
      </c>
    </row>
    <row r="33">
      <c r="A33" s="11">
        <v>12.70556640625</v>
      </c>
      <c r="B33" s="11">
        <v>-28.784029006958</v>
      </c>
      <c r="C33" s="11">
        <v>0.0</v>
      </c>
      <c r="D33" s="11" t="s">
        <v>1061</v>
      </c>
      <c r="E33" s="11">
        <v>0.0</v>
      </c>
      <c r="F33" s="11" t="s">
        <v>1092</v>
      </c>
      <c r="I33" s="11">
        <v>15.7804851531982</v>
      </c>
      <c r="J33" s="11">
        <v>5.03219604492187</v>
      </c>
      <c r="K33" s="11">
        <v>0.0</v>
      </c>
      <c r="L33" s="11" t="s">
        <v>1390</v>
      </c>
      <c r="M33" s="11">
        <v>0.0</v>
      </c>
      <c r="N33" s="11" t="s">
        <v>1460</v>
      </c>
    </row>
    <row r="34">
      <c r="A34" s="11">
        <v>-38.376407623291</v>
      </c>
      <c r="B34" s="11">
        <v>43.8171005249023</v>
      </c>
      <c r="C34" s="11">
        <v>-2.0</v>
      </c>
      <c r="D34" s="11" t="s">
        <v>1061</v>
      </c>
      <c r="E34" s="11">
        <v>-2.0</v>
      </c>
      <c r="F34" s="11" t="s">
        <v>1093</v>
      </c>
      <c r="I34" s="11">
        <v>-14.2912883758544</v>
      </c>
      <c r="J34" s="11">
        <v>36.5724830627441</v>
      </c>
      <c r="K34" s="11">
        <v>1.0</v>
      </c>
      <c r="L34" s="11" t="s">
        <v>1390</v>
      </c>
      <c r="M34" s="11">
        <v>1.0</v>
      </c>
      <c r="N34" s="11" t="s">
        <v>1462</v>
      </c>
    </row>
    <row r="35">
      <c r="A35" s="11">
        <v>23.8624935150146</v>
      </c>
      <c r="B35" s="11">
        <v>31.1351985931396</v>
      </c>
      <c r="C35" s="11">
        <v>2.0</v>
      </c>
      <c r="D35" s="11" t="s">
        <v>1061</v>
      </c>
      <c r="E35" s="11">
        <v>2.0</v>
      </c>
      <c r="F35" s="11" t="s">
        <v>1094</v>
      </c>
      <c r="I35" s="11">
        <v>-1.33247280120849</v>
      </c>
      <c r="J35" s="11">
        <v>-7.62047672271728</v>
      </c>
      <c r="K35" s="11">
        <v>0.0</v>
      </c>
      <c r="L35" s="11" t="s">
        <v>1390</v>
      </c>
      <c r="M35" s="11">
        <v>0.0</v>
      </c>
      <c r="N35" s="11" t="s">
        <v>1464</v>
      </c>
    </row>
    <row r="36">
      <c r="A36" s="11">
        <v>-40.740737915039</v>
      </c>
      <c r="B36" s="11">
        <v>4.02514553070068</v>
      </c>
      <c r="C36" s="11">
        <v>-1.0</v>
      </c>
      <c r="D36" s="11" t="s">
        <v>1061</v>
      </c>
      <c r="E36" s="11">
        <v>-1.0</v>
      </c>
      <c r="F36" s="11" t="s">
        <v>1095</v>
      </c>
      <c r="I36" s="11">
        <v>-16.2764739990234</v>
      </c>
      <c r="J36" s="11">
        <v>43.8737068176269</v>
      </c>
      <c r="K36" s="11">
        <v>2.0</v>
      </c>
      <c r="L36" s="11" t="s">
        <v>1390</v>
      </c>
      <c r="M36" s="11">
        <v>2.0</v>
      </c>
      <c r="N36" s="11" t="s">
        <v>1467</v>
      </c>
    </row>
    <row r="37">
      <c r="A37" s="11">
        <v>-42.4385337829589</v>
      </c>
      <c r="B37" s="11">
        <v>25.8122253417968</v>
      </c>
      <c r="C37" s="11">
        <v>-1.0</v>
      </c>
      <c r="D37" s="11" t="s">
        <v>1061</v>
      </c>
      <c r="E37" s="11">
        <v>-1.0</v>
      </c>
      <c r="F37" s="11" t="s">
        <v>1096</v>
      </c>
      <c r="I37" s="11">
        <v>-16.6218185424804</v>
      </c>
      <c r="J37" s="11">
        <v>29.4889392852783</v>
      </c>
      <c r="K37" s="11">
        <v>1.0</v>
      </c>
      <c r="L37" s="11" t="s">
        <v>1390</v>
      </c>
      <c r="M37" s="11">
        <v>1.0</v>
      </c>
      <c r="N37" s="11" t="s">
        <v>1469</v>
      </c>
    </row>
    <row r="38">
      <c r="A38" s="11">
        <v>-42.4384040832519</v>
      </c>
      <c r="B38" s="11">
        <v>25.8117332458496</v>
      </c>
      <c r="C38" s="11">
        <v>-1.0</v>
      </c>
      <c r="D38" s="11" t="s">
        <v>1061</v>
      </c>
      <c r="E38" s="11">
        <v>-1.0</v>
      </c>
      <c r="F38" s="11" t="s">
        <v>1097</v>
      </c>
      <c r="I38" s="11">
        <v>9.69861221313476</v>
      </c>
      <c r="J38" s="11">
        <v>19.1286296844482</v>
      </c>
      <c r="K38" s="11">
        <v>0.0</v>
      </c>
      <c r="L38" s="11" t="s">
        <v>1390</v>
      </c>
      <c r="M38" s="11">
        <v>0.0</v>
      </c>
      <c r="N38" s="11" t="s">
        <v>1471</v>
      </c>
    </row>
    <row r="39">
      <c r="A39" s="11">
        <v>23.8264484405517</v>
      </c>
      <c r="B39" s="11">
        <v>32.8816413879394</v>
      </c>
      <c r="C39" s="11">
        <v>2.0</v>
      </c>
      <c r="D39" s="11" t="s">
        <v>1061</v>
      </c>
      <c r="E39" s="11">
        <v>2.0</v>
      </c>
      <c r="F39" s="11" t="s">
        <v>1098</v>
      </c>
      <c r="I39" s="11">
        <v>18.0000057220459</v>
      </c>
      <c r="J39" s="11">
        <v>3.53785490989685</v>
      </c>
      <c r="K39" s="11">
        <v>0.0</v>
      </c>
      <c r="L39" s="11" t="s">
        <v>1390</v>
      </c>
      <c r="M39" s="11">
        <v>0.0</v>
      </c>
      <c r="N39" s="11" t="s">
        <v>1473</v>
      </c>
    </row>
    <row r="40">
      <c r="A40" s="11">
        <v>-39.2341194152832</v>
      </c>
      <c r="B40" s="11">
        <v>17.5244121551513</v>
      </c>
      <c r="C40" s="11">
        <v>-1.0</v>
      </c>
      <c r="D40" s="11" t="s">
        <v>1061</v>
      </c>
      <c r="E40" s="11">
        <v>-1.0</v>
      </c>
      <c r="F40" s="11" t="s">
        <v>1099</v>
      </c>
      <c r="I40" s="11">
        <v>45.4937934875488</v>
      </c>
      <c r="J40" s="11">
        <v>-5.48121404647827</v>
      </c>
      <c r="K40" s="11">
        <v>0.0</v>
      </c>
      <c r="L40" s="11" t="s">
        <v>1390</v>
      </c>
      <c r="M40" s="11">
        <v>0.0</v>
      </c>
      <c r="N40" s="11" t="s">
        <v>1475</v>
      </c>
    </row>
    <row r="41">
      <c r="A41" s="11">
        <v>-2.71639442443847</v>
      </c>
      <c r="B41" s="11">
        <v>-19.0289249420166</v>
      </c>
      <c r="C41" s="11">
        <v>0.0</v>
      </c>
      <c r="D41" s="11" t="s">
        <v>1061</v>
      </c>
      <c r="E41" s="11">
        <v>0.0</v>
      </c>
      <c r="F41" s="11" t="s">
        <v>1100</v>
      </c>
      <c r="I41" s="11">
        <v>6.17412805557251</v>
      </c>
      <c r="J41" s="11">
        <v>20.0744533538818</v>
      </c>
      <c r="K41" s="11">
        <v>0.0</v>
      </c>
      <c r="L41" s="11" t="s">
        <v>1390</v>
      </c>
      <c r="M41" s="11">
        <v>0.0</v>
      </c>
      <c r="N41" s="11" t="s">
        <v>1477</v>
      </c>
    </row>
    <row r="42">
      <c r="A42" s="11">
        <v>-36.4820213317871</v>
      </c>
      <c r="B42" s="11">
        <v>-8.59253406524658</v>
      </c>
      <c r="C42" s="11">
        <v>0.0</v>
      </c>
      <c r="D42" s="11" t="s">
        <v>1061</v>
      </c>
      <c r="E42" s="11">
        <v>0.0</v>
      </c>
      <c r="F42" s="11" t="s">
        <v>1101</v>
      </c>
      <c r="I42" s="11">
        <v>4.96650314331054</v>
      </c>
      <c r="J42" s="11">
        <v>-7.50500774383544</v>
      </c>
      <c r="K42" s="11">
        <v>0.0</v>
      </c>
      <c r="L42" s="11" t="s">
        <v>1390</v>
      </c>
      <c r="M42" s="11">
        <v>0.0</v>
      </c>
      <c r="N42" s="11" t="s">
        <v>1480</v>
      </c>
    </row>
    <row r="43">
      <c r="A43" s="11">
        <v>7.29059267044067</v>
      </c>
      <c r="B43" s="11">
        <v>-1.43066370487213</v>
      </c>
      <c r="C43" s="11">
        <v>0.0</v>
      </c>
      <c r="D43" s="11" t="s">
        <v>1061</v>
      </c>
      <c r="E43" s="11">
        <v>0.0</v>
      </c>
      <c r="F43" s="11" t="s">
        <v>1102</v>
      </c>
      <c r="I43" s="11">
        <v>7.97601127624511</v>
      </c>
      <c r="J43" s="11">
        <v>28.2819957733154</v>
      </c>
      <c r="K43" s="11">
        <v>0.0</v>
      </c>
      <c r="L43" s="11" t="s">
        <v>1390</v>
      </c>
      <c r="M43" s="11">
        <v>0.0</v>
      </c>
      <c r="N43" s="11" t="s">
        <v>1482</v>
      </c>
    </row>
    <row r="44">
      <c r="A44" s="11">
        <v>-39.8516616821289</v>
      </c>
      <c r="B44" s="11">
        <v>7.80880403518676</v>
      </c>
      <c r="C44" s="11">
        <v>0.0</v>
      </c>
      <c r="D44" s="11" t="s">
        <v>1061</v>
      </c>
      <c r="E44" s="11">
        <v>0.0</v>
      </c>
      <c r="F44" s="11" t="s">
        <v>1103</v>
      </c>
      <c r="I44" s="11">
        <v>5.51547956466674</v>
      </c>
      <c r="J44" s="11">
        <v>18.6753311157226</v>
      </c>
      <c r="K44" s="11">
        <v>0.0</v>
      </c>
      <c r="L44" s="11" t="s">
        <v>1390</v>
      </c>
      <c r="M44" s="11">
        <v>0.0</v>
      </c>
      <c r="N44" s="11" t="s">
        <v>1485</v>
      </c>
    </row>
    <row r="45">
      <c r="A45" s="11">
        <v>21.6492347717285</v>
      </c>
      <c r="B45" s="11">
        <v>-28.620527267456</v>
      </c>
      <c r="C45" s="11">
        <v>0.0</v>
      </c>
      <c r="D45" s="11" t="s">
        <v>1061</v>
      </c>
      <c r="E45" s="11">
        <v>0.0</v>
      </c>
      <c r="F45" s="11" t="s">
        <v>1104</v>
      </c>
      <c r="I45" s="11">
        <v>17.5584754943847</v>
      </c>
      <c r="J45" s="11">
        <v>4.6809344291687</v>
      </c>
      <c r="K45" s="11">
        <v>0.0</v>
      </c>
      <c r="L45" s="11" t="s">
        <v>1390</v>
      </c>
      <c r="M45" s="11">
        <v>0.0</v>
      </c>
      <c r="N45" s="11" t="s">
        <v>1487</v>
      </c>
    </row>
    <row r="46">
      <c r="A46" s="11">
        <v>-33.7775001525878</v>
      </c>
      <c r="B46" s="11">
        <v>30.7032375335693</v>
      </c>
      <c r="C46" s="11">
        <v>-1.0</v>
      </c>
      <c r="D46" s="11" t="s">
        <v>1061</v>
      </c>
      <c r="E46" s="11">
        <v>-1.0</v>
      </c>
      <c r="F46" s="11" t="s">
        <v>1105</v>
      </c>
      <c r="I46" s="11">
        <v>2.10580706596374</v>
      </c>
      <c r="J46" s="11">
        <v>15.8486022949218</v>
      </c>
      <c r="K46" s="11">
        <v>0.0</v>
      </c>
      <c r="L46" s="11" t="s">
        <v>1390</v>
      </c>
      <c r="M46" s="11">
        <v>0.0</v>
      </c>
      <c r="N46" s="11" t="s">
        <v>1489</v>
      </c>
    </row>
    <row r="47">
      <c r="A47" s="11">
        <v>-38.7833862304687</v>
      </c>
      <c r="B47" s="11">
        <v>42.8219985961914</v>
      </c>
      <c r="C47" s="11">
        <v>-2.0</v>
      </c>
      <c r="D47" s="11" t="s">
        <v>1061</v>
      </c>
      <c r="E47" s="11">
        <v>-2.0</v>
      </c>
      <c r="F47" s="11" t="s">
        <v>1106</v>
      </c>
      <c r="I47" s="11">
        <v>28.3491630554199</v>
      </c>
      <c r="J47" s="11">
        <v>-1.48763859272003</v>
      </c>
      <c r="K47" s="11">
        <v>0.0</v>
      </c>
      <c r="L47" s="11" t="s">
        <v>1390</v>
      </c>
      <c r="M47" s="11">
        <v>0.0</v>
      </c>
      <c r="N47" s="11" t="s">
        <v>1491</v>
      </c>
    </row>
    <row r="48">
      <c r="A48" s="11">
        <v>23.8658332824707</v>
      </c>
      <c r="B48" s="11">
        <v>-14.3824844360351</v>
      </c>
      <c r="C48" s="11">
        <v>0.0</v>
      </c>
      <c r="D48" s="11" t="s">
        <v>1061</v>
      </c>
      <c r="E48" s="11">
        <v>0.0</v>
      </c>
      <c r="F48" s="11" t="s">
        <v>1107</v>
      </c>
      <c r="I48" s="11">
        <v>16.3903541564941</v>
      </c>
      <c r="J48" s="11">
        <v>11.11119556427</v>
      </c>
      <c r="K48" s="11">
        <v>0.0</v>
      </c>
      <c r="L48" s="11" t="s">
        <v>1390</v>
      </c>
      <c r="M48" s="11">
        <v>0.0</v>
      </c>
      <c r="N48" s="11" t="s">
        <v>1493</v>
      </c>
    </row>
    <row r="49">
      <c r="A49" s="11">
        <v>9.97362899780273</v>
      </c>
      <c r="B49" s="11">
        <v>-37.2172088623046</v>
      </c>
      <c r="C49" s="11">
        <v>0.0</v>
      </c>
      <c r="D49" s="11" t="s">
        <v>1061</v>
      </c>
      <c r="E49" s="11">
        <v>0.0</v>
      </c>
      <c r="F49" s="11" t="s">
        <v>1108</v>
      </c>
      <c r="I49" s="11">
        <v>19.2807941436767</v>
      </c>
      <c r="J49" s="11">
        <v>12.6650018692016</v>
      </c>
      <c r="K49" s="11">
        <v>0.0</v>
      </c>
      <c r="L49" s="11" t="s">
        <v>1390</v>
      </c>
      <c r="M49" s="11">
        <v>0.0</v>
      </c>
      <c r="N49" s="11" t="s">
        <v>1496</v>
      </c>
    </row>
    <row r="50">
      <c r="A50" s="11">
        <v>40.021484375</v>
      </c>
      <c r="B50" s="11">
        <v>-9.80569458007812</v>
      </c>
      <c r="C50" s="11">
        <v>0.0</v>
      </c>
      <c r="D50" s="11" t="s">
        <v>1061</v>
      </c>
      <c r="E50" s="11">
        <v>0.0</v>
      </c>
      <c r="F50" s="11" t="s">
        <v>1109</v>
      </c>
      <c r="I50" s="11">
        <v>39.4326248168945</v>
      </c>
      <c r="J50" s="11">
        <v>-8.0032205581665</v>
      </c>
      <c r="K50" s="11">
        <v>-1.0</v>
      </c>
      <c r="L50" s="11" t="s">
        <v>1390</v>
      </c>
      <c r="M50" s="11">
        <v>-1.0</v>
      </c>
      <c r="N50" s="11" t="s">
        <v>1497</v>
      </c>
    </row>
    <row r="51">
      <c r="A51" s="11">
        <v>-41.2936820983886</v>
      </c>
      <c r="B51" s="11">
        <v>31.8984107971191</v>
      </c>
      <c r="C51" s="11">
        <v>-1.0</v>
      </c>
      <c r="D51" s="11" t="s">
        <v>1061</v>
      </c>
      <c r="E51" s="11">
        <v>-1.0</v>
      </c>
      <c r="F51" s="11" t="s">
        <v>1110</v>
      </c>
      <c r="I51" s="11">
        <v>-1.6672294139862</v>
      </c>
      <c r="J51" s="11">
        <v>-6.16006708145141</v>
      </c>
      <c r="K51" s="11">
        <v>0.0</v>
      </c>
      <c r="L51" s="11" t="s">
        <v>1390</v>
      </c>
      <c r="M51" s="11">
        <v>0.0</v>
      </c>
      <c r="N51" s="11" t="s">
        <v>1499</v>
      </c>
    </row>
    <row r="52">
      <c r="A52" s="11">
        <v>24.1686515808105</v>
      </c>
      <c r="B52" s="11">
        <v>39.0247955322265</v>
      </c>
      <c r="C52" s="11">
        <v>2.0</v>
      </c>
      <c r="D52" s="11" t="s">
        <v>1061</v>
      </c>
      <c r="E52" s="11">
        <v>2.0</v>
      </c>
      <c r="F52" s="11" t="s">
        <v>1111</v>
      </c>
      <c r="I52" s="11">
        <v>5.69531917572021</v>
      </c>
      <c r="J52" s="11">
        <v>24.0557956695556</v>
      </c>
      <c r="K52" s="11">
        <v>0.0</v>
      </c>
      <c r="L52" s="11" t="s">
        <v>1390</v>
      </c>
      <c r="M52" s="11">
        <v>0.0</v>
      </c>
      <c r="N52" s="11" t="s">
        <v>1502</v>
      </c>
    </row>
    <row r="53">
      <c r="A53" s="11">
        <v>24.1686515808105</v>
      </c>
      <c r="B53" s="11">
        <v>39.0247955322265</v>
      </c>
      <c r="C53" s="11">
        <v>2.0</v>
      </c>
      <c r="D53" s="11" t="s">
        <v>1061</v>
      </c>
      <c r="E53" s="11">
        <v>2.0</v>
      </c>
      <c r="F53" s="11" t="s">
        <v>1112</v>
      </c>
      <c r="I53" s="11">
        <v>13.2596778869628</v>
      </c>
      <c r="J53" s="11">
        <v>16.2156391143798</v>
      </c>
      <c r="K53" s="11">
        <v>0.0</v>
      </c>
      <c r="L53" s="11" t="s">
        <v>1390</v>
      </c>
      <c r="M53" s="11">
        <v>0.0</v>
      </c>
      <c r="N53" s="11" t="s">
        <v>1504</v>
      </c>
    </row>
    <row r="54">
      <c r="A54" s="11">
        <v>-33.6077079772949</v>
      </c>
      <c r="B54" s="11">
        <v>5.91052865982055</v>
      </c>
      <c r="C54" s="11">
        <v>0.0</v>
      </c>
      <c r="D54" s="11" t="s">
        <v>1061</v>
      </c>
      <c r="E54" s="11">
        <v>0.0</v>
      </c>
      <c r="F54" s="11" t="s">
        <v>1113</v>
      </c>
      <c r="I54" s="11">
        <v>-10.6836900711059</v>
      </c>
      <c r="J54" s="11">
        <v>23.2637863159179</v>
      </c>
      <c r="K54" s="11">
        <v>0.0</v>
      </c>
      <c r="L54" s="11" t="s">
        <v>1390</v>
      </c>
      <c r="M54" s="11">
        <v>0.0</v>
      </c>
      <c r="N54" s="11" t="s">
        <v>1507</v>
      </c>
    </row>
    <row r="55">
      <c r="A55" s="11">
        <v>19.1385288238525</v>
      </c>
      <c r="B55" s="11">
        <v>-16.6922721862792</v>
      </c>
      <c r="C55" s="11">
        <v>0.0</v>
      </c>
      <c r="D55" s="11" t="s">
        <v>1061</v>
      </c>
      <c r="E55" s="11">
        <v>0.0</v>
      </c>
      <c r="F55" s="11" t="s">
        <v>1114</v>
      </c>
      <c r="I55" s="11">
        <v>14.6320905685424</v>
      </c>
      <c r="J55" s="11">
        <v>17.3314628601074</v>
      </c>
      <c r="K55" s="11">
        <v>0.0</v>
      </c>
      <c r="L55" s="11" t="s">
        <v>1390</v>
      </c>
      <c r="M55" s="11">
        <v>0.0</v>
      </c>
      <c r="N55" s="11" t="s">
        <v>1509</v>
      </c>
    </row>
    <row r="56">
      <c r="A56" s="11">
        <v>-35.6693038940429</v>
      </c>
      <c r="B56" s="11">
        <v>32.2285041809082</v>
      </c>
      <c r="C56" s="11">
        <v>-1.0</v>
      </c>
      <c r="D56" s="11" t="s">
        <v>1061</v>
      </c>
      <c r="E56" s="11">
        <v>-1.0</v>
      </c>
      <c r="F56" s="11" t="s">
        <v>1510</v>
      </c>
      <c r="I56" s="11">
        <v>-3.18078017234802</v>
      </c>
      <c r="J56" s="11">
        <v>30.5657444000244</v>
      </c>
      <c r="K56" s="11">
        <v>0.0</v>
      </c>
      <c r="L56" s="11" t="s">
        <v>1390</v>
      </c>
      <c r="M56" s="11">
        <v>0.0</v>
      </c>
      <c r="N56" s="11" t="s">
        <v>1512</v>
      </c>
    </row>
    <row r="57">
      <c r="A57" s="11">
        <v>19.7369232177734</v>
      </c>
      <c r="B57" s="11">
        <v>-19.4397239685058</v>
      </c>
      <c r="C57" s="11">
        <v>0.0</v>
      </c>
      <c r="D57" s="11" t="s">
        <v>1061</v>
      </c>
      <c r="E57" s="11">
        <v>0.0</v>
      </c>
      <c r="F57" s="11" t="s">
        <v>1115</v>
      </c>
      <c r="I57" s="11">
        <v>-17.2952899932861</v>
      </c>
      <c r="J57" s="11">
        <v>32.5316581726074</v>
      </c>
      <c r="K57" s="11">
        <v>1.0</v>
      </c>
      <c r="L57" s="11" t="s">
        <v>1390</v>
      </c>
      <c r="M57" s="11">
        <v>1.0</v>
      </c>
      <c r="N57" s="11" t="s">
        <v>1514</v>
      </c>
    </row>
    <row r="58">
      <c r="A58" s="11">
        <v>-34.9924430847168</v>
      </c>
      <c r="B58" s="11">
        <v>18.7400283813476</v>
      </c>
      <c r="C58" s="11">
        <v>0.0</v>
      </c>
      <c r="D58" s="11" t="s">
        <v>1061</v>
      </c>
      <c r="E58" s="11">
        <v>0.0</v>
      </c>
      <c r="F58" s="11" t="s">
        <v>1116</v>
      </c>
      <c r="I58" s="11">
        <v>-7.81858396530151</v>
      </c>
      <c r="J58" s="11">
        <v>-20.2617607116699</v>
      </c>
      <c r="K58" s="11">
        <v>0.0</v>
      </c>
      <c r="L58" s="11" t="s">
        <v>1390</v>
      </c>
      <c r="M58" s="11">
        <v>0.0</v>
      </c>
      <c r="N58" s="11" t="s">
        <v>1516</v>
      </c>
    </row>
    <row r="59">
      <c r="A59" s="11">
        <v>21.5655612945556</v>
      </c>
      <c r="B59" s="11">
        <v>-28.9956035614013</v>
      </c>
      <c r="C59" s="11">
        <v>0.0</v>
      </c>
      <c r="D59" s="11" t="s">
        <v>1061</v>
      </c>
      <c r="E59" s="11">
        <v>0.0</v>
      </c>
      <c r="F59" s="11" t="s">
        <v>1117</v>
      </c>
      <c r="I59" s="11">
        <v>15.1486377716064</v>
      </c>
      <c r="J59" s="11">
        <v>12.2009630203247</v>
      </c>
      <c r="K59" s="11">
        <v>0.0</v>
      </c>
      <c r="L59" s="11" t="s">
        <v>1390</v>
      </c>
      <c r="M59" s="11">
        <v>0.0</v>
      </c>
      <c r="N59" s="11" t="s">
        <v>1518</v>
      </c>
    </row>
    <row r="60">
      <c r="A60" s="11">
        <v>27.8903350830078</v>
      </c>
      <c r="B60" s="11">
        <v>33.2608642578125</v>
      </c>
      <c r="C60" s="11">
        <v>2.0</v>
      </c>
      <c r="D60" s="11" t="s">
        <v>1061</v>
      </c>
      <c r="E60" s="11">
        <v>2.0</v>
      </c>
      <c r="F60" s="11" t="s">
        <v>1520</v>
      </c>
      <c r="I60" s="11">
        <v>-8.1558198928833</v>
      </c>
      <c r="J60" s="11">
        <v>-19.5422019958496</v>
      </c>
      <c r="K60" s="11">
        <v>0.0</v>
      </c>
      <c r="L60" s="11" t="s">
        <v>1390</v>
      </c>
      <c r="M60" s="11">
        <v>0.0</v>
      </c>
      <c r="N60" s="11" t="s">
        <v>1521</v>
      </c>
    </row>
    <row r="61">
      <c r="A61" s="11">
        <v>5.76623678207397</v>
      </c>
      <c r="B61" s="11">
        <v>-5.70707035064697</v>
      </c>
      <c r="C61" s="11">
        <v>0.0</v>
      </c>
      <c r="D61" s="11" t="s">
        <v>1061</v>
      </c>
      <c r="E61" s="11">
        <v>0.0</v>
      </c>
      <c r="F61" s="11" t="s">
        <v>1118</v>
      </c>
      <c r="I61" s="11">
        <v>41.2537956237793</v>
      </c>
      <c r="J61" s="11">
        <v>-7.03306913375854</v>
      </c>
      <c r="K61" s="11">
        <v>-1.0</v>
      </c>
      <c r="L61" s="11" t="s">
        <v>1390</v>
      </c>
      <c r="M61" s="11">
        <v>-1.0</v>
      </c>
      <c r="N61" s="11" t="s">
        <v>1523</v>
      </c>
    </row>
    <row r="62">
      <c r="A62" s="11">
        <v>17.5968227386474</v>
      </c>
      <c r="B62" s="11">
        <v>-32.3282241821289</v>
      </c>
      <c r="C62" s="11">
        <v>0.0</v>
      </c>
      <c r="D62" s="11" t="s">
        <v>1061</v>
      </c>
      <c r="E62" s="11">
        <v>0.0</v>
      </c>
      <c r="F62" s="11" t="s">
        <v>1119</v>
      </c>
      <c r="I62" s="11">
        <v>12.3702735900878</v>
      </c>
      <c r="J62" s="11">
        <v>20.5278739929199</v>
      </c>
      <c r="K62" s="11">
        <v>0.0</v>
      </c>
      <c r="L62" s="11" t="s">
        <v>1390</v>
      </c>
      <c r="M62" s="11">
        <v>0.0</v>
      </c>
      <c r="N62" s="11" t="s">
        <v>1525</v>
      </c>
    </row>
    <row r="63">
      <c r="A63" s="11">
        <v>-5.50143527984619</v>
      </c>
      <c r="B63" s="11">
        <v>-16.2845439910888</v>
      </c>
      <c r="C63" s="11">
        <v>0.0</v>
      </c>
      <c r="D63" s="11" t="s">
        <v>1061</v>
      </c>
      <c r="E63" s="11">
        <v>0.0</v>
      </c>
      <c r="F63" s="11" t="s">
        <v>1120</v>
      </c>
      <c r="I63" s="11">
        <v>-19.4629898071289</v>
      </c>
      <c r="J63" s="11">
        <v>33.2890472412109</v>
      </c>
      <c r="K63" s="11">
        <v>1.0</v>
      </c>
      <c r="L63" s="11" t="s">
        <v>1390</v>
      </c>
      <c r="M63" s="11">
        <v>1.0</v>
      </c>
      <c r="N63" s="11" t="s">
        <v>1527</v>
      </c>
    </row>
    <row r="64">
      <c r="A64" s="11">
        <v>12.9473781585693</v>
      </c>
      <c r="B64" s="11">
        <v>-10.6434888839721</v>
      </c>
      <c r="C64" s="11">
        <v>0.0</v>
      </c>
      <c r="D64" s="11" t="s">
        <v>1061</v>
      </c>
      <c r="E64" s="11">
        <v>0.0</v>
      </c>
      <c r="F64" s="11" t="s">
        <v>1121</v>
      </c>
      <c r="I64" s="11">
        <v>41.1203079223632</v>
      </c>
      <c r="J64" s="11">
        <v>-10.1496486663818</v>
      </c>
      <c r="K64" s="11">
        <v>-1.0</v>
      </c>
      <c r="L64" s="11" t="s">
        <v>1390</v>
      </c>
      <c r="M64" s="11">
        <v>-1.0</v>
      </c>
      <c r="N64" s="11" t="s">
        <v>1529</v>
      </c>
    </row>
    <row r="65">
      <c r="A65" s="11">
        <v>-16.9463386535644</v>
      </c>
      <c r="B65" s="11">
        <v>-5.02678155899047</v>
      </c>
      <c r="C65" s="11">
        <v>0.0</v>
      </c>
      <c r="D65" s="11" t="s">
        <v>1061</v>
      </c>
      <c r="E65" s="11">
        <v>0.0</v>
      </c>
      <c r="F65" s="11" t="s">
        <v>1122</v>
      </c>
      <c r="I65" s="11">
        <v>16.8539276123046</v>
      </c>
      <c r="J65" s="11">
        <v>3.65958333015441</v>
      </c>
      <c r="K65" s="11">
        <v>0.0</v>
      </c>
      <c r="L65" s="11" t="s">
        <v>1390</v>
      </c>
      <c r="M65" s="11">
        <v>0.0</v>
      </c>
      <c r="N65" s="11" t="s">
        <v>1531</v>
      </c>
    </row>
    <row r="66">
      <c r="A66" s="11">
        <v>-19.6198196411132</v>
      </c>
      <c r="B66" s="11">
        <v>-15.0160522460937</v>
      </c>
      <c r="C66" s="11">
        <v>0.0</v>
      </c>
      <c r="D66" s="11" t="s">
        <v>1061</v>
      </c>
      <c r="E66" s="11">
        <v>0.0</v>
      </c>
      <c r="F66" s="11" t="s">
        <v>1123</v>
      </c>
      <c r="I66" s="11">
        <v>16.7532291412353</v>
      </c>
      <c r="J66" s="11">
        <v>14.6202011108398</v>
      </c>
      <c r="K66" s="11">
        <v>0.0</v>
      </c>
      <c r="L66" s="11" t="s">
        <v>1390</v>
      </c>
      <c r="M66" s="11">
        <v>0.0</v>
      </c>
      <c r="N66" s="11" t="s">
        <v>1533</v>
      </c>
    </row>
    <row r="67">
      <c r="A67" s="11">
        <v>-35.0658645629882</v>
      </c>
      <c r="B67" s="11">
        <v>-15.3830184936523</v>
      </c>
      <c r="C67" s="11">
        <v>0.0</v>
      </c>
      <c r="D67" s="11" t="s">
        <v>1061</v>
      </c>
      <c r="E67" s="11">
        <v>0.0</v>
      </c>
      <c r="F67" s="11" t="s">
        <v>1124</v>
      </c>
      <c r="I67" s="11">
        <v>-14.7671175003051</v>
      </c>
      <c r="J67" s="11">
        <v>39.7797927856445</v>
      </c>
      <c r="K67" s="11">
        <v>1.0</v>
      </c>
      <c r="L67" s="11" t="s">
        <v>1390</v>
      </c>
      <c r="M67" s="11">
        <v>1.0</v>
      </c>
      <c r="N67" s="11" t="s">
        <v>1535</v>
      </c>
    </row>
    <row r="68">
      <c r="A68" s="11">
        <v>-39.8516616821289</v>
      </c>
      <c r="B68" s="11">
        <v>7.80880403518676</v>
      </c>
      <c r="C68" s="11">
        <v>0.0</v>
      </c>
      <c r="D68" s="11" t="s">
        <v>1061</v>
      </c>
      <c r="E68" s="11">
        <v>0.0</v>
      </c>
      <c r="F68" s="11" t="s">
        <v>1125</v>
      </c>
      <c r="I68" s="11">
        <v>43.9131202697753</v>
      </c>
      <c r="J68" s="11">
        <v>-6.58505153656005</v>
      </c>
      <c r="K68" s="11">
        <v>-1.0</v>
      </c>
      <c r="L68" s="11" t="s">
        <v>1390</v>
      </c>
      <c r="M68" s="11">
        <v>-1.0</v>
      </c>
      <c r="N68" s="11" t="s">
        <v>1539</v>
      </c>
    </row>
    <row r="69">
      <c r="A69" s="11">
        <v>36.6985168457031</v>
      </c>
      <c r="B69" s="11">
        <v>-18.0528945922851</v>
      </c>
      <c r="C69" s="11">
        <v>0.0</v>
      </c>
      <c r="D69" s="11" t="s">
        <v>1061</v>
      </c>
      <c r="E69" s="11">
        <v>0.0</v>
      </c>
      <c r="F69" s="11" t="s">
        <v>1126</v>
      </c>
      <c r="I69" s="11">
        <v>45.3865203857421</v>
      </c>
      <c r="J69" s="11">
        <v>-0.778713643550872</v>
      </c>
      <c r="K69" s="11">
        <v>-1.0</v>
      </c>
      <c r="L69" s="11" t="s">
        <v>1390</v>
      </c>
      <c r="M69" s="11">
        <v>-1.0</v>
      </c>
      <c r="N69" s="11" t="s">
        <v>1541</v>
      </c>
    </row>
    <row r="70">
      <c r="A70" s="11">
        <v>-15.8105144500732</v>
      </c>
      <c r="B70" s="11">
        <v>-4.3533034324646</v>
      </c>
      <c r="C70" s="11">
        <v>0.0</v>
      </c>
      <c r="D70" s="11" t="s">
        <v>1061</v>
      </c>
      <c r="E70" s="11">
        <v>0.0</v>
      </c>
      <c r="F70" s="11" t="s">
        <v>1127</v>
      </c>
      <c r="I70" s="11">
        <v>-4.83249378204345</v>
      </c>
      <c r="J70" s="11">
        <v>32.4304466247558</v>
      </c>
      <c r="K70" s="11">
        <v>1.0</v>
      </c>
      <c r="L70" s="11" t="s">
        <v>1390</v>
      </c>
      <c r="M70" s="11">
        <v>1.0</v>
      </c>
      <c r="N70" s="11" t="s">
        <v>1542</v>
      </c>
    </row>
    <row r="71">
      <c r="A71" s="11">
        <v>-36.7703094482421</v>
      </c>
      <c r="B71" s="11">
        <v>36.7594184875488</v>
      </c>
      <c r="C71" s="11">
        <v>-1.0</v>
      </c>
      <c r="D71" s="11" t="s">
        <v>1061</v>
      </c>
      <c r="E71" s="11">
        <v>-1.0</v>
      </c>
      <c r="F71" s="11" t="s">
        <v>1128</v>
      </c>
      <c r="I71" s="11">
        <v>40.7267379760742</v>
      </c>
      <c r="J71" s="11">
        <v>-5.60651874542236</v>
      </c>
      <c r="K71" s="11">
        <v>0.0</v>
      </c>
      <c r="L71" s="11" t="s">
        <v>1390</v>
      </c>
      <c r="M71" s="11">
        <v>0.0</v>
      </c>
      <c r="N71" s="11" t="s">
        <v>1544</v>
      </c>
    </row>
    <row r="72">
      <c r="A72" s="11">
        <v>-7.54326915740966</v>
      </c>
      <c r="B72" s="11">
        <v>-18.6178131103515</v>
      </c>
      <c r="C72" s="11">
        <v>0.0</v>
      </c>
      <c r="D72" s="11" t="s">
        <v>1061</v>
      </c>
      <c r="E72" s="11">
        <v>0.0</v>
      </c>
      <c r="F72" s="11" t="s">
        <v>1129</v>
      </c>
      <c r="I72" s="11">
        <v>39.7057952880859</v>
      </c>
      <c r="J72" s="11">
        <v>-6.33652830123901</v>
      </c>
      <c r="K72" s="11">
        <v>-1.0</v>
      </c>
      <c r="L72" s="11" t="s">
        <v>1390</v>
      </c>
      <c r="M72" s="11">
        <v>-1.0</v>
      </c>
      <c r="N72" s="11" t="s">
        <v>1546</v>
      </c>
    </row>
    <row r="73">
      <c r="A73" s="11">
        <v>-30.5343265533447</v>
      </c>
      <c r="B73" s="11">
        <v>-6.39008617401123</v>
      </c>
      <c r="C73" s="11">
        <v>0.0</v>
      </c>
      <c r="D73" s="11" t="s">
        <v>1061</v>
      </c>
      <c r="E73" s="11">
        <v>0.0</v>
      </c>
      <c r="F73" s="11" t="s">
        <v>1130</v>
      </c>
      <c r="I73" s="11">
        <v>-20.1138954162597</v>
      </c>
      <c r="J73" s="11">
        <v>39.6871109008789</v>
      </c>
      <c r="K73" s="11">
        <v>1.0</v>
      </c>
      <c r="L73" s="11" t="s">
        <v>1390</v>
      </c>
      <c r="M73" s="11">
        <v>1.0</v>
      </c>
      <c r="N73" s="11" t="s">
        <v>1548</v>
      </c>
    </row>
    <row r="74">
      <c r="A74" s="11">
        <v>18.0378017425537</v>
      </c>
      <c r="B74" s="11">
        <v>-32.1878395080566</v>
      </c>
      <c r="C74" s="11">
        <v>0.0</v>
      </c>
      <c r="D74" s="11" t="s">
        <v>1061</v>
      </c>
      <c r="E74" s="11">
        <v>0.0</v>
      </c>
      <c r="F74" s="11" t="s">
        <v>1131</v>
      </c>
      <c r="I74" s="11">
        <v>-14.9050149917602</v>
      </c>
      <c r="J74" s="11">
        <v>-5.67191076278686</v>
      </c>
      <c r="K74" s="11">
        <v>0.0</v>
      </c>
      <c r="L74" s="11" t="s">
        <v>1390</v>
      </c>
      <c r="M74" s="11">
        <v>0.0</v>
      </c>
      <c r="N74" s="11" t="s">
        <v>1550</v>
      </c>
    </row>
    <row r="75">
      <c r="A75" s="11">
        <v>-20.2366123199462</v>
      </c>
      <c r="B75" s="11">
        <v>-15.9343500137329</v>
      </c>
      <c r="C75" s="11">
        <v>0.0</v>
      </c>
      <c r="D75" s="11" t="s">
        <v>1061</v>
      </c>
      <c r="E75" s="11">
        <v>0.0</v>
      </c>
      <c r="F75" s="11" t="s">
        <v>1132</v>
      </c>
      <c r="I75" s="11">
        <v>-19.2433338165283</v>
      </c>
      <c r="J75" s="11">
        <v>38.2166328430175</v>
      </c>
      <c r="K75" s="11">
        <v>1.0</v>
      </c>
      <c r="L75" s="11" t="s">
        <v>1390</v>
      </c>
      <c r="M75" s="11">
        <v>1.0</v>
      </c>
      <c r="N75" s="11" t="s">
        <v>1552</v>
      </c>
    </row>
    <row r="76">
      <c r="A76" s="11">
        <v>-38.7833862304687</v>
      </c>
      <c r="B76" s="11">
        <v>42.8219985961914</v>
      </c>
      <c r="C76" s="11">
        <v>-2.0</v>
      </c>
      <c r="D76" s="11" t="s">
        <v>1061</v>
      </c>
      <c r="E76" s="11">
        <v>-2.0</v>
      </c>
      <c r="F76" s="11" t="s">
        <v>1133</v>
      </c>
      <c r="I76" s="11">
        <v>48.0115737915039</v>
      </c>
      <c r="J76" s="11">
        <v>-0.409186393022537</v>
      </c>
      <c r="K76" s="11">
        <v>0.0</v>
      </c>
      <c r="L76" s="11" t="s">
        <v>1390</v>
      </c>
      <c r="M76" s="11">
        <v>0.0</v>
      </c>
      <c r="N76" s="11" t="s">
        <v>1555</v>
      </c>
    </row>
    <row r="77">
      <c r="A77" s="11">
        <v>-15.6463165283203</v>
      </c>
      <c r="B77" s="11">
        <v>-4.04023027420043</v>
      </c>
      <c r="C77" s="11">
        <v>0.0</v>
      </c>
      <c r="D77" s="11" t="s">
        <v>1061</v>
      </c>
      <c r="E77" s="11">
        <v>0.0</v>
      </c>
      <c r="F77" s="11" t="s">
        <v>1134</v>
      </c>
      <c r="I77" s="11">
        <v>-5.99161291122436</v>
      </c>
      <c r="J77" s="11">
        <v>30.8905849456787</v>
      </c>
      <c r="K77" s="11">
        <v>0.0</v>
      </c>
      <c r="L77" s="11" t="s">
        <v>1390</v>
      </c>
      <c r="M77" s="11">
        <v>0.0</v>
      </c>
      <c r="N77" s="11" t="s">
        <v>1557</v>
      </c>
    </row>
    <row r="78">
      <c r="A78" s="11">
        <v>-40.244026184082</v>
      </c>
      <c r="B78" s="11">
        <v>8.27329540252685</v>
      </c>
      <c r="C78" s="11">
        <v>0.0</v>
      </c>
      <c r="D78" s="11" t="s">
        <v>1061</v>
      </c>
      <c r="E78" s="11">
        <v>0.0</v>
      </c>
      <c r="F78" s="11" t="s">
        <v>1135</v>
      </c>
      <c r="I78" s="11">
        <v>-15.8872909545898</v>
      </c>
      <c r="J78" s="11">
        <v>37.4474449157714</v>
      </c>
      <c r="K78" s="11">
        <v>1.0</v>
      </c>
      <c r="L78" s="11" t="s">
        <v>1390</v>
      </c>
      <c r="M78" s="11">
        <v>1.0</v>
      </c>
      <c r="N78" s="11" t="s">
        <v>1560</v>
      </c>
    </row>
    <row r="79">
      <c r="A79" s="11">
        <v>35.789924621582</v>
      </c>
      <c r="B79" s="11">
        <v>-20.2820701599121</v>
      </c>
      <c r="C79" s="11">
        <v>0.0</v>
      </c>
      <c r="D79" s="11" t="s">
        <v>1061</v>
      </c>
      <c r="E79" s="11">
        <v>0.0</v>
      </c>
      <c r="F79" s="11" t="s">
        <v>1136</v>
      </c>
      <c r="I79" s="11">
        <v>8.58476638793945</v>
      </c>
      <c r="J79" s="11">
        <v>27.7065048217773</v>
      </c>
      <c r="K79" s="11">
        <v>0.0</v>
      </c>
      <c r="L79" s="11" t="s">
        <v>1390</v>
      </c>
      <c r="M79" s="11">
        <v>0.0</v>
      </c>
      <c r="N79" s="11" t="s">
        <v>1562</v>
      </c>
    </row>
    <row r="80">
      <c r="A80" s="11">
        <v>-36.4302330017089</v>
      </c>
      <c r="B80" s="11">
        <v>6.35249471664428</v>
      </c>
      <c r="C80" s="11">
        <v>0.0</v>
      </c>
      <c r="D80" s="11" t="s">
        <v>1061</v>
      </c>
      <c r="E80" s="11">
        <v>0.0</v>
      </c>
      <c r="F80" s="11" t="s">
        <v>1137</v>
      </c>
      <c r="I80" s="11">
        <v>44.4990425109863</v>
      </c>
      <c r="J80" s="11">
        <v>-14.7857952117919</v>
      </c>
      <c r="K80" s="11">
        <v>-2.0</v>
      </c>
      <c r="L80" s="11" t="s">
        <v>1390</v>
      </c>
      <c r="M80" s="11">
        <v>-2.0</v>
      </c>
      <c r="N80" s="11" t="s">
        <v>1564</v>
      </c>
    </row>
    <row r="81">
      <c r="A81" s="11">
        <v>28.2069664001464</v>
      </c>
      <c r="B81" s="11">
        <v>31.0425872802734</v>
      </c>
      <c r="C81" s="11">
        <v>2.0</v>
      </c>
      <c r="D81" s="11" t="s">
        <v>1061</v>
      </c>
      <c r="E81" s="11">
        <v>2.0</v>
      </c>
      <c r="F81" s="11" t="s">
        <v>1566</v>
      </c>
      <c r="I81" s="11">
        <v>-19.4629898071289</v>
      </c>
      <c r="J81" s="11">
        <v>33.2890472412109</v>
      </c>
      <c r="K81" s="11">
        <v>1.0</v>
      </c>
      <c r="L81" s="11" t="s">
        <v>1390</v>
      </c>
      <c r="M81" s="11">
        <v>1.0</v>
      </c>
      <c r="N81" s="11" t="s">
        <v>1568</v>
      </c>
    </row>
    <row r="82">
      <c r="A82" s="11">
        <v>36.870189666748</v>
      </c>
      <c r="B82" s="11">
        <v>-18.2624034881591</v>
      </c>
      <c r="C82" s="11">
        <v>0.0</v>
      </c>
      <c r="D82" s="11" t="s">
        <v>1061</v>
      </c>
      <c r="E82" s="11">
        <v>0.0</v>
      </c>
      <c r="F82" s="11" t="s">
        <v>1138</v>
      </c>
      <c r="I82" s="11">
        <v>46.8292846679687</v>
      </c>
      <c r="J82" s="11">
        <v>-5.3728756904602</v>
      </c>
      <c r="K82" s="11">
        <v>-1.0</v>
      </c>
      <c r="L82" s="11" t="s">
        <v>1390</v>
      </c>
      <c r="M82" s="11">
        <v>-1.0</v>
      </c>
      <c r="N82" s="11" t="s">
        <v>1570</v>
      </c>
    </row>
    <row r="83">
      <c r="A83" s="11">
        <v>7.38758134841918</v>
      </c>
      <c r="B83" s="11">
        <v>-2.12359619140625</v>
      </c>
      <c r="C83" s="11">
        <v>0.0</v>
      </c>
      <c r="D83" s="11" t="s">
        <v>1061</v>
      </c>
      <c r="E83" s="11">
        <v>0.0</v>
      </c>
      <c r="F83" s="11" t="s">
        <v>1139</v>
      </c>
      <c r="I83" s="11">
        <v>28.5004444122314</v>
      </c>
      <c r="J83" s="11">
        <v>-1.05185329914093</v>
      </c>
      <c r="K83" s="11">
        <v>0.0</v>
      </c>
      <c r="L83" s="11" t="s">
        <v>1390</v>
      </c>
      <c r="M83" s="11">
        <v>0.0</v>
      </c>
      <c r="N83" s="11" t="s">
        <v>1572</v>
      </c>
    </row>
    <row r="84">
      <c r="A84" s="11">
        <v>-38.0345840454101</v>
      </c>
      <c r="B84" s="11">
        <v>3.23874688148498</v>
      </c>
      <c r="C84" s="11">
        <v>0.0</v>
      </c>
      <c r="D84" s="11" t="s">
        <v>1061</v>
      </c>
      <c r="E84" s="11">
        <v>0.0</v>
      </c>
      <c r="F84" s="11" t="s">
        <v>1140</v>
      </c>
      <c r="I84" s="11">
        <v>23.9760665893554</v>
      </c>
      <c r="J84" s="11">
        <v>2.65806531906127</v>
      </c>
      <c r="K84" s="11">
        <v>0.0</v>
      </c>
      <c r="L84" s="11" t="s">
        <v>1390</v>
      </c>
      <c r="M84" s="11">
        <v>0.0</v>
      </c>
      <c r="N84" s="11" t="s">
        <v>1573</v>
      </c>
    </row>
    <row r="85">
      <c r="A85" s="11">
        <v>-15.4854755401611</v>
      </c>
      <c r="B85" s="11">
        <v>10.7617397308349</v>
      </c>
      <c r="C85" s="11">
        <v>0.0</v>
      </c>
      <c r="D85" s="11" t="s">
        <v>1061</v>
      </c>
      <c r="E85" s="11">
        <v>0.0</v>
      </c>
      <c r="F85" s="11" t="s">
        <v>1141</v>
      </c>
      <c r="I85" s="11">
        <v>-15.2344589233398</v>
      </c>
      <c r="J85" s="11">
        <v>33.8325500488281</v>
      </c>
      <c r="K85" s="11">
        <v>1.0</v>
      </c>
      <c r="L85" s="11" t="s">
        <v>1390</v>
      </c>
      <c r="M85" s="11">
        <v>1.0</v>
      </c>
      <c r="N85" s="11" t="s">
        <v>1575</v>
      </c>
    </row>
    <row r="86">
      <c r="A86" s="11">
        <v>-37.1725044250488</v>
      </c>
      <c r="B86" s="11">
        <v>-15.257188796997</v>
      </c>
      <c r="C86" s="11">
        <v>0.0</v>
      </c>
      <c r="D86" s="11" t="s">
        <v>1061</v>
      </c>
      <c r="E86" s="11">
        <v>0.0</v>
      </c>
      <c r="F86" s="11" t="s">
        <v>1142</v>
      </c>
      <c r="I86" s="11">
        <v>8.76976108551025</v>
      </c>
      <c r="J86" s="11">
        <v>-4.09982633590698</v>
      </c>
      <c r="K86" s="11">
        <v>0.0</v>
      </c>
      <c r="L86" s="11" t="s">
        <v>1390</v>
      </c>
      <c r="M86" s="11">
        <v>0.0</v>
      </c>
      <c r="N86" s="11" t="s">
        <v>1577</v>
      </c>
    </row>
    <row r="87">
      <c r="A87" s="11">
        <v>38.1183738708496</v>
      </c>
      <c r="B87" s="11">
        <v>17.8694458007812</v>
      </c>
      <c r="C87" s="11">
        <v>2.0</v>
      </c>
      <c r="D87" s="11" t="s">
        <v>1061</v>
      </c>
      <c r="E87" s="11">
        <v>2.0</v>
      </c>
      <c r="F87" s="11" t="s">
        <v>1143</v>
      </c>
      <c r="I87" s="11">
        <v>-5.33793020248413</v>
      </c>
      <c r="J87" s="11">
        <v>31.3676242828369</v>
      </c>
      <c r="K87" s="11">
        <v>0.0</v>
      </c>
      <c r="L87" s="11" t="s">
        <v>1390</v>
      </c>
      <c r="M87" s="11">
        <v>0.0</v>
      </c>
      <c r="N87" s="11" t="s">
        <v>1579</v>
      </c>
    </row>
    <row r="88">
      <c r="A88" s="11">
        <v>-38.6622657775878</v>
      </c>
      <c r="B88" s="11">
        <v>41.3735656738281</v>
      </c>
      <c r="C88" s="11">
        <v>-2.0</v>
      </c>
      <c r="D88" s="11" t="s">
        <v>1061</v>
      </c>
      <c r="E88" s="11">
        <v>-2.0</v>
      </c>
      <c r="F88" s="11" t="s">
        <v>1144</v>
      </c>
      <c r="I88" s="11">
        <v>7.70765447616577</v>
      </c>
      <c r="J88" s="11">
        <v>27.5927581787109</v>
      </c>
      <c r="K88" s="11">
        <v>0.0</v>
      </c>
      <c r="L88" s="11" t="s">
        <v>1390</v>
      </c>
      <c r="M88" s="11">
        <v>0.0</v>
      </c>
      <c r="N88" s="11" t="s">
        <v>1581</v>
      </c>
    </row>
    <row r="89">
      <c r="A89" s="11">
        <v>26.0358428955078</v>
      </c>
      <c r="B89" s="11">
        <v>-24.7784252166748</v>
      </c>
      <c r="C89" s="11">
        <v>0.0</v>
      </c>
      <c r="D89" s="11" t="s">
        <v>1061</v>
      </c>
      <c r="E89" s="11">
        <v>0.0</v>
      </c>
      <c r="F89" s="11" t="s">
        <v>1145</v>
      </c>
      <c r="I89" s="11">
        <v>-20.1138954162597</v>
      </c>
      <c r="J89" s="11">
        <v>39.6871109008789</v>
      </c>
      <c r="K89" s="11">
        <v>1.0</v>
      </c>
      <c r="L89" s="11" t="s">
        <v>1390</v>
      </c>
      <c r="M89" s="11">
        <v>1.0</v>
      </c>
      <c r="N89" s="11" t="s">
        <v>1583</v>
      </c>
    </row>
    <row r="90">
      <c r="A90" s="11">
        <v>31.7930583953857</v>
      </c>
      <c r="B90" s="11">
        <v>25.5266304016113</v>
      </c>
      <c r="C90" s="11">
        <v>2.0</v>
      </c>
      <c r="D90" s="11" t="s">
        <v>1061</v>
      </c>
      <c r="E90" s="11">
        <v>2.0</v>
      </c>
      <c r="F90" s="11" t="s">
        <v>1584</v>
      </c>
      <c r="I90" s="11">
        <v>5.51547956466674</v>
      </c>
      <c r="J90" s="11">
        <v>18.6753311157226</v>
      </c>
      <c r="K90" s="11">
        <v>0.0</v>
      </c>
      <c r="L90" s="11" t="s">
        <v>1390</v>
      </c>
      <c r="M90" s="11">
        <v>0.0</v>
      </c>
      <c r="N90" s="11" t="s">
        <v>1586</v>
      </c>
    </row>
    <row r="91">
      <c r="A91" s="11">
        <v>7.45363712310791</v>
      </c>
      <c r="B91" s="11">
        <v>-19.1177368164062</v>
      </c>
      <c r="C91" s="11">
        <v>0.0</v>
      </c>
      <c r="D91" s="11" t="s">
        <v>1061</v>
      </c>
      <c r="E91" s="11">
        <v>0.0</v>
      </c>
      <c r="F91" s="11" t="s">
        <v>1146</v>
      </c>
      <c r="I91" s="11">
        <v>-6.97828483581543</v>
      </c>
      <c r="J91" s="11">
        <v>-20.2798919677734</v>
      </c>
      <c r="K91" s="11">
        <v>0.0</v>
      </c>
      <c r="L91" s="11" t="s">
        <v>1390</v>
      </c>
      <c r="M91" s="11">
        <v>0.0</v>
      </c>
      <c r="N91" s="11" t="s">
        <v>1588</v>
      </c>
    </row>
    <row r="92">
      <c r="A92" s="11">
        <v>-4.82889318466186</v>
      </c>
      <c r="B92" s="11">
        <v>-15.9239521026611</v>
      </c>
      <c r="C92" s="11">
        <v>0.0</v>
      </c>
      <c r="D92" s="11" t="s">
        <v>1061</v>
      </c>
      <c r="E92" s="11">
        <v>0.0</v>
      </c>
      <c r="F92" s="11" t="s">
        <v>1147</v>
      </c>
      <c r="I92" s="11">
        <v>-12.0296201705932</v>
      </c>
      <c r="J92" s="11">
        <v>32.8650131225585</v>
      </c>
      <c r="K92" s="11">
        <v>1.0</v>
      </c>
      <c r="L92" s="11" t="s">
        <v>1390</v>
      </c>
      <c r="M92" s="11">
        <v>1.0</v>
      </c>
      <c r="N92" s="11" t="s">
        <v>1590</v>
      </c>
    </row>
    <row r="93">
      <c r="A93" s="11">
        <v>-39.2986602783203</v>
      </c>
      <c r="B93" s="11">
        <v>8.92910861968994</v>
      </c>
      <c r="C93" s="11">
        <v>0.0</v>
      </c>
      <c r="D93" s="11" t="s">
        <v>1061</v>
      </c>
      <c r="E93" s="11">
        <v>0.0</v>
      </c>
      <c r="F93" s="11" t="s">
        <v>1148</v>
      </c>
      <c r="I93" s="11">
        <v>3.90353155136108</v>
      </c>
      <c r="J93" s="11">
        <v>25.0220413208007</v>
      </c>
      <c r="K93" s="11">
        <v>0.0</v>
      </c>
      <c r="L93" s="11" t="s">
        <v>1390</v>
      </c>
      <c r="M93" s="11">
        <v>0.0</v>
      </c>
      <c r="N93" s="11" t="s">
        <v>1592</v>
      </c>
    </row>
    <row r="94">
      <c r="A94" s="11">
        <v>47.1709518432617</v>
      </c>
      <c r="B94" s="11">
        <v>-7.20402765274047</v>
      </c>
      <c r="C94" s="11">
        <v>1.0</v>
      </c>
      <c r="D94" s="11" t="s">
        <v>1061</v>
      </c>
      <c r="E94" s="11">
        <v>1.0</v>
      </c>
      <c r="F94" s="11" t="s">
        <v>1149</v>
      </c>
      <c r="I94" s="11">
        <v>-1.6672294139862</v>
      </c>
      <c r="J94" s="11">
        <v>-6.16006708145141</v>
      </c>
      <c r="K94" s="11">
        <v>0.0</v>
      </c>
      <c r="L94" s="11" t="s">
        <v>1390</v>
      </c>
      <c r="M94" s="11">
        <v>0.0</v>
      </c>
      <c r="N94" s="11" t="s">
        <v>1594</v>
      </c>
    </row>
    <row r="95">
      <c r="A95" s="11">
        <v>-41.2896385192871</v>
      </c>
      <c r="B95" s="11">
        <v>36.5126762390136</v>
      </c>
      <c r="C95" s="11">
        <v>-2.0</v>
      </c>
      <c r="D95" s="11" t="s">
        <v>1061</v>
      </c>
      <c r="E95" s="11">
        <v>-2.0</v>
      </c>
      <c r="F95" s="11" t="s">
        <v>1150</v>
      </c>
      <c r="I95" s="11">
        <v>17.5584754943847</v>
      </c>
      <c r="J95" s="11">
        <v>4.6809344291687</v>
      </c>
      <c r="K95" s="11">
        <v>0.0</v>
      </c>
      <c r="L95" s="11" t="s">
        <v>1390</v>
      </c>
      <c r="M95" s="11">
        <v>0.0</v>
      </c>
      <c r="N95" s="11" t="s">
        <v>1596</v>
      </c>
    </row>
    <row r="96">
      <c r="A96" s="11">
        <v>26.418399810791</v>
      </c>
      <c r="B96" s="11">
        <v>35.7593154907226</v>
      </c>
      <c r="C96" s="11">
        <v>2.0</v>
      </c>
      <c r="D96" s="11" t="s">
        <v>1061</v>
      </c>
      <c r="E96" s="11">
        <v>2.0</v>
      </c>
      <c r="F96" s="11" t="s">
        <v>1597</v>
      </c>
      <c r="I96" s="11">
        <v>17.5584754943847</v>
      </c>
      <c r="J96" s="11">
        <v>4.6809344291687</v>
      </c>
      <c r="K96" s="11">
        <v>0.0</v>
      </c>
      <c r="L96" s="11" t="s">
        <v>1390</v>
      </c>
      <c r="M96" s="11">
        <v>0.0</v>
      </c>
      <c r="N96" s="11" t="s">
        <v>1599</v>
      </c>
    </row>
    <row r="97">
      <c r="A97" s="11">
        <v>8.95373630523681</v>
      </c>
      <c r="B97" s="11">
        <v>-28.6033973693847</v>
      </c>
      <c r="C97" s="11">
        <v>0.0</v>
      </c>
      <c r="D97" s="11" t="s">
        <v>1061</v>
      </c>
      <c r="E97" s="11">
        <v>0.0</v>
      </c>
      <c r="F97" s="11" t="s">
        <v>1151</v>
      </c>
      <c r="I97" s="11">
        <v>-21.087739944458</v>
      </c>
      <c r="J97" s="11">
        <v>42.2546463012695</v>
      </c>
      <c r="K97" s="11">
        <v>2.0</v>
      </c>
      <c r="L97" s="11" t="s">
        <v>1390</v>
      </c>
      <c r="M97" s="11">
        <v>2.0</v>
      </c>
      <c r="N97" s="11" t="s">
        <v>1601</v>
      </c>
    </row>
    <row r="98">
      <c r="A98" s="11">
        <v>-34.0739440917968</v>
      </c>
      <c r="B98" s="11">
        <v>5.73720264434814</v>
      </c>
      <c r="C98" s="11">
        <v>0.0</v>
      </c>
      <c r="D98" s="11" t="s">
        <v>1061</v>
      </c>
      <c r="E98" s="11">
        <v>0.0</v>
      </c>
      <c r="F98" s="11" t="s">
        <v>1152</v>
      </c>
      <c r="I98" s="11">
        <v>16.5976657867431</v>
      </c>
      <c r="J98" s="11">
        <v>9.72243499755859</v>
      </c>
      <c r="K98" s="11">
        <v>0.0</v>
      </c>
      <c r="L98" s="11" t="s">
        <v>1390</v>
      </c>
      <c r="M98" s="11">
        <v>0.0</v>
      </c>
      <c r="N98" s="11" t="s">
        <v>1603</v>
      </c>
    </row>
    <row r="99">
      <c r="A99" s="11">
        <v>-21.2699546813964</v>
      </c>
      <c r="B99" s="11">
        <v>-7.33454418182373</v>
      </c>
      <c r="C99" s="11">
        <v>0.0</v>
      </c>
      <c r="D99" s="11" t="s">
        <v>1061</v>
      </c>
      <c r="E99" s="11">
        <v>0.0</v>
      </c>
      <c r="F99" s="11" t="s">
        <v>1153</v>
      </c>
      <c r="I99" s="11">
        <v>8.50441837310791</v>
      </c>
      <c r="J99" s="11">
        <v>19.5574302673339</v>
      </c>
      <c r="K99" s="11">
        <v>0.0</v>
      </c>
      <c r="L99" s="11" t="s">
        <v>1390</v>
      </c>
      <c r="M99" s="11">
        <v>0.0</v>
      </c>
      <c r="N99" s="11" t="s">
        <v>1605</v>
      </c>
    </row>
    <row r="100">
      <c r="A100" s="11">
        <v>-32.8492965698242</v>
      </c>
      <c r="B100" s="11">
        <v>9.98565101623535</v>
      </c>
      <c r="C100" s="11">
        <v>0.0</v>
      </c>
      <c r="D100" s="11" t="s">
        <v>1061</v>
      </c>
      <c r="E100" s="11">
        <v>0.0</v>
      </c>
      <c r="F100" s="11" t="s">
        <v>1154</v>
      </c>
      <c r="I100" s="11">
        <v>16.0516605377197</v>
      </c>
      <c r="J100" s="11">
        <v>10.394341468811</v>
      </c>
      <c r="K100" s="11">
        <v>0.0</v>
      </c>
      <c r="L100" s="11" t="s">
        <v>1390</v>
      </c>
      <c r="M100" s="11">
        <v>0.0</v>
      </c>
      <c r="N100" s="11" t="s">
        <v>1607</v>
      </c>
    </row>
    <row r="101">
      <c r="A101" s="11">
        <v>-31.129373550415</v>
      </c>
      <c r="B101" s="11">
        <v>4.7636022567749</v>
      </c>
      <c r="C101" s="11">
        <v>0.0</v>
      </c>
      <c r="D101" s="11" t="s">
        <v>1061</v>
      </c>
      <c r="E101" s="11">
        <v>0.0</v>
      </c>
      <c r="F101" s="11" t="s">
        <v>1155</v>
      </c>
      <c r="I101" s="11">
        <v>19.447114944458</v>
      </c>
      <c r="J101" s="11">
        <v>13.8722620010375</v>
      </c>
      <c r="K101" s="11">
        <v>0.0</v>
      </c>
      <c r="L101" s="11" t="s">
        <v>1390</v>
      </c>
      <c r="M101" s="11">
        <v>0.0</v>
      </c>
      <c r="N101" s="11" t="s">
        <v>1609</v>
      </c>
    </row>
    <row r="102">
      <c r="A102" s="11">
        <v>12.8533382415771</v>
      </c>
      <c r="B102" s="11">
        <v>-10.6608028411865</v>
      </c>
      <c r="C102" s="11">
        <v>0.0</v>
      </c>
      <c r="D102" s="11" t="s">
        <v>1061</v>
      </c>
      <c r="E102" s="11">
        <v>0.0</v>
      </c>
      <c r="F102" s="11" t="s">
        <v>1156</v>
      </c>
      <c r="I102" s="11">
        <v>48.1519775390625</v>
      </c>
      <c r="J102" s="11">
        <v>-15.7290487289428</v>
      </c>
      <c r="K102" s="11">
        <v>-2.0</v>
      </c>
      <c r="L102" s="11" t="s">
        <v>1390</v>
      </c>
      <c r="M102" s="11">
        <v>-2.0</v>
      </c>
      <c r="N102" s="11" t="s">
        <v>1611</v>
      </c>
    </row>
    <row r="103">
      <c r="A103" s="11">
        <v>-14.0060958862304</v>
      </c>
      <c r="B103" s="11">
        <v>-8.79965686798095</v>
      </c>
      <c r="C103" s="11">
        <v>0.0</v>
      </c>
      <c r="D103" s="11" t="s">
        <v>1061</v>
      </c>
      <c r="E103" s="11">
        <v>0.0</v>
      </c>
      <c r="F103" s="11" t="s">
        <v>1157</v>
      </c>
      <c r="I103" s="11">
        <v>17.9382667541503</v>
      </c>
      <c r="J103" s="11">
        <v>1.68466222286224</v>
      </c>
      <c r="K103" s="11">
        <v>0.0</v>
      </c>
      <c r="L103" s="11" t="s">
        <v>1390</v>
      </c>
      <c r="M103" s="11">
        <v>0.0</v>
      </c>
      <c r="N103" s="11" t="s">
        <v>1613</v>
      </c>
    </row>
    <row r="104">
      <c r="A104" s="11">
        <v>-40.2988853454589</v>
      </c>
      <c r="B104" s="11">
        <v>31.0186347961425</v>
      </c>
      <c r="C104" s="11">
        <v>-1.0</v>
      </c>
      <c r="D104" s="11" t="s">
        <v>1061</v>
      </c>
      <c r="E104" s="11">
        <v>-1.0</v>
      </c>
      <c r="F104" s="11" t="s">
        <v>1158</v>
      </c>
      <c r="I104" s="11">
        <v>-14.6977472305297</v>
      </c>
      <c r="J104" s="11">
        <v>30.4631195068359</v>
      </c>
      <c r="K104" s="11">
        <v>1.0</v>
      </c>
      <c r="L104" s="11" t="s">
        <v>1390</v>
      </c>
      <c r="M104" s="11">
        <v>1.0</v>
      </c>
      <c r="N104" s="11" t="s">
        <v>1615</v>
      </c>
    </row>
    <row r="105">
      <c r="A105" s="11">
        <v>19.0502605438232</v>
      </c>
      <c r="B105" s="11">
        <v>-17.067304611206</v>
      </c>
      <c r="C105" s="11">
        <v>0.0</v>
      </c>
      <c r="D105" s="11" t="s">
        <v>1061</v>
      </c>
      <c r="E105" s="11">
        <v>0.0</v>
      </c>
      <c r="F105" s="11" t="s">
        <v>1159</v>
      </c>
      <c r="I105" s="11">
        <v>-10.5955247879028</v>
      </c>
      <c r="J105" s="11">
        <v>28.7053661346435</v>
      </c>
      <c r="K105" s="11">
        <v>0.0</v>
      </c>
      <c r="L105" s="11" t="s">
        <v>1390</v>
      </c>
      <c r="M105" s="11">
        <v>0.0</v>
      </c>
      <c r="N105" s="11" t="s">
        <v>1617</v>
      </c>
    </row>
    <row r="106">
      <c r="A106" s="11">
        <v>17.8071231842041</v>
      </c>
      <c r="B106" s="11">
        <v>-3.06172013282775</v>
      </c>
      <c r="C106" s="11">
        <v>0.0</v>
      </c>
      <c r="D106" s="11" t="s">
        <v>1061</v>
      </c>
      <c r="E106" s="11">
        <v>0.0</v>
      </c>
      <c r="F106" s="11" t="s">
        <v>1160</v>
      </c>
      <c r="I106" s="11">
        <v>-2.88476181030273</v>
      </c>
      <c r="J106" s="11">
        <v>-7.86690282821655</v>
      </c>
      <c r="K106" s="11">
        <v>0.0</v>
      </c>
      <c r="L106" s="11" t="s">
        <v>1390</v>
      </c>
      <c r="M106" s="11">
        <v>0.0</v>
      </c>
      <c r="N106" s="11" t="s">
        <v>1619</v>
      </c>
    </row>
    <row r="107">
      <c r="A107" s="11">
        <v>-32.0353088378906</v>
      </c>
      <c r="B107" s="11">
        <v>-5.91484498977661</v>
      </c>
      <c r="C107" s="11">
        <v>0.0</v>
      </c>
      <c r="D107" s="11" t="s">
        <v>1061</v>
      </c>
      <c r="E107" s="11">
        <v>0.0</v>
      </c>
      <c r="F107" s="11" t="s">
        <v>1161</v>
      </c>
      <c r="I107" s="11">
        <v>-14.6977472305297</v>
      </c>
      <c r="J107" s="11">
        <v>30.4631195068359</v>
      </c>
      <c r="K107" s="11">
        <v>1.0</v>
      </c>
      <c r="L107" s="11" t="s">
        <v>1390</v>
      </c>
      <c r="M107" s="11">
        <v>1.0</v>
      </c>
      <c r="N107" s="11" t="s">
        <v>1621</v>
      </c>
    </row>
    <row r="108">
      <c r="A108" s="11">
        <v>-38.6622657775878</v>
      </c>
      <c r="B108" s="11">
        <v>41.3735656738281</v>
      </c>
      <c r="C108" s="11">
        <v>-2.0</v>
      </c>
      <c r="D108" s="11" t="s">
        <v>1061</v>
      </c>
      <c r="E108" s="11">
        <v>-2.0</v>
      </c>
      <c r="F108" s="11" t="s">
        <v>1162</v>
      </c>
      <c r="I108" s="11">
        <v>44.2802085876464</v>
      </c>
      <c r="J108" s="11">
        <v>-4.93772315979003</v>
      </c>
      <c r="K108" s="11">
        <v>0.0</v>
      </c>
      <c r="L108" s="11" t="s">
        <v>1390</v>
      </c>
      <c r="M108" s="11">
        <v>0.0</v>
      </c>
      <c r="N108" s="11" t="s">
        <v>1623</v>
      </c>
    </row>
    <row r="109">
      <c r="A109" s="11">
        <v>-31.952257156372</v>
      </c>
      <c r="B109" s="11">
        <v>-7.5428500175476</v>
      </c>
      <c r="C109" s="11">
        <v>0.0</v>
      </c>
      <c r="D109" s="11" t="s">
        <v>1061</v>
      </c>
      <c r="E109" s="11">
        <v>0.0</v>
      </c>
      <c r="F109" s="11" t="s">
        <v>1163</v>
      </c>
      <c r="I109" s="11">
        <v>40.7267379760742</v>
      </c>
      <c r="J109" s="11">
        <v>-5.60651874542236</v>
      </c>
      <c r="K109" s="11">
        <v>0.0</v>
      </c>
      <c r="L109" s="11" t="s">
        <v>1390</v>
      </c>
      <c r="M109" s="11">
        <v>0.0</v>
      </c>
      <c r="N109" s="11" t="s">
        <v>1625</v>
      </c>
    </row>
    <row r="110">
      <c r="A110" s="11">
        <v>25.6724071502685</v>
      </c>
      <c r="B110" s="11">
        <v>39.1549034118652</v>
      </c>
      <c r="C110" s="11">
        <v>2.0</v>
      </c>
      <c r="D110" s="11" t="s">
        <v>1061</v>
      </c>
      <c r="E110" s="11">
        <v>2.0</v>
      </c>
      <c r="F110" s="11" t="s">
        <v>1626</v>
      </c>
      <c r="I110" s="11">
        <v>13.197618484497</v>
      </c>
      <c r="J110" s="11">
        <v>17.023151397705</v>
      </c>
      <c r="K110" s="11">
        <v>0.0</v>
      </c>
      <c r="L110" s="11" t="s">
        <v>1390</v>
      </c>
      <c r="M110" s="11">
        <v>0.0</v>
      </c>
      <c r="N110" s="11" t="s">
        <v>1628</v>
      </c>
    </row>
    <row r="111">
      <c r="A111" s="11">
        <v>-36.9887351989746</v>
      </c>
      <c r="B111" s="11">
        <v>16.9285430908203</v>
      </c>
      <c r="C111" s="11">
        <v>0.0</v>
      </c>
      <c r="D111" s="11" t="s">
        <v>1061</v>
      </c>
      <c r="E111" s="11">
        <v>0.0</v>
      </c>
      <c r="F111" s="11" t="s">
        <v>1164</v>
      </c>
      <c r="I111" s="11">
        <v>22.0592308044433</v>
      </c>
      <c r="J111" s="11">
        <v>1.67586290836334</v>
      </c>
      <c r="K111" s="11">
        <v>0.0</v>
      </c>
      <c r="L111" s="11" t="s">
        <v>1390</v>
      </c>
      <c r="M111" s="11">
        <v>0.0</v>
      </c>
      <c r="N111" s="11" t="s">
        <v>1630</v>
      </c>
    </row>
    <row r="112">
      <c r="A112" s="11">
        <v>23.2793827056884</v>
      </c>
      <c r="B112" s="11">
        <v>32.6473960876464</v>
      </c>
      <c r="C112" s="11">
        <v>2.0</v>
      </c>
      <c r="D112" s="11" t="s">
        <v>1061</v>
      </c>
      <c r="E112" s="11">
        <v>2.0</v>
      </c>
      <c r="F112" s="11" t="s">
        <v>1165</v>
      </c>
      <c r="I112" s="11">
        <v>-18.1249809265136</v>
      </c>
      <c r="J112" s="11">
        <v>34.3867073059082</v>
      </c>
      <c r="K112" s="11">
        <v>1.0</v>
      </c>
      <c r="L112" s="11" t="s">
        <v>1390</v>
      </c>
      <c r="M112" s="11">
        <v>1.0</v>
      </c>
      <c r="N112" s="11" t="s">
        <v>1632</v>
      </c>
    </row>
    <row r="113">
      <c r="A113" s="11">
        <v>-28.1937427520751</v>
      </c>
      <c r="B113" s="11">
        <v>-4.01041221618652</v>
      </c>
      <c r="C113" s="11">
        <v>0.0</v>
      </c>
      <c r="D113" s="11" t="s">
        <v>1061</v>
      </c>
      <c r="E113" s="11">
        <v>0.0</v>
      </c>
      <c r="F113" s="11" t="s">
        <v>1166</v>
      </c>
      <c r="I113" s="11">
        <v>45.3575248718261</v>
      </c>
      <c r="J113" s="11">
        <v>-20.2044162750244</v>
      </c>
      <c r="K113" s="11">
        <v>-2.0</v>
      </c>
      <c r="L113" s="11" t="s">
        <v>1390</v>
      </c>
      <c r="M113" s="11">
        <v>-2.0</v>
      </c>
      <c r="N113" s="11" t="s">
        <v>1634</v>
      </c>
    </row>
    <row r="114">
      <c r="A114" s="11">
        <v>22.2137012481689</v>
      </c>
      <c r="B114" s="11">
        <v>-6.22097826004028</v>
      </c>
      <c r="C114" s="11">
        <v>0.0</v>
      </c>
      <c r="D114" s="11" t="s">
        <v>1061</v>
      </c>
      <c r="E114" s="11">
        <v>0.0</v>
      </c>
      <c r="F114" s="11" t="s">
        <v>1167</v>
      </c>
      <c r="I114" s="11">
        <v>2.31045198440551</v>
      </c>
      <c r="J114" s="11">
        <v>21.8169708251953</v>
      </c>
      <c r="K114" s="11">
        <v>0.0</v>
      </c>
      <c r="L114" s="11" t="s">
        <v>1390</v>
      </c>
      <c r="M114" s="11">
        <v>0.0</v>
      </c>
      <c r="N114" s="11" t="s">
        <v>1635</v>
      </c>
    </row>
    <row r="115">
      <c r="A115" s="11">
        <v>-33.5889434814453</v>
      </c>
      <c r="B115" s="11">
        <v>4.13021087646484</v>
      </c>
      <c r="C115" s="11">
        <v>0.0</v>
      </c>
      <c r="D115" s="11" t="s">
        <v>1061</v>
      </c>
      <c r="E115" s="11">
        <v>0.0</v>
      </c>
      <c r="F115" s="11" t="s">
        <v>1168</v>
      </c>
      <c r="I115" s="11">
        <v>40.3313179016113</v>
      </c>
      <c r="J115" s="11">
        <v>-7.05687141418457</v>
      </c>
      <c r="K115" s="11">
        <v>0.0</v>
      </c>
      <c r="L115" s="11" t="s">
        <v>1390</v>
      </c>
      <c r="M115" s="11">
        <v>0.0</v>
      </c>
      <c r="N115" s="11" t="s">
        <v>1637</v>
      </c>
    </row>
    <row r="116">
      <c r="A116" s="11">
        <v>30.7231693267822</v>
      </c>
      <c r="B116" s="11">
        <v>25.3611450195312</v>
      </c>
      <c r="C116" s="11">
        <v>2.0</v>
      </c>
      <c r="D116" s="11" t="s">
        <v>1061</v>
      </c>
      <c r="E116" s="11">
        <v>2.0</v>
      </c>
      <c r="F116" s="11" t="s">
        <v>1638</v>
      </c>
      <c r="I116" s="11">
        <v>-14.2912883758544</v>
      </c>
      <c r="J116" s="11">
        <v>36.5724830627441</v>
      </c>
      <c r="K116" s="11">
        <v>1.0</v>
      </c>
      <c r="L116" s="11" t="s">
        <v>1390</v>
      </c>
      <c r="M116" s="11">
        <v>1.0</v>
      </c>
      <c r="N116" s="11" t="s">
        <v>1640</v>
      </c>
    </row>
    <row r="117">
      <c r="A117" s="11">
        <v>-14.0076446533203</v>
      </c>
      <c r="B117" s="11">
        <v>-8.80042743682861</v>
      </c>
      <c r="C117" s="11">
        <v>0.0</v>
      </c>
      <c r="D117" s="11" t="s">
        <v>1061</v>
      </c>
      <c r="E117" s="11">
        <v>0.0</v>
      </c>
      <c r="F117" s="11" t="s">
        <v>1169</v>
      </c>
      <c r="I117" s="11">
        <v>34.6848487854003</v>
      </c>
      <c r="J117" s="11">
        <v>-3.6675169467926</v>
      </c>
      <c r="K117" s="11">
        <v>0.0</v>
      </c>
      <c r="L117" s="11" t="s">
        <v>1390</v>
      </c>
      <c r="M117" s="11">
        <v>0.0</v>
      </c>
      <c r="N117" s="11" t="s">
        <v>1642</v>
      </c>
    </row>
    <row r="118">
      <c r="A118" s="11">
        <v>-14.0017614364624</v>
      </c>
      <c r="B118" s="11">
        <v>-8.80272960662841</v>
      </c>
      <c r="C118" s="11">
        <v>0.0</v>
      </c>
      <c r="D118" s="11" t="s">
        <v>1061</v>
      </c>
      <c r="E118" s="11">
        <v>0.0</v>
      </c>
      <c r="F118" s="11" t="s">
        <v>1170</v>
      </c>
      <c r="I118" s="11">
        <v>-17.674180984497</v>
      </c>
      <c r="J118" s="11">
        <v>37.7936859130859</v>
      </c>
      <c r="K118" s="11">
        <v>1.0</v>
      </c>
      <c r="L118" s="11" t="s">
        <v>1390</v>
      </c>
      <c r="M118" s="11">
        <v>1.0</v>
      </c>
      <c r="N118" s="11" t="s">
        <v>1643</v>
      </c>
    </row>
    <row r="119">
      <c r="A119" s="11">
        <v>8.59357070922851</v>
      </c>
      <c r="B119" s="11">
        <v>-20.1370029449462</v>
      </c>
      <c r="C119" s="11">
        <v>0.0</v>
      </c>
      <c r="D119" s="11" t="s">
        <v>1061</v>
      </c>
      <c r="E119" s="11">
        <v>0.0</v>
      </c>
      <c r="F119" s="11" t="s">
        <v>1171</v>
      </c>
      <c r="I119" s="11">
        <v>-16.3884086608886</v>
      </c>
      <c r="J119" s="11">
        <v>43.5323753356933</v>
      </c>
      <c r="K119" s="11">
        <v>2.0</v>
      </c>
      <c r="L119" s="11" t="s">
        <v>1390</v>
      </c>
      <c r="M119" s="11">
        <v>2.0</v>
      </c>
      <c r="N119" s="11" t="s">
        <v>1645</v>
      </c>
    </row>
    <row r="120">
      <c r="A120" s="11">
        <v>-35.666934967041</v>
      </c>
      <c r="B120" s="11">
        <v>32.3000564575195</v>
      </c>
      <c r="C120" s="11">
        <v>-1.0</v>
      </c>
      <c r="D120" s="11" t="s">
        <v>1061</v>
      </c>
      <c r="E120" s="11">
        <v>-1.0</v>
      </c>
      <c r="F120" s="11" t="s">
        <v>1646</v>
      </c>
      <c r="I120" s="11">
        <v>45.4598655700683</v>
      </c>
      <c r="J120" s="11">
        <v>-15.369041442871</v>
      </c>
      <c r="K120" s="11">
        <v>-2.0</v>
      </c>
      <c r="L120" s="11" t="s">
        <v>1390</v>
      </c>
      <c r="M120" s="11">
        <v>-2.0</v>
      </c>
      <c r="N120" s="11" t="s">
        <v>1647</v>
      </c>
    </row>
    <row r="121">
      <c r="A121" s="11">
        <v>-39.1828956604003</v>
      </c>
      <c r="B121" s="11">
        <v>29.1820659637451</v>
      </c>
      <c r="C121" s="11">
        <v>0.0</v>
      </c>
      <c r="D121" s="11" t="s">
        <v>1061</v>
      </c>
      <c r="E121" s="11">
        <v>0.0</v>
      </c>
      <c r="F121" s="11" t="s">
        <v>1172</v>
      </c>
      <c r="I121" s="11">
        <v>-16.1628456115722</v>
      </c>
      <c r="J121" s="11">
        <v>32.5691261291503</v>
      </c>
      <c r="K121" s="11">
        <v>1.0</v>
      </c>
      <c r="L121" s="11" t="s">
        <v>1390</v>
      </c>
      <c r="M121" s="11">
        <v>1.0</v>
      </c>
      <c r="N121" s="11" t="s">
        <v>1649</v>
      </c>
    </row>
    <row r="122">
      <c r="A122" s="11">
        <v>-41.5936126708984</v>
      </c>
      <c r="B122" s="11">
        <v>31.8875408172607</v>
      </c>
      <c r="C122" s="11">
        <v>-1.0</v>
      </c>
      <c r="D122" s="11" t="s">
        <v>1061</v>
      </c>
      <c r="E122" s="11">
        <v>-1.0</v>
      </c>
      <c r="F122" s="11" t="s">
        <v>1173</v>
      </c>
      <c r="I122" s="11">
        <v>-15.2344589233398</v>
      </c>
      <c r="J122" s="11">
        <v>33.8325500488281</v>
      </c>
      <c r="K122" s="11">
        <v>0.0</v>
      </c>
      <c r="L122" s="11" t="s">
        <v>1390</v>
      </c>
      <c r="M122" s="11">
        <v>0.0</v>
      </c>
      <c r="N122" s="11" t="s">
        <v>1650</v>
      </c>
    </row>
    <row r="123">
      <c r="A123" s="11">
        <v>17.3079872131347</v>
      </c>
      <c r="B123" s="11">
        <v>-19.8340892791748</v>
      </c>
      <c r="C123" s="11">
        <v>0.0</v>
      </c>
      <c r="D123" s="11" t="s">
        <v>1061</v>
      </c>
      <c r="E123" s="11">
        <v>0.0</v>
      </c>
      <c r="F123" s="11" t="s">
        <v>1174</v>
      </c>
      <c r="I123" s="11">
        <v>41.5098762512207</v>
      </c>
      <c r="J123" s="11">
        <v>-6.12771081924438</v>
      </c>
      <c r="K123" s="11">
        <v>0.0</v>
      </c>
      <c r="L123" s="11" t="s">
        <v>1390</v>
      </c>
      <c r="M123" s="11">
        <v>0.0</v>
      </c>
      <c r="N123" s="11" t="s">
        <v>1653</v>
      </c>
    </row>
    <row r="124">
      <c r="A124" s="11">
        <v>34.3445777893066</v>
      </c>
      <c r="B124" s="11">
        <v>-16.6258316040039</v>
      </c>
      <c r="C124" s="11">
        <v>0.0</v>
      </c>
      <c r="D124" s="11" t="s">
        <v>1061</v>
      </c>
      <c r="E124" s="11">
        <v>0.0</v>
      </c>
      <c r="F124" s="11" t="s">
        <v>1175</v>
      </c>
      <c r="I124" s="11">
        <v>17.4236164093017</v>
      </c>
      <c r="J124" s="11">
        <v>10.2720365524292</v>
      </c>
      <c r="K124" s="11">
        <v>0.0</v>
      </c>
      <c r="L124" s="11" t="s">
        <v>1390</v>
      </c>
      <c r="M124" s="11">
        <v>0.0</v>
      </c>
      <c r="N124" s="11" t="s">
        <v>1655</v>
      </c>
    </row>
    <row r="125">
      <c r="A125" s="11">
        <v>7.95384788513183</v>
      </c>
      <c r="B125" s="11">
        <v>-2.85178875923156</v>
      </c>
      <c r="C125" s="11">
        <v>0.0</v>
      </c>
      <c r="D125" s="11" t="s">
        <v>1061</v>
      </c>
      <c r="E125" s="11">
        <v>0.0</v>
      </c>
      <c r="F125" s="11" t="s">
        <v>1176</v>
      </c>
      <c r="I125" s="11">
        <v>17.9124641418457</v>
      </c>
      <c r="J125" s="11">
        <v>-3.79972720146179</v>
      </c>
      <c r="K125" s="11">
        <v>0.0</v>
      </c>
      <c r="L125" s="11" t="s">
        <v>1390</v>
      </c>
      <c r="M125" s="11">
        <v>0.0</v>
      </c>
      <c r="N125" s="11" t="s">
        <v>1657</v>
      </c>
    </row>
    <row r="126">
      <c r="A126" s="11">
        <v>-41.4346809387207</v>
      </c>
      <c r="B126" s="11">
        <v>28.661750793457</v>
      </c>
      <c r="C126" s="11">
        <v>0.0</v>
      </c>
      <c r="D126" s="11" t="s">
        <v>1061</v>
      </c>
      <c r="E126" s="11">
        <v>0.0</v>
      </c>
      <c r="F126" s="11" t="s">
        <v>1177</v>
      </c>
      <c r="I126" s="11">
        <v>21.2972946166992</v>
      </c>
      <c r="J126" s="11">
        <v>-0.8024463057518</v>
      </c>
      <c r="K126" s="11">
        <v>0.0</v>
      </c>
      <c r="L126" s="11" t="s">
        <v>1390</v>
      </c>
      <c r="M126" s="11">
        <v>0.0</v>
      </c>
      <c r="N126" s="11" t="s">
        <v>1659</v>
      </c>
    </row>
    <row r="127">
      <c r="A127" s="11">
        <v>-33.6077613830566</v>
      </c>
      <c r="B127" s="11">
        <v>5.91051530838012</v>
      </c>
      <c r="C127" s="11">
        <v>0.0</v>
      </c>
      <c r="D127" s="11" t="s">
        <v>1061</v>
      </c>
      <c r="E127" s="11">
        <v>0.0</v>
      </c>
      <c r="F127" s="11" t="s">
        <v>1178</v>
      </c>
      <c r="I127" s="11">
        <v>-5.45921468734741</v>
      </c>
      <c r="J127" s="11">
        <v>32.8747024536132</v>
      </c>
      <c r="K127" s="11">
        <v>1.0</v>
      </c>
      <c r="L127" s="11" t="s">
        <v>1390</v>
      </c>
      <c r="M127" s="11">
        <v>1.0</v>
      </c>
      <c r="N127" s="11" t="s">
        <v>1661</v>
      </c>
    </row>
    <row r="128">
      <c r="A128" s="11">
        <v>24.1631927490234</v>
      </c>
      <c r="B128" s="11">
        <v>31.7198123931884</v>
      </c>
      <c r="C128" s="11">
        <v>2.0</v>
      </c>
      <c r="D128" s="11" t="s">
        <v>1061</v>
      </c>
      <c r="E128" s="11">
        <v>2.0</v>
      </c>
      <c r="F128" s="11" t="s">
        <v>1179</v>
      </c>
      <c r="I128" s="11">
        <v>-9.29319286346435</v>
      </c>
      <c r="J128" s="11">
        <v>23.8208751678466</v>
      </c>
      <c r="K128" s="11">
        <v>0.0</v>
      </c>
      <c r="L128" s="11" t="s">
        <v>1390</v>
      </c>
      <c r="M128" s="11">
        <v>0.0</v>
      </c>
      <c r="N128" s="11" t="s">
        <v>1663</v>
      </c>
    </row>
    <row r="129">
      <c r="A129" s="11">
        <v>-40.7383575439453</v>
      </c>
      <c r="B129" s="11">
        <v>3.98102235794067</v>
      </c>
      <c r="C129" s="11">
        <v>0.0</v>
      </c>
      <c r="D129" s="11" t="s">
        <v>1061</v>
      </c>
      <c r="E129" s="11">
        <v>0.0</v>
      </c>
      <c r="F129" s="11" t="s">
        <v>1180</v>
      </c>
      <c r="I129" s="11">
        <v>-6.52314472198486</v>
      </c>
      <c r="J129" s="11">
        <v>31.4021110534667</v>
      </c>
      <c r="K129" s="11">
        <v>0.0</v>
      </c>
      <c r="L129" s="11" t="s">
        <v>1390</v>
      </c>
      <c r="M129" s="11">
        <v>0.0</v>
      </c>
      <c r="N129" s="11" t="s">
        <v>1665</v>
      </c>
    </row>
    <row r="130">
      <c r="A130" s="11">
        <v>36.2639198303222</v>
      </c>
      <c r="B130" s="11">
        <v>-18.2557353973388</v>
      </c>
      <c r="C130" s="11">
        <v>0.0</v>
      </c>
      <c r="D130" s="11" t="s">
        <v>1061</v>
      </c>
      <c r="E130" s="11">
        <v>0.0</v>
      </c>
      <c r="F130" s="11" t="s">
        <v>1181</v>
      </c>
      <c r="I130" s="11">
        <v>23.3558731079101</v>
      </c>
      <c r="J130" s="11">
        <v>1.18031823635101</v>
      </c>
      <c r="K130" s="11">
        <v>0.0</v>
      </c>
      <c r="L130" s="11" t="s">
        <v>1390</v>
      </c>
      <c r="M130" s="11">
        <v>0.0</v>
      </c>
      <c r="N130" s="11" t="s">
        <v>1667</v>
      </c>
    </row>
    <row r="131">
      <c r="A131" s="11">
        <v>24.4670104980468</v>
      </c>
      <c r="B131" s="11">
        <v>39.4821624755859</v>
      </c>
      <c r="C131" s="11">
        <v>2.0</v>
      </c>
      <c r="D131" s="11" t="s">
        <v>1061</v>
      </c>
      <c r="E131" s="11">
        <v>2.0</v>
      </c>
      <c r="F131" s="11" t="s">
        <v>1182</v>
      </c>
      <c r="I131" s="11">
        <v>14.6320905685424</v>
      </c>
      <c r="J131" s="11">
        <v>17.3314628601074</v>
      </c>
      <c r="K131" s="11">
        <v>0.0</v>
      </c>
      <c r="L131" s="11" t="s">
        <v>1390</v>
      </c>
      <c r="M131" s="11">
        <v>0.0</v>
      </c>
      <c r="N131" s="11" t="s">
        <v>1668</v>
      </c>
    </row>
    <row r="132">
      <c r="A132" s="11">
        <v>12.9473781585693</v>
      </c>
      <c r="B132" s="11">
        <v>-10.6434888839721</v>
      </c>
      <c r="C132" s="11">
        <v>0.0</v>
      </c>
      <c r="D132" s="11" t="s">
        <v>1061</v>
      </c>
      <c r="E132" s="11">
        <v>0.0</v>
      </c>
      <c r="F132" s="11" t="s">
        <v>1183</v>
      </c>
      <c r="I132" s="11">
        <v>-12.7800607681274</v>
      </c>
      <c r="J132" s="11">
        <v>30.5400104522705</v>
      </c>
      <c r="K132" s="11">
        <v>1.0</v>
      </c>
      <c r="L132" s="11" t="s">
        <v>1390</v>
      </c>
      <c r="M132" s="11">
        <v>1.0</v>
      </c>
      <c r="N132" s="11" t="s">
        <v>1670</v>
      </c>
    </row>
    <row r="133">
      <c r="A133" s="11">
        <v>25.7785606384277</v>
      </c>
      <c r="B133" s="11">
        <v>-0.666406989097595</v>
      </c>
      <c r="C133" s="11">
        <v>1.0</v>
      </c>
      <c r="D133" s="11" t="s">
        <v>1061</v>
      </c>
      <c r="E133" s="11">
        <v>1.0</v>
      </c>
      <c r="F133" s="11" t="s">
        <v>1184</v>
      </c>
      <c r="I133" s="11">
        <v>6.17412805557251</v>
      </c>
      <c r="J133" s="11">
        <v>20.0744533538818</v>
      </c>
      <c r="K133" s="11">
        <v>0.0</v>
      </c>
      <c r="L133" s="11" t="s">
        <v>1390</v>
      </c>
      <c r="M133" s="11">
        <v>0.0</v>
      </c>
      <c r="N133" s="11" t="s">
        <v>1672</v>
      </c>
    </row>
    <row r="134">
      <c r="A134" s="11">
        <v>-21.7609329223632</v>
      </c>
      <c r="B134" s="11">
        <v>-12.8827228546142</v>
      </c>
      <c r="C134" s="11">
        <v>0.0</v>
      </c>
      <c r="D134" s="11" t="s">
        <v>1061</v>
      </c>
      <c r="E134" s="11">
        <v>0.0</v>
      </c>
      <c r="F134" s="11" t="s">
        <v>1185</v>
      </c>
      <c r="I134" s="11">
        <v>9.36131477355957</v>
      </c>
      <c r="J134" s="11">
        <v>26.0639019012451</v>
      </c>
      <c r="K134" s="11">
        <v>0.0</v>
      </c>
      <c r="L134" s="11" t="s">
        <v>1390</v>
      </c>
      <c r="M134" s="11">
        <v>0.0</v>
      </c>
      <c r="N134" s="11" t="s">
        <v>1674</v>
      </c>
    </row>
    <row r="135">
      <c r="A135" s="11">
        <v>-32.0786514282226</v>
      </c>
      <c r="B135" s="11">
        <v>-7.10439586639404</v>
      </c>
      <c r="C135" s="11">
        <v>0.0</v>
      </c>
      <c r="D135" s="11" t="s">
        <v>1061</v>
      </c>
      <c r="E135" s="11">
        <v>0.0</v>
      </c>
      <c r="F135" s="11" t="s">
        <v>1186</v>
      </c>
      <c r="I135" s="11">
        <v>23.0899791717529</v>
      </c>
      <c r="J135" s="11">
        <v>0.574236512184143</v>
      </c>
      <c r="K135" s="11">
        <v>0.0</v>
      </c>
      <c r="L135" s="11" t="s">
        <v>1390</v>
      </c>
      <c r="M135" s="11">
        <v>0.0</v>
      </c>
      <c r="N135" s="11" t="s">
        <v>1676</v>
      </c>
    </row>
    <row r="136">
      <c r="A136" s="11">
        <v>38.6824913024902</v>
      </c>
      <c r="B136" s="11">
        <v>-21.209716796875</v>
      </c>
      <c r="C136" s="11">
        <v>0.0</v>
      </c>
      <c r="D136" s="11" t="s">
        <v>1061</v>
      </c>
      <c r="E136" s="11">
        <v>0.0</v>
      </c>
      <c r="F136" s="11" t="s">
        <v>1187</v>
      </c>
      <c r="I136" s="11">
        <v>-3.2822413444519</v>
      </c>
      <c r="J136" s="11">
        <v>-6.99270009994506</v>
      </c>
      <c r="K136" s="11">
        <v>0.0</v>
      </c>
      <c r="L136" s="11" t="s">
        <v>1390</v>
      </c>
      <c r="M136" s="11">
        <v>0.0</v>
      </c>
      <c r="N136" s="11" t="s">
        <v>1678</v>
      </c>
    </row>
    <row r="137">
      <c r="A137" s="11">
        <v>-34.3023681640625</v>
      </c>
      <c r="B137" s="11">
        <v>-12.0007982254028</v>
      </c>
      <c r="C137" s="11">
        <v>0.0</v>
      </c>
      <c r="D137" s="11" t="s">
        <v>1061</v>
      </c>
      <c r="E137" s="11">
        <v>0.0</v>
      </c>
      <c r="F137" s="11" t="s">
        <v>1188</v>
      </c>
      <c r="I137" s="11">
        <v>-11.7944450378417</v>
      </c>
      <c r="J137" s="11">
        <v>28.3228187561035</v>
      </c>
      <c r="K137" s="11">
        <v>0.0</v>
      </c>
      <c r="L137" s="11" t="s">
        <v>1390</v>
      </c>
      <c r="M137" s="11">
        <v>0.0</v>
      </c>
      <c r="N137" s="11" t="s">
        <v>1680</v>
      </c>
    </row>
    <row r="138">
      <c r="A138" s="11">
        <v>-14.0010070800781</v>
      </c>
      <c r="B138" s="11">
        <v>-8.80249404907226</v>
      </c>
      <c r="C138" s="11">
        <v>0.0</v>
      </c>
      <c r="D138" s="11" t="s">
        <v>1061</v>
      </c>
      <c r="E138" s="11">
        <v>0.0</v>
      </c>
      <c r="F138" s="11" t="s">
        <v>1189</v>
      </c>
      <c r="I138" s="11">
        <v>41.1754074096679</v>
      </c>
      <c r="J138" s="11">
        <v>-10.7574186325073</v>
      </c>
      <c r="K138" s="11">
        <v>-1.0</v>
      </c>
      <c r="L138" s="11" t="s">
        <v>1390</v>
      </c>
      <c r="M138" s="11">
        <v>-1.0</v>
      </c>
      <c r="N138" s="11" t="s">
        <v>1681</v>
      </c>
    </row>
    <row r="139">
      <c r="A139" s="11">
        <v>22.9195289611816</v>
      </c>
      <c r="B139" s="11">
        <v>31.5860195159912</v>
      </c>
      <c r="C139" s="11">
        <v>2.0</v>
      </c>
      <c r="D139" s="11" t="s">
        <v>1061</v>
      </c>
      <c r="E139" s="11">
        <v>2.0</v>
      </c>
      <c r="F139" s="11" t="s">
        <v>1190</v>
      </c>
      <c r="I139" s="11">
        <v>-1.70269811153411</v>
      </c>
      <c r="J139" s="11">
        <v>23.1609096527099</v>
      </c>
      <c r="K139" s="11">
        <v>0.0</v>
      </c>
      <c r="L139" s="11" t="s">
        <v>1390</v>
      </c>
      <c r="M139" s="11">
        <v>0.0</v>
      </c>
      <c r="N139" s="11" t="s">
        <v>1683</v>
      </c>
    </row>
    <row r="140">
      <c r="A140" s="11">
        <v>-24.2691116333007</v>
      </c>
      <c r="B140" s="11">
        <v>-15.0780715942382</v>
      </c>
      <c r="C140" s="11">
        <v>0.0</v>
      </c>
      <c r="D140" s="11" t="s">
        <v>1061</v>
      </c>
      <c r="E140" s="11">
        <v>0.0</v>
      </c>
      <c r="F140" s="11" t="s">
        <v>1191</v>
      </c>
      <c r="I140" s="11">
        <v>47.6866111755371</v>
      </c>
      <c r="J140" s="11">
        <v>-15.9543409347534</v>
      </c>
      <c r="K140" s="11">
        <v>-2.0</v>
      </c>
      <c r="L140" s="11" t="s">
        <v>1390</v>
      </c>
      <c r="M140" s="11">
        <v>-2.0</v>
      </c>
      <c r="N140" s="11" t="s">
        <v>1685</v>
      </c>
    </row>
    <row r="141">
      <c r="A141" s="11">
        <v>-34.2194328308105</v>
      </c>
      <c r="B141" s="11">
        <v>7.62694978713989</v>
      </c>
      <c r="C141" s="11">
        <v>0.0</v>
      </c>
      <c r="D141" s="11" t="s">
        <v>1061</v>
      </c>
      <c r="E141" s="11">
        <v>0.0</v>
      </c>
      <c r="F141" s="11" t="s">
        <v>1192</v>
      </c>
      <c r="I141" s="11">
        <v>20.1242961883544</v>
      </c>
      <c r="J141" s="11">
        <v>3.3491473197937</v>
      </c>
      <c r="K141" s="11">
        <v>0.0</v>
      </c>
      <c r="L141" s="11" t="s">
        <v>1390</v>
      </c>
      <c r="M141" s="11">
        <v>0.0</v>
      </c>
      <c r="N141" s="11" t="s">
        <v>1687</v>
      </c>
    </row>
    <row r="142">
      <c r="A142" s="11">
        <v>36.1469764709472</v>
      </c>
      <c r="B142" s="11">
        <v>15.4669065475463</v>
      </c>
      <c r="C142" s="11">
        <v>2.0</v>
      </c>
      <c r="D142" s="11" t="s">
        <v>1061</v>
      </c>
      <c r="E142" s="11">
        <v>2.0</v>
      </c>
      <c r="F142" s="11" t="s">
        <v>1193</v>
      </c>
      <c r="I142" s="11">
        <v>22.170690536499</v>
      </c>
      <c r="J142" s="11">
        <v>2.71741676330566</v>
      </c>
      <c r="K142" s="11">
        <v>0.0</v>
      </c>
      <c r="L142" s="11" t="s">
        <v>1390</v>
      </c>
      <c r="M142" s="11">
        <v>0.0</v>
      </c>
      <c r="N142" s="11" t="s">
        <v>1689</v>
      </c>
    </row>
    <row r="143">
      <c r="A143" s="11">
        <v>-24.2689056396484</v>
      </c>
      <c r="B143" s="11">
        <v>-15.0782680511474</v>
      </c>
      <c r="C143" s="11">
        <v>0.0</v>
      </c>
      <c r="D143" s="11" t="s">
        <v>1061</v>
      </c>
      <c r="E143" s="11">
        <v>0.0</v>
      </c>
      <c r="F143" s="11" t="s">
        <v>1194</v>
      </c>
      <c r="I143" s="11">
        <v>-6.23059511184692</v>
      </c>
      <c r="J143" s="11">
        <v>-19.6849498748779</v>
      </c>
      <c r="K143" s="11">
        <v>0.0</v>
      </c>
      <c r="L143" s="11" t="s">
        <v>1390</v>
      </c>
      <c r="M143" s="11">
        <v>0.0</v>
      </c>
      <c r="N143" s="11" t="s">
        <v>1691</v>
      </c>
    </row>
    <row r="144">
      <c r="A144" s="11">
        <v>11.3992929458618</v>
      </c>
      <c r="B144" s="11">
        <v>-28.3507289886474</v>
      </c>
      <c r="C144" s="11">
        <v>0.0</v>
      </c>
      <c r="D144" s="11" t="s">
        <v>1061</v>
      </c>
      <c r="E144" s="11">
        <v>0.0</v>
      </c>
      <c r="F144" s="11" t="s">
        <v>1195</v>
      </c>
      <c r="I144" s="11">
        <v>41.2537956237793</v>
      </c>
      <c r="J144" s="11">
        <v>-7.03306913375854</v>
      </c>
      <c r="K144" s="11">
        <v>-1.0</v>
      </c>
      <c r="L144" s="11" t="s">
        <v>1390</v>
      </c>
      <c r="M144" s="11">
        <v>-1.0</v>
      </c>
      <c r="N144" s="11" t="s">
        <v>1693</v>
      </c>
    </row>
    <row r="145">
      <c r="A145" s="11">
        <v>8.70268535614013</v>
      </c>
      <c r="B145" s="11">
        <v>-17.7392902374267</v>
      </c>
      <c r="C145" s="11">
        <v>0.0</v>
      </c>
      <c r="D145" s="11" t="s">
        <v>1061</v>
      </c>
      <c r="E145" s="11">
        <v>0.0</v>
      </c>
      <c r="F145" s="11" t="s">
        <v>1196</v>
      </c>
      <c r="I145" s="11">
        <v>17.1902618408203</v>
      </c>
      <c r="J145" s="11">
        <v>11.3447904586792</v>
      </c>
      <c r="K145" s="11">
        <v>0.0</v>
      </c>
      <c r="L145" s="11" t="s">
        <v>1390</v>
      </c>
      <c r="M145" s="11">
        <v>0.0</v>
      </c>
      <c r="N145" s="11" t="s">
        <v>1695</v>
      </c>
    </row>
    <row r="146">
      <c r="A146" s="11">
        <v>-36.2806320190429</v>
      </c>
      <c r="B146" s="11">
        <v>-11.8553571701049</v>
      </c>
      <c r="C146" s="11">
        <v>0.0</v>
      </c>
      <c r="D146" s="11" t="s">
        <v>1061</v>
      </c>
      <c r="E146" s="11">
        <v>0.0</v>
      </c>
      <c r="F146" s="11" t="s">
        <v>1197</v>
      </c>
      <c r="I146" s="11">
        <v>16.474739074707</v>
      </c>
      <c r="J146" s="11">
        <v>15.8047485351562</v>
      </c>
      <c r="K146" s="11">
        <v>0.0</v>
      </c>
      <c r="L146" s="11" t="s">
        <v>1390</v>
      </c>
      <c r="M146" s="11">
        <v>0.0</v>
      </c>
      <c r="N146" s="11" t="s">
        <v>1697</v>
      </c>
    </row>
    <row r="147">
      <c r="A147" s="11">
        <v>-41.2896385192871</v>
      </c>
      <c r="B147" s="11">
        <v>36.5126762390136</v>
      </c>
      <c r="C147" s="11">
        <v>-2.0</v>
      </c>
      <c r="D147" s="11" t="s">
        <v>1061</v>
      </c>
      <c r="E147" s="11">
        <v>-2.0</v>
      </c>
      <c r="F147" s="11" t="s">
        <v>1198</v>
      </c>
      <c r="I147" s="11">
        <v>8.57590770721435</v>
      </c>
      <c r="J147" s="11">
        <v>25.7035293579101</v>
      </c>
      <c r="K147" s="11">
        <v>0.0</v>
      </c>
      <c r="L147" s="11" t="s">
        <v>1390</v>
      </c>
      <c r="M147" s="11">
        <v>0.0</v>
      </c>
      <c r="N147" s="11" t="s">
        <v>1699</v>
      </c>
    </row>
    <row r="148">
      <c r="A148" s="11">
        <v>40.1969032287597</v>
      </c>
      <c r="B148" s="11">
        <v>-19.7746677398681</v>
      </c>
      <c r="C148" s="11">
        <v>0.0</v>
      </c>
      <c r="D148" s="11" t="s">
        <v>1061</v>
      </c>
      <c r="E148" s="11">
        <v>0.0</v>
      </c>
      <c r="F148" s="11" t="s">
        <v>1199</v>
      </c>
      <c r="I148" s="11">
        <v>-1.70269811153411</v>
      </c>
      <c r="J148" s="11">
        <v>23.1609096527099</v>
      </c>
      <c r="K148" s="11">
        <v>0.0</v>
      </c>
      <c r="L148" s="11" t="s">
        <v>1390</v>
      </c>
      <c r="M148" s="11">
        <v>0.0</v>
      </c>
      <c r="N148" s="11" t="s">
        <v>1701</v>
      </c>
    </row>
    <row r="149">
      <c r="A149" s="11">
        <v>-13.9834947586059</v>
      </c>
      <c r="B149" s="11">
        <v>-3.19338870048522</v>
      </c>
      <c r="C149" s="11">
        <v>0.0</v>
      </c>
      <c r="D149" s="11" t="s">
        <v>1061</v>
      </c>
      <c r="E149" s="11">
        <v>0.0</v>
      </c>
      <c r="F149" s="11" t="s">
        <v>1200</v>
      </c>
      <c r="I149" s="11">
        <v>33.5598602294921</v>
      </c>
      <c r="J149" s="11">
        <v>3.64527058601379</v>
      </c>
      <c r="K149" s="11">
        <v>0.0</v>
      </c>
      <c r="L149" s="11" t="s">
        <v>1390</v>
      </c>
      <c r="M149" s="11">
        <v>0.0</v>
      </c>
      <c r="N149" s="11" t="s">
        <v>1703</v>
      </c>
    </row>
    <row r="150">
      <c r="A150" s="11">
        <v>-18.2154712677001</v>
      </c>
      <c r="B150" s="11">
        <v>6.19591283798217</v>
      </c>
      <c r="C150" s="11">
        <v>0.0</v>
      </c>
      <c r="D150" s="11" t="s">
        <v>1061</v>
      </c>
      <c r="E150" s="11">
        <v>0.0</v>
      </c>
      <c r="F150" s="11" t="s">
        <v>1201</v>
      </c>
      <c r="I150" s="11">
        <v>15.35298538208</v>
      </c>
      <c r="J150" s="11">
        <v>15.4300098419189</v>
      </c>
      <c r="K150" s="11">
        <v>0.0</v>
      </c>
      <c r="L150" s="11" t="s">
        <v>1390</v>
      </c>
      <c r="M150" s="11">
        <v>0.0</v>
      </c>
      <c r="N150" s="11" t="s">
        <v>1705</v>
      </c>
    </row>
    <row r="151">
      <c r="A151" s="11">
        <v>14.5085592269897</v>
      </c>
      <c r="B151" s="11">
        <v>-31.8361644744873</v>
      </c>
      <c r="C151" s="11">
        <v>0.0</v>
      </c>
      <c r="D151" s="11" t="s">
        <v>1061</v>
      </c>
      <c r="E151" s="11">
        <v>0.0</v>
      </c>
      <c r="F151" s="11" t="s">
        <v>1202</v>
      </c>
      <c r="I151" s="11">
        <v>-19.9060554504394</v>
      </c>
      <c r="J151" s="11">
        <v>42.5833625793457</v>
      </c>
      <c r="K151" s="11">
        <v>2.0</v>
      </c>
      <c r="L151" s="11" t="s">
        <v>1390</v>
      </c>
      <c r="M151" s="11">
        <v>2.0</v>
      </c>
      <c r="N151" s="11" t="s">
        <v>1707</v>
      </c>
    </row>
    <row r="152">
      <c r="A152" s="11">
        <v>-37.109317779541</v>
      </c>
      <c r="B152" s="11">
        <v>-12.2371397018432</v>
      </c>
      <c r="C152" s="11">
        <v>0.0</v>
      </c>
      <c r="D152" s="11" t="s">
        <v>1061</v>
      </c>
      <c r="E152" s="11">
        <v>0.0</v>
      </c>
      <c r="F152" s="11" t="s">
        <v>1203</v>
      </c>
      <c r="I152" s="11">
        <v>6.48995733261108</v>
      </c>
      <c r="J152" s="11">
        <v>24.2320842742919</v>
      </c>
      <c r="K152" s="11">
        <v>0.0</v>
      </c>
      <c r="L152" s="11" t="s">
        <v>1390</v>
      </c>
      <c r="M152" s="11">
        <v>0.0</v>
      </c>
      <c r="N152" s="11" t="s">
        <v>1709</v>
      </c>
    </row>
    <row r="153">
      <c r="A153" s="11">
        <v>-34.0856552124023</v>
      </c>
      <c r="B153" s="11">
        <v>-12.1956024169921</v>
      </c>
      <c r="C153" s="11">
        <v>0.0</v>
      </c>
      <c r="D153" s="11" t="s">
        <v>1061</v>
      </c>
      <c r="E153" s="11">
        <v>0.0</v>
      </c>
      <c r="F153" s="11" t="s">
        <v>1204</v>
      </c>
      <c r="I153" s="11">
        <v>-1.9574464559555</v>
      </c>
      <c r="J153" s="11">
        <v>-7.26131153106689</v>
      </c>
      <c r="K153" s="11">
        <v>0.0</v>
      </c>
      <c r="L153" s="11" t="s">
        <v>1390</v>
      </c>
      <c r="M153" s="11">
        <v>0.0</v>
      </c>
      <c r="N153" s="11" t="s">
        <v>1711</v>
      </c>
    </row>
    <row r="154">
      <c r="A154" s="11">
        <v>-6.35629653930664</v>
      </c>
      <c r="B154" s="11">
        <v>-10.566291809082</v>
      </c>
      <c r="C154" s="11">
        <v>0.0</v>
      </c>
      <c r="D154" s="11" t="s">
        <v>1061</v>
      </c>
      <c r="E154" s="11">
        <v>0.0</v>
      </c>
      <c r="F154" s="11" t="s">
        <v>1205</v>
      </c>
      <c r="I154" s="11">
        <v>7.58739042282104</v>
      </c>
      <c r="J154" s="11">
        <v>23.2465057373046</v>
      </c>
      <c r="K154" s="11">
        <v>0.0</v>
      </c>
      <c r="L154" s="11" t="s">
        <v>1390</v>
      </c>
      <c r="M154" s="11">
        <v>0.0</v>
      </c>
      <c r="N154" s="11" t="s">
        <v>1713</v>
      </c>
    </row>
    <row r="155">
      <c r="A155" s="11">
        <v>-39.8516616821289</v>
      </c>
      <c r="B155" s="11">
        <v>7.80880403518676</v>
      </c>
      <c r="C155" s="11">
        <v>0.0</v>
      </c>
      <c r="D155" s="11" t="s">
        <v>1061</v>
      </c>
      <c r="E155" s="11">
        <v>0.0</v>
      </c>
      <c r="F155" s="11" t="s">
        <v>1206</v>
      </c>
      <c r="I155" s="11">
        <v>46.9132995605468</v>
      </c>
      <c r="J155" s="11">
        <v>-15.0116109848022</v>
      </c>
      <c r="K155" s="11">
        <v>-2.0</v>
      </c>
      <c r="L155" s="11" t="s">
        <v>1390</v>
      </c>
      <c r="M155" s="11">
        <v>-2.0</v>
      </c>
      <c r="N155" s="11" t="s">
        <v>1715</v>
      </c>
    </row>
    <row r="156">
      <c r="A156" s="11">
        <v>5.76623678207397</v>
      </c>
      <c r="B156" s="11">
        <v>-5.70707035064697</v>
      </c>
      <c r="C156" s="11">
        <v>0.0</v>
      </c>
      <c r="D156" s="11" t="s">
        <v>1061</v>
      </c>
      <c r="E156" s="11">
        <v>0.0</v>
      </c>
      <c r="F156" s="11" t="s">
        <v>1207</v>
      </c>
      <c r="I156" s="11">
        <v>-16.74534034729</v>
      </c>
      <c r="J156" s="11">
        <v>38.6299247741699</v>
      </c>
      <c r="K156" s="11">
        <v>1.0</v>
      </c>
      <c r="L156" s="11" t="s">
        <v>1390</v>
      </c>
      <c r="M156" s="11">
        <v>1.0</v>
      </c>
      <c r="N156" s="11" t="s">
        <v>1717</v>
      </c>
    </row>
    <row r="157">
      <c r="A157" s="11">
        <v>-8.91322040557861</v>
      </c>
      <c r="B157" s="11">
        <v>-5.51048564910888</v>
      </c>
      <c r="C157" s="11">
        <v>0.0</v>
      </c>
      <c r="D157" s="11" t="s">
        <v>1061</v>
      </c>
      <c r="E157" s="11">
        <v>0.0</v>
      </c>
      <c r="F157" s="11" t="s">
        <v>1208</v>
      </c>
      <c r="I157" s="11">
        <v>27.5096931457519</v>
      </c>
      <c r="J157" s="11">
        <v>-4.75308275222778</v>
      </c>
      <c r="K157" s="11">
        <v>0.0</v>
      </c>
      <c r="L157" s="11" t="s">
        <v>1390</v>
      </c>
      <c r="M157" s="11">
        <v>0.0</v>
      </c>
      <c r="N157" s="11" t="s">
        <v>1719</v>
      </c>
    </row>
    <row r="158">
      <c r="A158" s="11">
        <v>27.7460289001464</v>
      </c>
      <c r="B158" s="11">
        <v>32.3011894226074</v>
      </c>
      <c r="C158" s="11">
        <v>2.0</v>
      </c>
      <c r="D158" s="11" t="s">
        <v>1061</v>
      </c>
      <c r="E158" s="11">
        <v>2.0</v>
      </c>
      <c r="F158" s="11" t="s">
        <v>1721</v>
      </c>
      <c r="I158" s="11">
        <v>34.1563262939453</v>
      </c>
      <c r="J158" s="11">
        <v>-3.63802862167358</v>
      </c>
      <c r="K158" s="11">
        <v>0.0</v>
      </c>
      <c r="L158" s="11" t="s">
        <v>1390</v>
      </c>
      <c r="M158" s="11">
        <v>0.0</v>
      </c>
      <c r="N158" s="11" t="s">
        <v>1722</v>
      </c>
    </row>
    <row r="159">
      <c r="A159" s="11">
        <v>30.0393619537353</v>
      </c>
      <c r="B159" s="11">
        <v>29.7263240814209</v>
      </c>
      <c r="C159" s="11">
        <v>2.0</v>
      </c>
      <c r="D159" s="11" t="s">
        <v>1061</v>
      </c>
      <c r="E159" s="11">
        <v>2.0</v>
      </c>
      <c r="F159" s="11" t="s">
        <v>1209</v>
      </c>
      <c r="I159" s="11">
        <v>15.35298538208</v>
      </c>
      <c r="J159" s="11">
        <v>15.4300098419189</v>
      </c>
      <c r="K159" s="11">
        <v>0.0</v>
      </c>
      <c r="L159" s="11" t="s">
        <v>1390</v>
      </c>
      <c r="M159" s="11">
        <v>0.0</v>
      </c>
      <c r="N159" s="11" t="s">
        <v>1724</v>
      </c>
    </row>
    <row r="160">
      <c r="A160" s="11">
        <v>27.9944133758544</v>
      </c>
      <c r="B160" s="11">
        <v>-6.87166500091552</v>
      </c>
      <c r="C160" s="11">
        <v>0.0</v>
      </c>
      <c r="D160" s="11" t="s">
        <v>1061</v>
      </c>
      <c r="E160" s="11">
        <v>0.0</v>
      </c>
      <c r="F160" s="11" t="s">
        <v>1726</v>
      </c>
      <c r="I160" s="11">
        <v>-15.9829912185668</v>
      </c>
      <c r="J160" s="11">
        <v>43.565071105957</v>
      </c>
      <c r="K160" s="11">
        <v>2.0</v>
      </c>
      <c r="L160" s="11" t="s">
        <v>1390</v>
      </c>
      <c r="M160" s="11">
        <v>2.0</v>
      </c>
      <c r="N160" s="11" t="s">
        <v>1727</v>
      </c>
    </row>
    <row r="161">
      <c r="A161" s="11">
        <v>-30.5584774017334</v>
      </c>
      <c r="B161" s="11">
        <v>-6.37591505050659</v>
      </c>
      <c r="C161" s="11">
        <v>0.0</v>
      </c>
      <c r="D161" s="11" t="s">
        <v>1061</v>
      </c>
      <c r="E161" s="11">
        <v>0.0</v>
      </c>
      <c r="F161" s="11" t="s">
        <v>1210</v>
      </c>
      <c r="I161" s="11">
        <v>23.7447834014892</v>
      </c>
      <c r="J161" s="11">
        <v>-3.09205770492553</v>
      </c>
      <c r="K161" s="11">
        <v>0.0</v>
      </c>
      <c r="L161" s="11" t="s">
        <v>1390</v>
      </c>
      <c r="M161" s="11">
        <v>0.0</v>
      </c>
      <c r="N161" s="11" t="s">
        <v>1729</v>
      </c>
    </row>
    <row r="162">
      <c r="A162" s="11">
        <v>-14.4446811676025</v>
      </c>
      <c r="B162" s="11">
        <v>-4.77721691131591</v>
      </c>
      <c r="C162" s="11">
        <v>0.0</v>
      </c>
      <c r="D162" s="11" t="s">
        <v>1061</v>
      </c>
      <c r="E162" s="11">
        <v>0.0</v>
      </c>
      <c r="F162" s="11" t="s">
        <v>1211</v>
      </c>
      <c r="I162" s="11">
        <v>17.5584754943847</v>
      </c>
      <c r="J162" s="11">
        <v>4.6809344291687</v>
      </c>
      <c r="K162" s="11">
        <v>0.0</v>
      </c>
      <c r="L162" s="11" t="s">
        <v>1390</v>
      </c>
      <c r="M162" s="11">
        <v>0.0</v>
      </c>
      <c r="N162" s="11" t="s">
        <v>1732</v>
      </c>
    </row>
    <row r="163">
      <c r="A163" s="11">
        <v>40.267478942871</v>
      </c>
      <c r="B163" s="11">
        <v>1.45568883419036</v>
      </c>
      <c r="C163" s="11">
        <v>1.0</v>
      </c>
      <c r="D163" s="11" t="s">
        <v>1061</v>
      </c>
      <c r="E163" s="11">
        <v>1.0</v>
      </c>
      <c r="F163" s="11" t="s">
        <v>1212</v>
      </c>
      <c r="I163" s="11">
        <v>2.94711875915527</v>
      </c>
      <c r="J163" s="11">
        <v>25.1599407196044</v>
      </c>
      <c r="K163" s="11">
        <v>0.0</v>
      </c>
      <c r="L163" s="11" t="s">
        <v>1390</v>
      </c>
      <c r="M163" s="11">
        <v>0.0</v>
      </c>
      <c r="N163" s="11" t="s">
        <v>1734</v>
      </c>
    </row>
    <row r="164">
      <c r="A164" s="11">
        <v>20.763292312622</v>
      </c>
      <c r="B164" s="11">
        <v>-2.92299342155456</v>
      </c>
      <c r="C164" s="11">
        <v>0.0</v>
      </c>
      <c r="D164" s="11" t="s">
        <v>1061</v>
      </c>
      <c r="E164" s="11">
        <v>0.0</v>
      </c>
      <c r="F164" s="11" t="s">
        <v>1213</v>
      </c>
      <c r="I164" s="11">
        <v>45.2942657470703</v>
      </c>
      <c r="J164" s="11">
        <v>-11.1227970123291</v>
      </c>
      <c r="K164" s="11">
        <v>-1.0</v>
      </c>
      <c r="L164" s="11" t="s">
        <v>1390</v>
      </c>
      <c r="M164" s="11">
        <v>-1.0</v>
      </c>
      <c r="N164" s="11" t="s">
        <v>1736</v>
      </c>
    </row>
    <row r="165">
      <c r="A165" s="11">
        <v>21.2197532653808</v>
      </c>
      <c r="B165" s="11">
        <v>-6.0738296508789</v>
      </c>
      <c r="C165" s="11">
        <v>0.0</v>
      </c>
      <c r="D165" s="11" t="s">
        <v>1061</v>
      </c>
      <c r="E165" s="11">
        <v>0.0</v>
      </c>
      <c r="F165" s="11" t="s">
        <v>1214</v>
      </c>
      <c r="I165" s="11">
        <v>-2.89389419555664</v>
      </c>
      <c r="J165" s="11">
        <v>23.9377002716064</v>
      </c>
      <c r="K165" s="11">
        <v>1.0</v>
      </c>
      <c r="L165" s="11" t="s">
        <v>1390</v>
      </c>
      <c r="M165" s="11">
        <v>1.0</v>
      </c>
      <c r="N165" s="11" t="s">
        <v>1739</v>
      </c>
    </row>
    <row r="166">
      <c r="A166" s="11">
        <v>-33.4975662231445</v>
      </c>
      <c r="B166" s="11">
        <v>-4.82929706573486</v>
      </c>
      <c r="C166" s="11">
        <v>0.0</v>
      </c>
      <c r="D166" s="11" t="s">
        <v>1061</v>
      </c>
      <c r="E166" s="11">
        <v>0.0</v>
      </c>
      <c r="F166" s="11" t="s">
        <v>1215</v>
      </c>
      <c r="I166" s="11">
        <v>47.1738204956054</v>
      </c>
      <c r="J166" s="11">
        <v>-22.3224258422851</v>
      </c>
      <c r="K166" s="11">
        <v>-2.0</v>
      </c>
      <c r="L166" s="11" t="s">
        <v>1390</v>
      </c>
      <c r="M166" s="11">
        <v>-2.0</v>
      </c>
      <c r="N166" s="11" t="s">
        <v>1741</v>
      </c>
    </row>
    <row r="167">
      <c r="A167" s="11">
        <v>5.99529695510864</v>
      </c>
      <c r="B167" s="11">
        <v>-16.9591407775878</v>
      </c>
      <c r="C167" s="11">
        <v>0.0</v>
      </c>
      <c r="D167" s="11" t="s">
        <v>1061</v>
      </c>
      <c r="E167" s="11">
        <v>0.0</v>
      </c>
      <c r="F167" s="11" t="s">
        <v>1216</v>
      </c>
      <c r="I167" s="11">
        <v>43.4170837402343</v>
      </c>
      <c r="J167" s="11">
        <v>-4.03660440444946</v>
      </c>
      <c r="K167" s="11">
        <v>0.0</v>
      </c>
      <c r="L167" s="11" t="s">
        <v>1390</v>
      </c>
      <c r="M167" s="11">
        <v>0.0</v>
      </c>
      <c r="N167" s="11" t="s">
        <v>1743</v>
      </c>
    </row>
    <row r="168">
      <c r="A168" s="11">
        <v>-37.2417831420898</v>
      </c>
      <c r="B168" s="11">
        <v>-10.7032232284545</v>
      </c>
      <c r="C168" s="11">
        <v>0.0</v>
      </c>
      <c r="D168" s="11" t="s">
        <v>1061</v>
      </c>
      <c r="E168" s="11">
        <v>0.0</v>
      </c>
      <c r="F168" s="11" t="s">
        <v>1217</v>
      </c>
      <c r="I168" s="11">
        <v>17.3089179992675</v>
      </c>
      <c r="J168" s="11">
        <v>-2.92232537269592</v>
      </c>
      <c r="K168" s="11">
        <v>0.0</v>
      </c>
      <c r="L168" s="11" t="s">
        <v>1390</v>
      </c>
      <c r="M168" s="11">
        <v>0.0</v>
      </c>
      <c r="N168" s="11" t="s">
        <v>1745</v>
      </c>
    </row>
    <row r="169">
      <c r="A169" s="11">
        <v>-33.970603942871</v>
      </c>
      <c r="B169" s="11">
        <v>30.3962059020996</v>
      </c>
      <c r="C169" s="11">
        <v>0.0</v>
      </c>
      <c r="D169" s="11" t="s">
        <v>1061</v>
      </c>
      <c r="E169" s="11">
        <v>0.0</v>
      </c>
      <c r="F169" s="11" t="s">
        <v>1218</v>
      </c>
      <c r="I169" s="11">
        <v>5.06570291519165</v>
      </c>
      <c r="J169" s="11">
        <v>14.737735748291</v>
      </c>
      <c r="K169" s="11">
        <v>0.0</v>
      </c>
      <c r="L169" s="11" t="s">
        <v>1390</v>
      </c>
      <c r="M169" s="11">
        <v>0.0</v>
      </c>
      <c r="N169" s="11" t="s">
        <v>1747</v>
      </c>
    </row>
    <row r="170">
      <c r="A170" s="11">
        <v>8.33513259887695</v>
      </c>
      <c r="B170" s="11">
        <v>-21.3498668670654</v>
      </c>
      <c r="C170" s="11">
        <v>0.0</v>
      </c>
      <c r="D170" s="11" t="s">
        <v>1061</v>
      </c>
      <c r="E170" s="11">
        <v>0.0</v>
      </c>
      <c r="F170" s="11" t="s">
        <v>1219</v>
      </c>
      <c r="I170" s="11">
        <v>34.4221267700195</v>
      </c>
      <c r="J170" s="11">
        <v>-4.12789964675903</v>
      </c>
      <c r="K170" s="11">
        <v>0.0</v>
      </c>
      <c r="L170" s="11" t="s">
        <v>1390</v>
      </c>
      <c r="M170" s="11">
        <v>0.0</v>
      </c>
      <c r="N170" s="11" t="s">
        <v>1749</v>
      </c>
    </row>
    <row r="171">
      <c r="A171" s="11">
        <v>29.7314720153808</v>
      </c>
      <c r="B171" s="11">
        <v>28.6359710693359</v>
      </c>
      <c r="C171" s="11">
        <v>2.0</v>
      </c>
      <c r="D171" s="11" t="s">
        <v>1061</v>
      </c>
      <c r="E171" s="11">
        <v>2.0</v>
      </c>
      <c r="F171" s="11" t="s">
        <v>1220</v>
      </c>
      <c r="I171" s="11">
        <v>-4.08164834976196</v>
      </c>
      <c r="J171" s="11">
        <v>30.4235019683837</v>
      </c>
      <c r="K171" s="11">
        <v>0.0</v>
      </c>
      <c r="L171" s="11" t="s">
        <v>1390</v>
      </c>
      <c r="M171" s="11">
        <v>0.0</v>
      </c>
      <c r="N171" s="11" t="s">
        <v>1751</v>
      </c>
    </row>
    <row r="172">
      <c r="A172" s="11">
        <v>-10.6469974517822</v>
      </c>
      <c r="B172" s="11">
        <v>-14.4963006973266</v>
      </c>
      <c r="C172" s="11">
        <v>0.0</v>
      </c>
      <c r="D172" s="11" t="s">
        <v>1061</v>
      </c>
      <c r="E172" s="11">
        <v>0.0</v>
      </c>
      <c r="F172" s="11" t="s">
        <v>1221</v>
      </c>
      <c r="I172" s="11">
        <v>39.7986984252929</v>
      </c>
      <c r="J172" s="11">
        <v>-5.23430013656616</v>
      </c>
      <c r="K172" s="11">
        <v>0.0</v>
      </c>
      <c r="L172" s="11" t="s">
        <v>1390</v>
      </c>
      <c r="M172" s="11">
        <v>0.0</v>
      </c>
      <c r="N172" s="11" t="s">
        <v>1753</v>
      </c>
    </row>
    <row r="173">
      <c r="A173" s="11">
        <v>18.0378017425537</v>
      </c>
      <c r="B173" s="11">
        <v>-32.1878395080566</v>
      </c>
      <c r="C173" s="11">
        <v>0.0</v>
      </c>
      <c r="D173" s="11" t="s">
        <v>1061</v>
      </c>
      <c r="E173" s="11">
        <v>0.0</v>
      </c>
      <c r="F173" s="11" t="s">
        <v>1222</v>
      </c>
      <c r="I173" s="11">
        <v>-1.70269811153411</v>
      </c>
      <c r="J173" s="11">
        <v>23.1609096527099</v>
      </c>
      <c r="K173" s="11">
        <v>0.0</v>
      </c>
      <c r="L173" s="11" t="s">
        <v>1390</v>
      </c>
      <c r="M173" s="11">
        <v>0.0</v>
      </c>
      <c r="N173" s="11" t="s">
        <v>1755</v>
      </c>
    </row>
    <row r="174">
      <c r="A174" s="11">
        <v>-32.0353088378906</v>
      </c>
      <c r="B174" s="11">
        <v>-5.91484498977661</v>
      </c>
      <c r="C174" s="11">
        <v>0.0</v>
      </c>
      <c r="D174" s="11" t="s">
        <v>1061</v>
      </c>
      <c r="E174" s="11">
        <v>0.0</v>
      </c>
      <c r="F174" s="11" t="s">
        <v>1223</v>
      </c>
      <c r="I174" s="11">
        <v>5.51547956466674</v>
      </c>
      <c r="J174" s="11">
        <v>18.6753311157226</v>
      </c>
      <c r="K174" s="11">
        <v>0.0</v>
      </c>
      <c r="L174" s="11" t="s">
        <v>1390</v>
      </c>
      <c r="M174" s="11">
        <v>0.0</v>
      </c>
      <c r="N174" s="11" t="s">
        <v>1756</v>
      </c>
    </row>
    <row r="175">
      <c r="A175" s="11">
        <v>-37.080696105957</v>
      </c>
      <c r="B175" s="11">
        <v>-12.1336183547973</v>
      </c>
      <c r="C175" s="11">
        <v>0.0</v>
      </c>
      <c r="D175" s="11" t="s">
        <v>1061</v>
      </c>
      <c r="E175" s="11">
        <v>0.0</v>
      </c>
      <c r="F175" s="11" t="s">
        <v>1224</v>
      </c>
      <c r="I175" s="11">
        <v>-21.2082576751709</v>
      </c>
      <c r="J175" s="11">
        <v>-10.0451850891113</v>
      </c>
      <c r="K175" s="11">
        <v>0.0</v>
      </c>
      <c r="L175" s="11" t="s">
        <v>1390</v>
      </c>
      <c r="M175" s="11">
        <v>0.0</v>
      </c>
      <c r="N175" s="11" t="s">
        <v>1758</v>
      </c>
    </row>
    <row r="176">
      <c r="A176" s="11">
        <v>25.1509170532226</v>
      </c>
      <c r="B176" s="11">
        <v>30.9777698516845</v>
      </c>
      <c r="C176" s="11">
        <v>2.0</v>
      </c>
      <c r="D176" s="11" t="s">
        <v>1061</v>
      </c>
      <c r="E176" s="11">
        <v>2.0</v>
      </c>
      <c r="F176" s="11" t="s">
        <v>1225</v>
      </c>
      <c r="I176" s="11">
        <v>-4.35242414474487</v>
      </c>
      <c r="J176" s="11">
        <v>29.9566287994384</v>
      </c>
      <c r="K176" s="11">
        <v>0.0</v>
      </c>
      <c r="L176" s="11" t="s">
        <v>1390</v>
      </c>
      <c r="M176" s="11">
        <v>0.0</v>
      </c>
      <c r="N176" s="11" t="s">
        <v>1761</v>
      </c>
    </row>
    <row r="177">
      <c r="A177" s="11">
        <v>8.59403324127197</v>
      </c>
      <c r="B177" s="11">
        <v>-20.1363105773925</v>
      </c>
      <c r="C177" s="11">
        <v>0.0</v>
      </c>
      <c r="D177" s="11" t="s">
        <v>1061</v>
      </c>
      <c r="E177" s="11">
        <v>0.0</v>
      </c>
      <c r="F177" s="11" t="s">
        <v>1226</v>
      </c>
      <c r="I177" s="11">
        <v>43.9923858642578</v>
      </c>
      <c r="J177" s="11">
        <v>-15.8542203903198</v>
      </c>
      <c r="K177" s="11">
        <v>-1.0</v>
      </c>
      <c r="L177" s="11" t="s">
        <v>1390</v>
      </c>
      <c r="M177" s="11">
        <v>-1.0</v>
      </c>
      <c r="N177" s="11" t="s">
        <v>1762</v>
      </c>
    </row>
    <row r="178">
      <c r="A178" s="11">
        <v>21.6447448730468</v>
      </c>
      <c r="B178" s="11">
        <v>-4.70271062850952</v>
      </c>
      <c r="C178" s="11">
        <v>0.0</v>
      </c>
      <c r="D178" s="11" t="s">
        <v>1061</v>
      </c>
      <c r="E178" s="11">
        <v>0.0</v>
      </c>
      <c r="F178" s="11" t="s">
        <v>1227</v>
      </c>
      <c r="I178" s="11">
        <v>-16.1628456115722</v>
      </c>
      <c r="J178" s="11">
        <v>32.5691261291503</v>
      </c>
      <c r="K178" s="11">
        <v>1.0</v>
      </c>
      <c r="L178" s="11" t="s">
        <v>1390</v>
      </c>
      <c r="M178" s="11">
        <v>1.0</v>
      </c>
      <c r="N178" s="11" t="s">
        <v>1764</v>
      </c>
    </row>
    <row r="179">
      <c r="A179" s="11">
        <v>-35.5216598510742</v>
      </c>
      <c r="B179" s="11">
        <v>-15.040280342102</v>
      </c>
      <c r="C179" s="11">
        <v>0.0</v>
      </c>
      <c r="D179" s="11" t="s">
        <v>1061</v>
      </c>
      <c r="E179" s="11">
        <v>0.0</v>
      </c>
      <c r="F179" s="11" t="s">
        <v>1228</v>
      </c>
      <c r="I179" s="11">
        <v>-7.99124336242675</v>
      </c>
      <c r="J179" s="11">
        <v>-18.4223384857177</v>
      </c>
      <c r="K179" s="11">
        <v>0.0</v>
      </c>
      <c r="L179" s="11" t="s">
        <v>1390</v>
      </c>
      <c r="M179" s="11">
        <v>0.0</v>
      </c>
      <c r="N179" s="11" t="s">
        <v>1766</v>
      </c>
    </row>
    <row r="180">
      <c r="A180" s="11">
        <v>23.8571586608886</v>
      </c>
      <c r="B180" s="11">
        <v>-14.2530937194824</v>
      </c>
      <c r="C180" s="11">
        <v>0.0</v>
      </c>
      <c r="D180" s="11" t="s">
        <v>1061</v>
      </c>
      <c r="E180" s="11">
        <v>0.0</v>
      </c>
      <c r="F180" s="11" t="s">
        <v>1229</v>
      </c>
      <c r="I180" s="11">
        <v>-17.2952899932861</v>
      </c>
      <c r="J180" s="11">
        <v>32.5316581726074</v>
      </c>
      <c r="K180" s="11">
        <v>1.0</v>
      </c>
      <c r="L180" s="11" t="s">
        <v>1390</v>
      </c>
      <c r="M180" s="11">
        <v>1.0</v>
      </c>
      <c r="N180" s="11" t="s">
        <v>1768</v>
      </c>
    </row>
    <row r="181">
      <c r="A181" s="11">
        <v>31.2438869476318</v>
      </c>
      <c r="B181" s="11">
        <v>-11.6026973724365</v>
      </c>
      <c r="C181" s="11">
        <v>0.0</v>
      </c>
      <c r="D181" s="11" t="s">
        <v>1061</v>
      </c>
      <c r="E181" s="11">
        <v>0.0</v>
      </c>
      <c r="F181" s="11" t="s">
        <v>1230</v>
      </c>
      <c r="I181" s="11">
        <v>26.8646583557128</v>
      </c>
      <c r="J181" s="11">
        <v>0.0818375423550605</v>
      </c>
      <c r="K181" s="11">
        <v>0.0</v>
      </c>
      <c r="L181" s="11" t="s">
        <v>1390</v>
      </c>
      <c r="M181" s="11">
        <v>0.0</v>
      </c>
      <c r="N181" s="11" t="s">
        <v>1770</v>
      </c>
    </row>
    <row r="182">
      <c r="A182" s="11">
        <v>-13.2955322265625</v>
      </c>
      <c r="B182" s="11">
        <v>-3.61006522178649</v>
      </c>
      <c r="C182" s="11">
        <v>0.0</v>
      </c>
      <c r="D182" s="11" t="s">
        <v>1061</v>
      </c>
      <c r="E182" s="11">
        <v>0.0</v>
      </c>
      <c r="F182" s="11" t="s">
        <v>1231</v>
      </c>
      <c r="I182" s="11">
        <v>17.4236164093017</v>
      </c>
      <c r="J182" s="11">
        <v>10.2720365524292</v>
      </c>
      <c r="K182" s="11">
        <v>0.0</v>
      </c>
      <c r="L182" s="11" t="s">
        <v>1390</v>
      </c>
      <c r="M182" s="11">
        <v>0.0</v>
      </c>
      <c r="N182" s="11" t="s">
        <v>1772</v>
      </c>
    </row>
    <row r="183">
      <c r="A183" s="11">
        <v>-20.5619449615478</v>
      </c>
      <c r="B183" s="11">
        <v>12.5401964187622</v>
      </c>
      <c r="C183" s="11">
        <v>0.0</v>
      </c>
      <c r="D183" s="11" t="s">
        <v>1061</v>
      </c>
      <c r="E183" s="11">
        <v>0.0</v>
      </c>
      <c r="F183" s="11" t="s">
        <v>1232</v>
      </c>
      <c r="I183" s="11">
        <v>43.136489868164</v>
      </c>
      <c r="J183" s="11">
        <v>-4.94246625900268</v>
      </c>
      <c r="K183" s="11">
        <v>0.0</v>
      </c>
      <c r="L183" s="11" t="s">
        <v>1390</v>
      </c>
      <c r="M183" s="11">
        <v>0.0</v>
      </c>
      <c r="N183" s="11" t="s">
        <v>1774</v>
      </c>
    </row>
    <row r="184">
      <c r="A184" s="11">
        <v>-36.5543594360351</v>
      </c>
      <c r="B184" s="11">
        <v>16.8919715881347</v>
      </c>
      <c r="C184" s="11">
        <v>0.0</v>
      </c>
      <c r="D184" s="11" t="s">
        <v>1061</v>
      </c>
      <c r="E184" s="11">
        <v>0.0</v>
      </c>
      <c r="F184" s="11" t="s">
        <v>1233</v>
      </c>
      <c r="I184" s="11">
        <v>-7.25735092163085</v>
      </c>
      <c r="J184" s="11">
        <v>-18.1916179656982</v>
      </c>
      <c r="K184" s="11">
        <v>0.0</v>
      </c>
      <c r="L184" s="11" t="s">
        <v>1390</v>
      </c>
      <c r="M184" s="11">
        <v>0.0</v>
      </c>
      <c r="N184" s="11" t="s">
        <v>1775</v>
      </c>
    </row>
    <row r="185">
      <c r="A185" s="11">
        <v>36.7552604675293</v>
      </c>
      <c r="B185" s="11">
        <v>-18.6571006774902</v>
      </c>
      <c r="C185" s="11">
        <v>0.0</v>
      </c>
      <c r="D185" s="11" t="s">
        <v>1061</v>
      </c>
      <c r="E185" s="11">
        <v>0.0</v>
      </c>
      <c r="F185" s="11" t="s">
        <v>1234</v>
      </c>
      <c r="I185" s="11">
        <v>43.136489868164</v>
      </c>
      <c r="J185" s="11">
        <v>-4.94246625900268</v>
      </c>
      <c r="K185" s="11">
        <v>0.0</v>
      </c>
      <c r="L185" s="11" t="s">
        <v>1390</v>
      </c>
      <c r="M185" s="11">
        <v>0.0</v>
      </c>
      <c r="N185" s="11" t="s">
        <v>1777</v>
      </c>
    </row>
    <row r="186">
      <c r="A186" s="11">
        <v>-33.3885307312011</v>
      </c>
      <c r="B186" s="11">
        <v>30.6471271514892</v>
      </c>
      <c r="C186" s="11">
        <v>-1.0</v>
      </c>
      <c r="D186" s="11" t="s">
        <v>1061</v>
      </c>
      <c r="E186" s="11">
        <v>-1.0</v>
      </c>
      <c r="F186" s="11" t="s">
        <v>1235</v>
      </c>
      <c r="I186" s="11">
        <v>7.4220380783081</v>
      </c>
      <c r="J186" s="11">
        <v>-6.06824350357055</v>
      </c>
      <c r="K186" s="11">
        <v>0.0</v>
      </c>
      <c r="L186" s="11" t="s">
        <v>1390</v>
      </c>
      <c r="M186" s="11">
        <v>0.0</v>
      </c>
      <c r="N186" s="11" t="s">
        <v>1779</v>
      </c>
    </row>
    <row r="187">
      <c r="A187" s="11">
        <v>-25.3118114471435</v>
      </c>
      <c r="B187" s="11">
        <v>-15.0578575134277</v>
      </c>
      <c r="C187" s="11">
        <v>0.0</v>
      </c>
      <c r="D187" s="11" t="s">
        <v>1061</v>
      </c>
      <c r="E187" s="11">
        <v>0.0</v>
      </c>
      <c r="F187" s="11" t="s">
        <v>1236</v>
      </c>
      <c r="I187" s="11">
        <v>7.58739042282104</v>
      </c>
      <c r="J187" s="11">
        <v>23.2465057373046</v>
      </c>
      <c r="K187" s="11">
        <v>0.0</v>
      </c>
      <c r="L187" s="11" t="s">
        <v>1390</v>
      </c>
      <c r="M187" s="11">
        <v>0.0</v>
      </c>
      <c r="N187" s="11" t="s">
        <v>1781</v>
      </c>
    </row>
    <row r="188">
      <c r="A188" s="11">
        <v>30.3201293945312</v>
      </c>
      <c r="B188" s="11">
        <v>26.0000572204589</v>
      </c>
      <c r="C188" s="11">
        <v>2.0</v>
      </c>
      <c r="D188" s="11" t="s">
        <v>1061</v>
      </c>
      <c r="E188" s="11">
        <v>2.0</v>
      </c>
      <c r="F188" s="11" t="s">
        <v>1782</v>
      </c>
      <c r="I188" s="11">
        <v>32.6350555419921</v>
      </c>
      <c r="J188" s="11">
        <v>3.59788131713867</v>
      </c>
      <c r="K188" s="11">
        <v>0.0</v>
      </c>
      <c r="L188" s="11" t="s">
        <v>1390</v>
      </c>
      <c r="M188" s="11">
        <v>0.0</v>
      </c>
      <c r="N188" s="11" t="s">
        <v>1784</v>
      </c>
    </row>
    <row r="189">
      <c r="A189" s="11">
        <v>7.29059267044067</v>
      </c>
      <c r="B189" s="11">
        <v>-1.43066370487213</v>
      </c>
      <c r="C189" s="11">
        <v>0.0</v>
      </c>
      <c r="D189" s="11" t="s">
        <v>1061</v>
      </c>
      <c r="E189" s="11">
        <v>0.0</v>
      </c>
      <c r="F189" s="11" t="s">
        <v>1237</v>
      </c>
      <c r="I189" s="11">
        <v>-11.8840227127075</v>
      </c>
      <c r="J189" s="11">
        <v>31.8233108520507</v>
      </c>
      <c r="K189" s="11">
        <v>1.0</v>
      </c>
      <c r="L189" s="11" t="s">
        <v>1390</v>
      </c>
      <c r="M189" s="11">
        <v>1.0</v>
      </c>
      <c r="N189" s="11" t="s">
        <v>1785</v>
      </c>
    </row>
    <row r="190">
      <c r="A190" s="11">
        <v>-10.5114364624023</v>
      </c>
      <c r="B190" s="11">
        <v>1.94995176792144</v>
      </c>
      <c r="C190" s="11">
        <v>0.0</v>
      </c>
      <c r="D190" s="11" t="s">
        <v>1061</v>
      </c>
      <c r="E190" s="11">
        <v>0.0</v>
      </c>
      <c r="F190" s="11" t="s">
        <v>1238</v>
      </c>
      <c r="I190" s="11">
        <v>-52.1541748046875</v>
      </c>
      <c r="J190" s="11">
        <v>-3.13106155395507</v>
      </c>
      <c r="K190" s="11">
        <v>0.0</v>
      </c>
      <c r="L190" s="11" t="s">
        <v>1390</v>
      </c>
      <c r="M190" s="11">
        <v>0.0</v>
      </c>
      <c r="N190" s="11" t="s">
        <v>1787</v>
      </c>
    </row>
    <row r="191">
      <c r="A191" s="11">
        <v>-18.2751922607421</v>
      </c>
      <c r="B191" s="11">
        <v>-3.11072087287902</v>
      </c>
      <c r="C191" s="11">
        <v>0.0</v>
      </c>
      <c r="D191" s="11" t="s">
        <v>1061</v>
      </c>
      <c r="E191" s="11">
        <v>0.0</v>
      </c>
      <c r="F191" s="11" t="s">
        <v>1239</v>
      </c>
      <c r="I191" s="11">
        <v>9.54309177398681</v>
      </c>
      <c r="J191" s="11">
        <v>18.4849338531494</v>
      </c>
      <c r="K191" s="11">
        <v>0.0</v>
      </c>
      <c r="L191" s="11" t="s">
        <v>1390</v>
      </c>
      <c r="M191" s="11">
        <v>0.0</v>
      </c>
      <c r="N191" s="11" t="s">
        <v>1789</v>
      </c>
    </row>
    <row r="192">
      <c r="A192" s="11">
        <v>-2.71639442443847</v>
      </c>
      <c r="B192" s="11">
        <v>-19.0289249420166</v>
      </c>
      <c r="C192" s="11">
        <v>0.0</v>
      </c>
      <c r="D192" s="11" t="s">
        <v>1061</v>
      </c>
      <c r="E192" s="11">
        <v>0.0</v>
      </c>
      <c r="F192" s="11" t="s">
        <v>1240</v>
      </c>
      <c r="I192" s="11">
        <v>33.130874633789</v>
      </c>
      <c r="J192" s="11">
        <v>2.9437346458435</v>
      </c>
      <c r="K192" s="11">
        <v>0.0</v>
      </c>
      <c r="L192" s="11" t="s">
        <v>1390</v>
      </c>
      <c r="M192" s="11">
        <v>0.0</v>
      </c>
      <c r="N192" s="11" t="s">
        <v>1791</v>
      </c>
    </row>
    <row r="193">
      <c r="A193" s="11">
        <v>-30.7103099822998</v>
      </c>
      <c r="B193" s="11">
        <v>27.6640930175781</v>
      </c>
      <c r="C193" s="11">
        <v>-1.0</v>
      </c>
      <c r="D193" s="11" t="s">
        <v>1061</v>
      </c>
      <c r="E193" s="11">
        <v>-1.0</v>
      </c>
      <c r="F193" s="11" t="s">
        <v>1241</v>
      </c>
      <c r="I193" s="11">
        <v>-1.6672294139862</v>
      </c>
      <c r="J193" s="11">
        <v>-6.16006708145141</v>
      </c>
      <c r="K193" s="11">
        <v>0.0</v>
      </c>
      <c r="L193" s="11" t="s">
        <v>1390</v>
      </c>
      <c r="M193" s="11">
        <v>0.0</v>
      </c>
      <c r="N193" s="11" t="s">
        <v>1794</v>
      </c>
    </row>
    <row r="194">
      <c r="A194" s="11">
        <v>18.0378017425537</v>
      </c>
      <c r="B194" s="11">
        <v>-32.1878395080566</v>
      </c>
      <c r="C194" s="11">
        <v>0.0</v>
      </c>
      <c r="D194" s="11" t="s">
        <v>1061</v>
      </c>
      <c r="E194" s="11">
        <v>0.0</v>
      </c>
      <c r="F194" s="11" t="s">
        <v>1242</v>
      </c>
      <c r="I194" s="11">
        <v>14.4398193359375</v>
      </c>
      <c r="J194" s="11">
        <v>13.3695802688598</v>
      </c>
      <c r="K194" s="11">
        <v>0.0</v>
      </c>
      <c r="L194" s="11" t="s">
        <v>1390</v>
      </c>
      <c r="M194" s="11">
        <v>0.0</v>
      </c>
      <c r="N194" s="11" t="s">
        <v>1795</v>
      </c>
    </row>
    <row r="195">
      <c r="A195" s="11">
        <v>47.1668739318847</v>
      </c>
      <c r="B195" s="11">
        <v>-7.18670177459716</v>
      </c>
      <c r="C195" s="11">
        <v>1.0</v>
      </c>
      <c r="D195" s="11" t="s">
        <v>1061</v>
      </c>
      <c r="E195" s="11">
        <v>1.0</v>
      </c>
      <c r="F195" s="11" t="s">
        <v>1243</v>
      </c>
      <c r="I195" s="11">
        <v>-11.7944450378417</v>
      </c>
      <c r="J195" s="11">
        <v>28.3228187561035</v>
      </c>
      <c r="K195" s="11">
        <v>0.0</v>
      </c>
      <c r="L195" s="11" t="s">
        <v>1390</v>
      </c>
      <c r="M195" s="11">
        <v>0.0</v>
      </c>
      <c r="N195" s="11" t="s">
        <v>1797</v>
      </c>
    </row>
    <row r="196">
      <c r="A196" s="11">
        <v>-22.4778652191162</v>
      </c>
      <c r="B196" s="11">
        <v>24.6440448760986</v>
      </c>
      <c r="C196" s="11">
        <v>-1.0</v>
      </c>
      <c r="D196" s="11" t="s">
        <v>1061</v>
      </c>
      <c r="E196" s="11">
        <v>-1.0</v>
      </c>
      <c r="F196" s="11" t="s">
        <v>1244</v>
      </c>
      <c r="I196" s="11">
        <v>-20.4065761566162</v>
      </c>
      <c r="J196" s="11">
        <v>33.5958290100097</v>
      </c>
      <c r="K196" s="11">
        <v>1.0</v>
      </c>
      <c r="L196" s="11" t="s">
        <v>1390</v>
      </c>
      <c r="M196" s="11">
        <v>1.0</v>
      </c>
      <c r="N196" s="11" t="s">
        <v>1799</v>
      </c>
    </row>
    <row r="197">
      <c r="A197" s="11">
        <v>21.2812175750732</v>
      </c>
      <c r="B197" s="11">
        <v>-26.7258472442626</v>
      </c>
      <c r="C197" s="11">
        <v>0.0</v>
      </c>
      <c r="D197" s="11" t="s">
        <v>1061</v>
      </c>
      <c r="E197" s="11">
        <v>0.0</v>
      </c>
      <c r="F197" s="11" t="s">
        <v>1245</v>
      </c>
      <c r="I197" s="11">
        <v>3.63335871696472</v>
      </c>
      <c r="J197" s="11">
        <v>15.1572971343994</v>
      </c>
      <c r="K197" s="11">
        <v>0.0</v>
      </c>
      <c r="L197" s="11" t="s">
        <v>1390</v>
      </c>
      <c r="M197" s="11">
        <v>0.0</v>
      </c>
      <c r="N197" s="11" t="s">
        <v>1800</v>
      </c>
    </row>
    <row r="198">
      <c r="A198" s="11">
        <v>31.3126792907714</v>
      </c>
      <c r="B198" s="11">
        <v>-11.6201591491699</v>
      </c>
      <c r="C198" s="11">
        <v>0.0</v>
      </c>
      <c r="D198" s="11" t="s">
        <v>1061</v>
      </c>
      <c r="E198" s="11">
        <v>0.0</v>
      </c>
      <c r="F198" s="11" t="s">
        <v>1246</v>
      </c>
      <c r="I198" s="11">
        <v>-14.6977472305297</v>
      </c>
      <c r="J198" s="11">
        <v>30.4631195068359</v>
      </c>
      <c r="K198" s="11">
        <v>1.0</v>
      </c>
      <c r="L198" s="11" t="s">
        <v>1390</v>
      </c>
      <c r="M198" s="11">
        <v>1.0</v>
      </c>
      <c r="N198" s="11" t="s">
        <v>1802</v>
      </c>
    </row>
    <row r="199">
      <c r="A199" s="11">
        <v>19.8832874298095</v>
      </c>
      <c r="B199" s="11">
        <v>-5.89208173751831</v>
      </c>
      <c r="C199" s="11">
        <v>0.0</v>
      </c>
      <c r="D199" s="11" t="s">
        <v>1061</v>
      </c>
      <c r="E199" s="11">
        <v>0.0</v>
      </c>
      <c r="F199" s="11" t="s">
        <v>1247</v>
      </c>
      <c r="I199" s="11">
        <v>5.96583271026611</v>
      </c>
      <c r="J199" s="11">
        <v>25.0936889648437</v>
      </c>
      <c r="K199" s="11">
        <v>0.0</v>
      </c>
      <c r="L199" s="11" t="s">
        <v>1390</v>
      </c>
      <c r="M199" s="11">
        <v>0.0</v>
      </c>
      <c r="N199" s="11" t="s">
        <v>1803</v>
      </c>
    </row>
    <row r="200">
      <c r="A200" s="11">
        <v>-41.7144966125488</v>
      </c>
      <c r="B200" s="11">
        <v>30.9343070983886</v>
      </c>
      <c r="C200" s="11">
        <v>-1.0</v>
      </c>
      <c r="D200" s="11" t="s">
        <v>1061</v>
      </c>
      <c r="E200" s="11">
        <v>-1.0</v>
      </c>
      <c r="F200" s="11" t="s">
        <v>1248</v>
      </c>
      <c r="I200" s="11">
        <v>33.6273460388183</v>
      </c>
      <c r="J200" s="11">
        <v>0.136766731739044</v>
      </c>
      <c r="K200" s="11">
        <v>-1.0</v>
      </c>
      <c r="L200" s="11" t="s">
        <v>1390</v>
      </c>
      <c r="M200" s="11">
        <v>-1.0</v>
      </c>
      <c r="N200" s="11" t="s">
        <v>1805</v>
      </c>
    </row>
    <row r="201">
      <c r="A201" s="11">
        <v>-39.8516616821289</v>
      </c>
      <c r="B201" s="11">
        <v>7.80880403518676</v>
      </c>
      <c r="C201" s="11">
        <v>0.0</v>
      </c>
      <c r="D201" s="11" t="s">
        <v>1061</v>
      </c>
      <c r="E201" s="11">
        <v>0.0</v>
      </c>
      <c r="F201" s="11" t="s">
        <v>1249</v>
      </c>
      <c r="I201" s="11">
        <v>-16.9347496032714</v>
      </c>
      <c r="J201" s="11">
        <v>37.0001258850097</v>
      </c>
      <c r="K201" s="11">
        <v>1.0</v>
      </c>
      <c r="L201" s="11" t="s">
        <v>1390</v>
      </c>
      <c r="M201" s="11">
        <v>1.0</v>
      </c>
      <c r="N201" s="11" t="s">
        <v>1807</v>
      </c>
    </row>
    <row r="202">
      <c r="A202" s="11">
        <v>-18.6471614837646</v>
      </c>
      <c r="B202" s="11">
        <v>-4.56982994079589</v>
      </c>
      <c r="C202" s="11">
        <v>0.0</v>
      </c>
      <c r="D202" s="11" t="s">
        <v>1061</v>
      </c>
      <c r="E202" s="11">
        <v>0.0</v>
      </c>
      <c r="F202" s="11" t="s">
        <v>1250</v>
      </c>
      <c r="I202" s="11">
        <v>8.25842761993408</v>
      </c>
      <c r="J202" s="11">
        <v>26.0564785003662</v>
      </c>
      <c r="K202" s="11">
        <v>0.0</v>
      </c>
      <c r="L202" s="11" t="s">
        <v>1390</v>
      </c>
      <c r="M202" s="11">
        <v>0.0</v>
      </c>
      <c r="N202" s="11" t="s">
        <v>1809</v>
      </c>
    </row>
    <row r="203">
      <c r="A203" s="11">
        <v>11.3992929458618</v>
      </c>
      <c r="B203" s="11">
        <v>-28.3507289886474</v>
      </c>
      <c r="C203" s="11">
        <v>0.0</v>
      </c>
      <c r="D203" s="11" t="s">
        <v>1061</v>
      </c>
      <c r="E203" s="11">
        <v>0.0</v>
      </c>
      <c r="F203" s="11" t="s">
        <v>1251</v>
      </c>
      <c r="I203" s="11">
        <v>-11.3786258697509</v>
      </c>
      <c r="J203" s="11">
        <v>30.7815914154052</v>
      </c>
      <c r="K203" s="11">
        <v>1.0</v>
      </c>
      <c r="L203" s="11" t="s">
        <v>1390</v>
      </c>
      <c r="M203" s="11">
        <v>1.0</v>
      </c>
      <c r="N203" s="11" t="s">
        <v>1811</v>
      </c>
    </row>
    <row r="204">
      <c r="A204" s="11">
        <v>18.322546005249</v>
      </c>
      <c r="B204" s="11">
        <v>-19.3835678100585</v>
      </c>
      <c r="C204" s="11">
        <v>0.0</v>
      </c>
      <c r="D204" s="11" t="s">
        <v>1061</v>
      </c>
      <c r="E204" s="11">
        <v>0.0</v>
      </c>
      <c r="F204" s="11" t="s">
        <v>1252</v>
      </c>
      <c r="I204" s="11">
        <v>30.3092079162597</v>
      </c>
      <c r="J204" s="11">
        <v>1.54721701145172</v>
      </c>
      <c r="K204" s="11">
        <v>0.0</v>
      </c>
      <c r="L204" s="11" t="s">
        <v>1390</v>
      </c>
      <c r="M204" s="11">
        <v>0.0</v>
      </c>
      <c r="N204" s="11" t="s">
        <v>1813</v>
      </c>
    </row>
    <row r="205">
      <c r="A205" s="11">
        <v>14.1162109375</v>
      </c>
      <c r="B205" s="11">
        <v>-3.9868152141571</v>
      </c>
      <c r="C205" s="11">
        <v>0.0</v>
      </c>
      <c r="D205" s="11" t="s">
        <v>1061</v>
      </c>
      <c r="E205" s="11">
        <v>0.0</v>
      </c>
      <c r="F205" s="11" t="s">
        <v>1253</v>
      </c>
      <c r="I205" s="11">
        <v>33.6273460388183</v>
      </c>
      <c r="J205" s="11">
        <v>0.136766731739044</v>
      </c>
      <c r="K205" s="11">
        <v>-1.0</v>
      </c>
      <c r="L205" s="11" t="s">
        <v>1390</v>
      </c>
      <c r="M205" s="11">
        <v>-1.0</v>
      </c>
      <c r="N205" s="11" t="s">
        <v>1815</v>
      </c>
    </row>
    <row r="206">
      <c r="A206" s="11">
        <v>-35.520523071289</v>
      </c>
      <c r="B206" s="11">
        <v>-15.6542911529541</v>
      </c>
      <c r="C206" s="11">
        <v>0.0</v>
      </c>
      <c r="D206" s="11" t="s">
        <v>1061</v>
      </c>
      <c r="E206" s="11">
        <v>0.0</v>
      </c>
      <c r="F206" s="11" t="s">
        <v>1254</v>
      </c>
      <c r="I206" s="11">
        <v>-6.36311912536621</v>
      </c>
      <c r="J206" s="11">
        <v>32.194595336914</v>
      </c>
      <c r="K206" s="11">
        <v>0.0</v>
      </c>
      <c r="L206" s="11" t="s">
        <v>1390</v>
      </c>
      <c r="M206" s="11">
        <v>0.0</v>
      </c>
      <c r="N206" s="11" t="s">
        <v>1817</v>
      </c>
    </row>
    <row r="207">
      <c r="A207" s="11">
        <v>-22.4954967498779</v>
      </c>
      <c r="B207" s="11">
        <v>24.6537170410156</v>
      </c>
      <c r="C207" s="11">
        <v>-1.0</v>
      </c>
      <c r="D207" s="11" t="s">
        <v>1061</v>
      </c>
      <c r="E207" s="11">
        <v>-1.0</v>
      </c>
      <c r="F207" s="11" t="s">
        <v>1255</v>
      </c>
      <c r="I207" s="11">
        <v>6.48995733261108</v>
      </c>
      <c r="J207" s="11">
        <v>24.2320842742919</v>
      </c>
      <c r="K207" s="11">
        <v>0.0</v>
      </c>
      <c r="L207" s="11" t="s">
        <v>1390</v>
      </c>
      <c r="M207" s="11">
        <v>0.0</v>
      </c>
      <c r="N207" s="11" t="s">
        <v>1819</v>
      </c>
    </row>
    <row r="208">
      <c r="A208" s="11">
        <v>-37.1751976013183</v>
      </c>
      <c r="B208" s="11">
        <v>4.91893815994262</v>
      </c>
      <c r="C208" s="11">
        <v>0.0</v>
      </c>
      <c r="D208" s="11" t="s">
        <v>1061</v>
      </c>
      <c r="E208" s="11">
        <v>0.0</v>
      </c>
      <c r="F208" s="11" t="s">
        <v>1256</v>
      </c>
      <c r="I208" s="11">
        <v>-19.9060554504394</v>
      </c>
      <c r="J208" s="11">
        <v>42.5833625793457</v>
      </c>
      <c r="K208" s="11">
        <v>2.0</v>
      </c>
      <c r="L208" s="11" t="s">
        <v>1390</v>
      </c>
      <c r="M208" s="11">
        <v>2.0</v>
      </c>
      <c r="N208" s="11" t="s">
        <v>1821</v>
      </c>
    </row>
    <row r="209">
      <c r="A209" s="11">
        <v>-38.7833862304687</v>
      </c>
      <c r="B209" s="11">
        <v>42.8219985961914</v>
      </c>
      <c r="C209" s="11">
        <v>-2.0</v>
      </c>
      <c r="D209" s="11" t="s">
        <v>1061</v>
      </c>
      <c r="E209" s="11">
        <v>-2.0</v>
      </c>
      <c r="F209" s="11" t="s">
        <v>1257</v>
      </c>
      <c r="I209" s="11">
        <v>-5.75769138336181</v>
      </c>
      <c r="J209" s="11">
        <v>31.8343353271484</v>
      </c>
      <c r="K209" s="11">
        <v>0.0</v>
      </c>
      <c r="L209" s="11" t="s">
        <v>1390</v>
      </c>
      <c r="M209" s="11">
        <v>0.0</v>
      </c>
      <c r="N209" s="11" t="s">
        <v>1823</v>
      </c>
    </row>
    <row r="210">
      <c r="A210" s="11">
        <v>23.0472202301025</v>
      </c>
      <c r="B210" s="11">
        <v>31.1059703826904</v>
      </c>
      <c r="C210" s="11">
        <v>2.0</v>
      </c>
      <c r="D210" s="11" t="s">
        <v>1061</v>
      </c>
      <c r="E210" s="11">
        <v>2.0</v>
      </c>
      <c r="F210" s="11" t="s">
        <v>1258</v>
      </c>
      <c r="I210" s="11">
        <v>9.90853691101074</v>
      </c>
      <c r="J210" s="11">
        <v>20.9215297698974</v>
      </c>
      <c r="K210" s="11">
        <v>0.0</v>
      </c>
      <c r="L210" s="11" t="s">
        <v>1390</v>
      </c>
      <c r="M210" s="11">
        <v>0.0</v>
      </c>
      <c r="N210" s="11" t="s">
        <v>1825</v>
      </c>
    </row>
    <row r="211">
      <c r="A211" s="11">
        <v>17.7198219299316</v>
      </c>
      <c r="B211" s="11">
        <v>-18.6701889038085</v>
      </c>
      <c r="C211" s="11">
        <v>0.0</v>
      </c>
      <c r="D211" s="11" t="s">
        <v>1061</v>
      </c>
      <c r="E211" s="11">
        <v>0.0</v>
      </c>
      <c r="F211" s="11" t="s">
        <v>1259</v>
      </c>
      <c r="I211" s="11">
        <v>8.86989593505859</v>
      </c>
      <c r="J211" s="11">
        <v>-5.37901067733764</v>
      </c>
      <c r="K211" s="11">
        <v>0.0</v>
      </c>
      <c r="L211" s="11" t="s">
        <v>1390</v>
      </c>
      <c r="M211" s="11">
        <v>0.0</v>
      </c>
      <c r="N211" s="11" t="s">
        <v>1827</v>
      </c>
    </row>
    <row r="212">
      <c r="A212" s="11">
        <v>-32.0786514282226</v>
      </c>
      <c r="B212" s="11">
        <v>-7.10439586639404</v>
      </c>
      <c r="C212" s="11">
        <v>0.0</v>
      </c>
      <c r="D212" s="11" t="s">
        <v>1061</v>
      </c>
      <c r="E212" s="11">
        <v>0.0</v>
      </c>
      <c r="F212" s="11" t="s">
        <v>1260</v>
      </c>
      <c r="I212" s="11">
        <v>3.8307945728302</v>
      </c>
      <c r="J212" s="11">
        <v>21.0516510009765</v>
      </c>
      <c r="K212" s="11">
        <v>0.0</v>
      </c>
      <c r="L212" s="11" t="s">
        <v>1390</v>
      </c>
      <c r="M212" s="11">
        <v>0.0</v>
      </c>
      <c r="N212" s="11" t="s">
        <v>1829</v>
      </c>
    </row>
    <row r="213">
      <c r="A213" s="11">
        <v>-22.4953994750976</v>
      </c>
      <c r="B213" s="11">
        <v>24.653673171997</v>
      </c>
      <c r="C213" s="11">
        <v>-1.0</v>
      </c>
      <c r="D213" s="11" t="s">
        <v>1061</v>
      </c>
      <c r="E213" s="11">
        <v>-1.0</v>
      </c>
      <c r="F213" s="11" t="s">
        <v>1261</v>
      </c>
      <c r="I213" s="11">
        <v>28.8673553466796</v>
      </c>
      <c r="J213" s="11">
        <v>-1.3041146993637</v>
      </c>
      <c r="K213" s="11">
        <v>0.0</v>
      </c>
      <c r="L213" s="11" t="s">
        <v>1390</v>
      </c>
      <c r="M213" s="11">
        <v>0.0</v>
      </c>
      <c r="N213" s="11" t="s">
        <v>1831</v>
      </c>
    </row>
    <row r="214">
      <c r="A214" s="11">
        <v>-36.9961738586425</v>
      </c>
      <c r="B214" s="11">
        <v>39.5145683288574</v>
      </c>
      <c r="C214" s="11">
        <v>-2.0</v>
      </c>
      <c r="D214" s="11" t="s">
        <v>1061</v>
      </c>
      <c r="E214" s="11">
        <v>-2.0</v>
      </c>
      <c r="F214" s="11" t="s">
        <v>1262</v>
      </c>
      <c r="I214" s="11">
        <v>8.58476638793945</v>
      </c>
      <c r="J214" s="11">
        <v>27.7065048217773</v>
      </c>
      <c r="K214" s="11">
        <v>0.0</v>
      </c>
      <c r="L214" s="11" t="s">
        <v>1390</v>
      </c>
      <c r="M214" s="11">
        <v>0.0</v>
      </c>
      <c r="N214" s="11" t="s">
        <v>1833</v>
      </c>
    </row>
    <row r="215">
      <c r="A215" s="11">
        <v>21.6967086791992</v>
      </c>
      <c r="B215" s="11">
        <v>-4.10326433181762</v>
      </c>
      <c r="C215" s="11">
        <v>0.0</v>
      </c>
      <c r="D215" s="11" t="s">
        <v>1061</v>
      </c>
      <c r="E215" s="11">
        <v>0.0</v>
      </c>
      <c r="F215" s="11" t="s">
        <v>1263</v>
      </c>
      <c r="I215" s="11">
        <v>15.9736728668212</v>
      </c>
      <c r="J215" s="11">
        <v>12.4687719345092</v>
      </c>
      <c r="K215" s="11">
        <v>0.0</v>
      </c>
      <c r="L215" s="11" t="s">
        <v>1390</v>
      </c>
      <c r="M215" s="11">
        <v>0.0</v>
      </c>
      <c r="N215" s="11" t="s">
        <v>1835</v>
      </c>
    </row>
    <row r="216">
      <c r="A216" s="11">
        <v>34.5602874755859</v>
      </c>
      <c r="B216" s="11">
        <v>-17.0174140930175</v>
      </c>
      <c r="C216" s="11">
        <v>0.0</v>
      </c>
      <c r="D216" s="11" t="s">
        <v>1061</v>
      </c>
      <c r="E216" s="11">
        <v>0.0</v>
      </c>
      <c r="F216" s="11" t="s">
        <v>1264</v>
      </c>
      <c r="I216" s="11">
        <v>-6.2785210609436</v>
      </c>
      <c r="J216" s="11">
        <v>-18.6243000030517</v>
      </c>
      <c r="K216" s="11">
        <v>0.0</v>
      </c>
      <c r="L216" s="11" t="s">
        <v>1390</v>
      </c>
      <c r="M216" s="11">
        <v>0.0</v>
      </c>
      <c r="N216" s="11" t="s">
        <v>1837</v>
      </c>
    </row>
    <row r="217">
      <c r="A217" s="11">
        <v>14.0049629211425</v>
      </c>
      <c r="B217" s="11">
        <v>-26.8739547729492</v>
      </c>
      <c r="C217" s="11">
        <v>0.0</v>
      </c>
      <c r="D217" s="11" t="s">
        <v>1061</v>
      </c>
      <c r="E217" s="11">
        <v>0.0</v>
      </c>
      <c r="F217" s="11" t="s">
        <v>1265</v>
      </c>
      <c r="I217" s="11">
        <v>45.3199920654296</v>
      </c>
      <c r="J217" s="11">
        <v>-6.89598846435546</v>
      </c>
      <c r="K217" s="11">
        <v>-1.0</v>
      </c>
      <c r="L217" s="11" t="s">
        <v>1390</v>
      </c>
      <c r="M217" s="11">
        <v>-1.0</v>
      </c>
      <c r="N217" s="11" t="s">
        <v>1839</v>
      </c>
    </row>
    <row r="218">
      <c r="A218" s="11">
        <v>25.1394824981689</v>
      </c>
      <c r="B218" s="11">
        <v>-23.2286300659179</v>
      </c>
      <c r="C218" s="11">
        <v>0.0</v>
      </c>
      <c r="D218" s="11" t="s">
        <v>1061</v>
      </c>
      <c r="E218" s="11">
        <v>0.0</v>
      </c>
      <c r="F218" s="11" t="s">
        <v>1841</v>
      </c>
      <c r="I218" s="11">
        <v>46.4634208679199</v>
      </c>
      <c r="J218" s="11">
        <v>-19.5667705535888</v>
      </c>
      <c r="K218" s="11">
        <v>-2.0</v>
      </c>
      <c r="L218" s="11" t="s">
        <v>1390</v>
      </c>
      <c r="M218" s="11">
        <v>-2.0</v>
      </c>
      <c r="N218" s="11" t="s">
        <v>1842</v>
      </c>
    </row>
    <row r="219">
      <c r="A219" s="11">
        <v>36.439956665039</v>
      </c>
      <c r="B219" s="11">
        <v>-20.3644523620605</v>
      </c>
      <c r="C219" s="11">
        <v>0.0</v>
      </c>
      <c r="D219" s="11" t="s">
        <v>1061</v>
      </c>
      <c r="E219" s="11">
        <v>0.0</v>
      </c>
      <c r="F219" s="11" t="s">
        <v>1266</v>
      </c>
      <c r="I219" s="11">
        <v>-14.1152582168579</v>
      </c>
      <c r="J219" s="11">
        <v>31.3720073699951</v>
      </c>
      <c r="K219" s="11">
        <v>1.0</v>
      </c>
      <c r="L219" s="11" t="s">
        <v>1390</v>
      </c>
      <c r="M219" s="11">
        <v>1.0</v>
      </c>
      <c r="N219" s="11" t="s">
        <v>1844</v>
      </c>
    </row>
    <row r="220">
      <c r="A220" s="11">
        <v>-18.8067245483398</v>
      </c>
      <c r="B220" s="11">
        <v>10.0325374603271</v>
      </c>
      <c r="C220" s="11">
        <v>0.0</v>
      </c>
      <c r="D220" s="11" t="s">
        <v>1061</v>
      </c>
      <c r="E220" s="11">
        <v>0.0</v>
      </c>
      <c r="F220" s="11" t="s">
        <v>1267</v>
      </c>
      <c r="I220" s="11">
        <v>8.51223945617675</v>
      </c>
      <c r="J220" s="11">
        <v>19.0513229370117</v>
      </c>
      <c r="K220" s="11">
        <v>0.0</v>
      </c>
      <c r="L220" s="11" t="s">
        <v>1390</v>
      </c>
      <c r="M220" s="11">
        <v>0.0</v>
      </c>
      <c r="N220" s="11" t="s">
        <v>1846</v>
      </c>
    </row>
    <row r="221">
      <c r="A221" s="11">
        <v>35.3879280090332</v>
      </c>
      <c r="B221" s="11">
        <v>13.9501285552978</v>
      </c>
      <c r="C221" s="11">
        <v>1.0</v>
      </c>
      <c r="D221" s="11" t="s">
        <v>1061</v>
      </c>
      <c r="E221" s="11">
        <v>1.0</v>
      </c>
      <c r="F221" s="11" t="s">
        <v>1268</v>
      </c>
      <c r="I221" s="11">
        <v>-16.77734375</v>
      </c>
      <c r="J221" s="11">
        <v>33.5909233093261</v>
      </c>
      <c r="K221" s="11">
        <v>1.0</v>
      </c>
      <c r="L221" s="11" t="s">
        <v>1390</v>
      </c>
      <c r="M221" s="11">
        <v>1.0</v>
      </c>
      <c r="N221" s="11" t="s">
        <v>1847</v>
      </c>
    </row>
    <row r="222">
      <c r="A222" s="11">
        <v>-29.6063575744628</v>
      </c>
      <c r="B222" s="11">
        <v>-4.01568222045898</v>
      </c>
      <c r="C222" s="11">
        <v>0.0</v>
      </c>
      <c r="D222" s="11" t="s">
        <v>1061</v>
      </c>
      <c r="E222" s="11">
        <v>0.0</v>
      </c>
      <c r="F222" s="11" t="s">
        <v>1269</v>
      </c>
      <c r="I222" s="11">
        <v>30.0929527282714</v>
      </c>
      <c r="J222" s="11">
        <v>2.14361190795898</v>
      </c>
      <c r="K222" s="11">
        <v>0.0</v>
      </c>
      <c r="L222" s="11" t="s">
        <v>1390</v>
      </c>
      <c r="M222" s="11">
        <v>0.0</v>
      </c>
      <c r="N222" s="11" t="s">
        <v>1849</v>
      </c>
    </row>
    <row r="223">
      <c r="A223" s="11">
        <v>-17.9537124633789</v>
      </c>
      <c r="B223" s="11">
        <v>-4.25322103500366</v>
      </c>
      <c r="C223" s="11">
        <v>0.0</v>
      </c>
      <c r="D223" s="11" t="s">
        <v>1061</v>
      </c>
      <c r="E223" s="11">
        <v>0.0</v>
      </c>
      <c r="F223" s="11" t="s">
        <v>1270</v>
      </c>
      <c r="I223" s="11">
        <v>45.8907585144043</v>
      </c>
      <c r="J223" s="11">
        <v>-4.77385282516479</v>
      </c>
      <c r="K223" s="11">
        <v>-1.0</v>
      </c>
      <c r="L223" s="11" t="s">
        <v>1390</v>
      </c>
      <c r="M223" s="11">
        <v>-1.0</v>
      </c>
      <c r="N223" s="11" t="s">
        <v>1851</v>
      </c>
    </row>
    <row r="224">
      <c r="A224" s="11">
        <v>34.1876258850097</v>
      </c>
      <c r="B224" s="11">
        <v>9.63043594360351</v>
      </c>
      <c r="C224" s="11">
        <v>0.0</v>
      </c>
      <c r="D224" s="11" t="s">
        <v>1061</v>
      </c>
      <c r="E224" s="11">
        <v>0.0</v>
      </c>
      <c r="F224" s="11" t="s">
        <v>1852</v>
      </c>
      <c r="I224" s="11">
        <v>-20.690990447998</v>
      </c>
      <c r="J224" s="11">
        <v>38.7598876953125</v>
      </c>
      <c r="K224" s="11">
        <v>1.0</v>
      </c>
      <c r="L224" s="11" t="s">
        <v>1390</v>
      </c>
      <c r="M224" s="11">
        <v>1.0</v>
      </c>
      <c r="N224" s="11" t="s">
        <v>1854</v>
      </c>
    </row>
    <row r="225">
      <c r="A225" s="11">
        <v>17.5404815673828</v>
      </c>
      <c r="B225" s="11">
        <v>-32.0516090393066</v>
      </c>
      <c r="C225" s="11">
        <v>0.0</v>
      </c>
      <c r="D225" s="11" t="s">
        <v>1061</v>
      </c>
      <c r="E225" s="11">
        <v>0.0</v>
      </c>
      <c r="F225" s="11" t="s">
        <v>1271</v>
      </c>
      <c r="I225" s="11">
        <v>-10.4409132003784</v>
      </c>
      <c r="J225" s="11">
        <v>23.9619808197021</v>
      </c>
      <c r="K225" s="11">
        <v>0.0</v>
      </c>
      <c r="L225" s="11" t="s">
        <v>1390</v>
      </c>
      <c r="M225" s="11">
        <v>0.0</v>
      </c>
      <c r="N225" s="11" t="s">
        <v>1855</v>
      </c>
    </row>
    <row r="226">
      <c r="A226" s="11">
        <v>-37.0709953308105</v>
      </c>
      <c r="B226" s="11">
        <v>39.3918647766113</v>
      </c>
      <c r="C226" s="11">
        <v>-2.0</v>
      </c>
      <c r="D226" s="11" t="s">
        <v>1061</v>
      </c>
      <c r="E226" s="11">
        <v>-2.0</v>
      </c>
      <c r="F226" s="11" t="s">
        <v>1272</v>
      </c>
      <c r="I226" s="11">
        <v>-21.993293762207</v>
      </c>
      <c r="J226" s="11">
        <v>39.8868255615234</v>
      </c>
      <c r="K226" s="11">
        <v>1.0</v>
      </c>
      <c r="L226" s="11" t="s">
        <v>1390</v>
      </c>
      <c r="M226" s="11">
        <v>1.0</v>
      </c>
      <c r="N226" s="11" t="s">
        <v>1857</v>
      </c>
    </row>
    <row r="227">
      <c r="A227" s="11">
        <v>7.61538314819335</v>
      </c>
      <c r="B227" s="11">
        <v>-21.1442375183105</v>
      </c>
      <c r="C227" s="11">
        <v>0.0</v>
      </c>
      <c r="D227" s="11" t="s">
        <v>1061</v>
      </c>
      <c r="E227" s="11">
        <v>0.0</v>
      </c>
      <c r="F227" s="11" t="s">
        <v>1273</v>
      </c>
      <c r="I227" s="11">
        <v>47.3250694274902</v>
      </c>
      <c r="J227" s="11">
        <v>-0.107060015201568</v>
      </c>
      <c r="K227" s="11">
        <v>0.0</v>
      </c>
      <c r="L227" s="11" t="s">
        <v>1390</v>
      </c>
      <c r="M227" s="11">
        <v>0.0</v>
      </c>
      <c r="N227" s="11" t="s">
        <v>1859</v>
      </c>
    </row>
    <row r="228">
      <c r="A228" s="11">
        <v>-41.2896385192871</v>
      </c>
      <c r="B228" s="11">
        <v>36.5126762390136</v>
      </c>
      <c r="C228" s="11">
        <v>-2.0</v>
      </c>
      <c r="D228" s="11" t="s">
        <v>1061</v>
      </c>
      <c r="E228" s="11">
        <v>-2.0</v>
      </c>
      <c r="F228" s="11" t="s">
        <v>1274</v>
      </c>
      <c r="I228" s="11">
        <v>26.1972198486328</v>
      </c>
      <c r="J228" s="11">
        <v>-1.08792114257812</v>
      </c>
      <c r="K228" s="11">
        <v>0.0</v>
      </c>
      <c r="L228" s="11" t="s">
        <v>1390</v>
      </c>
      <c r="M228" s="11">
        <v>0.0</v>
      </c>
      <c r="N228" s="11" t="s">
        <v>1861</v>
      </c>
    </row>
    <row r="229">
      <c r="A229" s="11">
        <v>-10.5483999252319</v>
      </c>
      <c r="B229" s="11">
        <v>10.4195585250854</v>
      </c>
      <c r="C229" s="11">
        <v>0.0</v>
      </c>
      <c r="D229" s="11" t="s">
        <v>1061</v>
      </c>
      <c r="E229" s="11">
        <v>0.0</v>
      </c>
      <c r="F229" s="11" t="s">
        <v>1275</v>
      </c>
      <c r="I229" s="11">
        <v>23.7447834014892</v>
      </c>
      <c r="J229" s="11">
        <v>-3.09205770492553</v>
      </c>
      <c r="K229" s="11">
        <v>0.0</v>
      </c>
      <c r="L229" s="11" t="s">
        <v>1390</v>
      </c>
      <c r="M229" s="11">
        <v>0.0</v>
      </c>
      <c r="N229" s="11" t="s">
        <v>1863</v>
      </c>
    </row>
    <row r="230">
      <c r="A230" s="11">
        <v>-33.6353645324707</v>
      </c>
      <c r="B230" s="11">
        <v>4.19101572036743</v>
      </c>
      <c r="C230" s="11">
        <v>0.0</v>
      </c>
      <c r="D230" s="11" t="s">
        <v>1061</v>
      </c>
      <c r="E230" s="11">
        <v>0.0</v>
      </c>
      <c r="F230" s="11" t="s">
        <v>1276</v>
      </c>
      <c r="I230" s="11">
        <v>-16.74534034729</v>
      </c>
      <c r="J230" s="11">
        <v>38.6299247741699</v>
      </c>
      <c r="K230" s="11">
        <v>1.0</v>
      </c>
      <c r="L230" s="11" t="s">
        <v>1390</v>
      </c>
      <c r="M230" s="11">
        <v>1.0</v>
      </c>
      <c r="N230" s="11" t="s">
        <v>1865</v>
      </c>
    </row>
    <row r="231">
      <c r="A231" s="11">
        <v>24.4115047454834</v>
      </c>
      <c r="B231" s="11">
        <v>32.8574714660644</v>
      </c>
      <c r="C231" s="11">
        <v>2.0</v>
      </c>
      <c r="D231" s="11" t="s">
        <v>1061</v>
      </c>
      <c r="E231" s="11">
        <v>2.0</v>
      </c>
      <c r="F231" s="11" t="s">
        <v>1277</v>
      </c>
      <c r="I231" s="11">
        <v>23.7447834014892</v>
      </c>
      <c r="J231" s="11">
        <v>-3.09205770492553</v>
      </c>
      <c r="K231" s="11">
        <v>0.0</v>
      </c>
      <c r="L231" s="11" t="s">
        <v>1390</v>
      </c>
      <c r="M231" s="11">
        <v>0.0</v>
      </c>
      <c r="N231" s="11" t="s">
        <v>1867</v>
      </c>
    </row>
    <row r="232">
      <c r="A232" s="11">
        <v>38.9387893676757</v>
      </c>
      <c r="B232" s="11">
        <v>-21.3403148651123</v>
      </c>
      <c r="C232" s="11">
        <v>0.0</v>
      </c>
      <c r="D232" s="11" t="s">
        <v>1061</v>
      </c>
      <c r="E232" s="11">
        <v>0.0</v>
      </c>
      <c r="F232" s="11" t="s">
        <v>1278</v>
      </c>
      <c r="I232" s="11">
        <v>30.1227474212646</v>
      </c>
      <c r="J232" s="11">
        <v>1.40512835979461</v>
      </c>
      <c r="K232" s="11">
        <v>0.0</v>
      </c>
      <c r="L232" s="11" t="s">
        <v>1390</v>
      </c>
      <c r="M232" s="11">
        <v>0.0</v>
      </c>
      <c r="N232" s="11" t="s">
        <v>1869</v>
      </c>
    </row>
    <row r="233">
      <c r="A233" s="11">
        <v>-22.6867504119873</v>
      </c>
      <c r="B233" s="11">
        <v>-15.2408971786499</v>
      </c>
      <c r="C233" s="11">
        <v>0.0</v>
      </c>
      <c r="D233" s="11" t="s">
        <v>1061</v>
      </c>
      <c r="E233" s="11">
        <v>0.0</v>
      </c>
      <c r="F233" s="11" t="s">
        <v>1279</v>
      </c>
      <c r="I233" s="11">
        <v>-10.9141569137573</v>
      </c>
      <c r="J233" s="11">
        <v>28.0125560760498</v>
      </c>
      <c r="K233" s="11">
        <v>0.0</v>
      </c>
      <c r="L233" s="11" t="s">
        <v>1390</v>
      </c>
      <c r="M233" s="11">
        <v>0.0</v>
      </c>
      <c r="N233" s="11" t="s">
        <v>1871</v>
      </c>
    </row>
    <row r="234">
      <c r="A234" s="11">
        <v>-40.4111137390136</v>
      </c>
      <c r="B234" s="11">
        <v>-1.56464219093322</v>
      </c>
      <c r="C234" s="11">
        <v>-1.0</v>
      </c>
      <c r="D234" s="11" t="s">
        <v>1061</v>
      </c>
      <c r="E234" s="11">
        <v>-1.0</v>
      </c>
      <c r="F234" s="11" t="s">
        <v>1280</v>
      </c>
      <c r="I234" s="11">
        <v>-16.1509666442871</v>
      </c>
      <c r="J234" s="11">
        <v>36.3149795532226</v>
      </c>
      <c r="K234" s="11">
        <v>1.0</v>
      </c>
      <c r="L234" s="11" t="s">
        <v>1390</v>
      </c>
      <c r="M234" s="11">
        <v>1.0</v>
      </c>
      <c r="N234" s="11" t="s">
        <v>1873</v>
      </c>
    </row>
    <row r="235">
      <c r="A235" s="11">
        <v>28.9328155517578</v>
      </c>
      <c r="B235" s="11">
        <v>-6.44039964675903</v>
      </c>
      <c r="C235" s="11">
        <v>0.0</v>
      </c>
      <c r="D235" s="11" t="s">
        <v>1061</v>
      </c>
      <c r="E235" s="11">
        <v>0.0</v>
      </c>
      <c r="F235" s="11" t="s">
        <v>1874</v>
      </c>
      <c r="I235" s="11">
        <v>21.4523963928222</v>
      </c>
      <c r="J235" s="11">
        <v>4.07694625854492</v>
      </c>
      <c r="K235" s="11">
        <v>0.0</v>
      </c>
      <c r="L235" s="11" t="s">
        <v>1390</v>
      </c>
      <c r="M235" s="11">
        <v>0.0</v>
      </c>
      <c r="N235" s="11" t="s">
        <v>1876</v>
      </c>
    </row>
    <row r="236">
      <c r="A236" s="11">
        <v>27.8260993957519</v>
      </c>
      <c r="B236" s="11">
        <v>31.8653926849365</v>
      </c>
      <c r="C236" s="11">
        <v>2.0</v>
      </c>
      <c r="D236" s="11" t="s">
        <v>1061</v>
      </c>
      <c r="E236" s="11">
        <v>2.0</v>
      </c>
      <c r="F236" s="11" t="s">
        <v>1878</v>
      </c>
      <c r="I236" s="11">
        <v>-2.94055724143981</v>
      </c>
      <c r="J236" s="11">
        <v>-13.6403369903564</v>
      </c>
      <c r="K236" s="11">
        <v>0.0</v>
      </c>
      <c r="L236" s="11" t="s">
        <v>1879</v>
      </c>
      <c r="M236" s="11">
        <v>0.0</v>
      </c>
      <c r="N236" s="11" t="s">
        <v>1880</v>
      </c>
    </row>
    <row r="237">
      <c r="A237" s="11">
        <v>26.4428424835205</v>
      </c>
      <c r="B237" s="11">
        <v>29.3102188110351</v>
      </c>
      <c r="C237" s="11">
        <v>2.0</v>
      </c>
      <c r="D237" s="11" t="s">
        <v>1061</v>
      </c>
      <c r="E237" s="11">
        <v>2.0</v>
      </c>
      <c r="F237" s="11" t="s">
        <v>1882</v>
      </c>
      <c r="I237" s="11">
        <v>-6.01178264617919</v>
      </c>
      <c r="J237" s="11">
        <v>-15.8226842880249</v>
      </c>
      <c r="K237" s="11">
        <v>0.0</v>
      </c>
      <c r="L237" s="11" t="s">
        <v>1879</v>
      </c>
      <c r="M237" s="11">
        <v>0.0</v>
      </c>
      <c r="N237" s="11" t="s">
        <v>1884</v>
      </c>
    </row>
    <row r="238">
      <c r="A238" s="11">
        <v>-41.1648406982421</v>
      </c>
      <c r="B238" s="11">
        <v>28.5970344543457</v>
      </c>
      <c r="C238" s="11">
        <v>-1.0</v>
      </c>
      <c r="D238" s="11" t="s">
        <v>1061</v>
      </c>
      <c r="E238" s="11">
        <v>-1.0</v>
      </c>
      <c r="F238" s="11" t="s">
        <v>1281</v>
      </c>
      <c r="I238" s="11">
        <v>46.5599822998046</v>
      </c>
      <c r="J238" s="11">
        <v>-14.2065925598144</v>
      </c>
      <c r="K238" s="11">
        <v>-2.0</v>
      </c>
      <c r="L238" s="11" t="s">
        <v>1879</v>
      </c>
      <c r="M238" s="11">
        <v>-2.0</v>
      </c>
      <c r="N238" s="11" t="s">
        <v>1886</v>
      </c>
    </row>
    <row r="239">
      <c r="A239" s="11">
        <v>5.41058826446533</v>
      </c>
      <c r="B239" s="11">
        <v>-0.408007562160491</v>
      </c>
      <c r="C239" s="11">
        <v>0.0</v>
      </c>
      <c r="D239" s="11" t="s">
        <v>1061</v>
      </c>
      <c r="E239" s="11">
        <v>0.0</v>
      </c>
      <c r="F239" s="11" t="s">
        <v>1282</v>
      </c>
      <c r="I239" s="11">
        <v>20.9769287109375</v>
      </c>
      <c r="J239" s="11">
        <v>1.11663568019866</v>
      </c>
      <c r="K239" s="11">
        <v>0.0</v>
      </c>
      <c r="L239" s="11" t="s">
        <v>1879</v>
      </c>
      <c r="M239" s="11">
        <v>0.0</v>
      </c>
      <c r="N239" s="11" t="s">
        <v>1888</v>
      </c>
    </row>
    <row r="240">
      <c r="A240" s="11">
        <v>-2.71639442443847</v>
      </c>
      <c r="B240" s="11">
        <v>-19.0289249420166</v>
      </c>
      <c r="C240" s="11">
        <v>0.0</v>
      </c>
      <c r="D240" s="11" t="s">
        <v>1061</v>
      </c>
      <c r="E240" s="11">
        <v>0.0</v>
      </c>
      <c r="F240" s="11" t="s">
        <v>1283</v>
      </c>
      <c r="I240" s="11">
        <v>44.5955390930175</v>
      </c>
      <c r="J240" s="11">
        <v>-3.48206377029418</v>
      </c>
      <c r="K240" s="11">
        <v>-1.0</v>
      </c>
      <c r="L240" s="11" t="s">
        <v>1879</v>
      </c>
      <c r="M240" s="11">
        <v>-1.0</v>
      </c>
      <c r="N240" s="11" t="s">
        <v>1890</v>
      </c>
    </row>
    <row r="241">
      <c r="A241" s="11">
        <v>34.3445777893066</v>
      </c>
      <c r="B241" s="11">
        <v>-16.6258316040039</v>
      </c>
      <c r="C241" s="11">
        <v>0.0</v>
      </c>
      <c r="D241" s="11" t="s">
        <v>1061</v>
      </c>
      <c r="E241" s="11">
        <v>0.0</v>
      </c>
      <c r="F241" s="11" t="s">
        <v>1284</v>
      </c>
      <c r="I241" s="11">
        <v>21.3153114318847</v>
      </c>
      <c r="J241" s="11">
        <v>0.497418314218521</v>
      </c>
      <c r="K241" s="11">
        <v>0.0</v>
      </c>
      <c r="L241" s="11" t="s">
        <v>1879</v>
      </c>
      <c r="M241" s="11">
        <v>0.0</v>
      </c>
      <c r="N241" s="11" t="s">
        <v>1892</v>
      </c>
    </row>
    <row r="242">
      <c r="A242" s="11">
        <v>-31.214256286621</v>
      </c>
      <c r="B242" s="11">
        <v>5.09235763549804</v>
      </c>
      <c r="C242" s="11">
        <v>0.0</v>
      </c>
      <c r="D242" s="11" t="s">
        <v>1061</v>
      </c>
      <c r="E242" s="11">
        <v>0.0</v>
      </c>
      <c r="F242" s="11" t="s">
        <v>1285</v>
      </c>
      <c r="I242" s="11">
        <v>28.6514492034912</v>
      </c>
      <c r="J242" s="11">
        <v>-3.94837737083435</v>
      </c>
      <c r="K242" s="11">
        <v>0.0</v>
      </c>
      <c r="L242" s="11" t="s">
        <v>1879</v>
      </c>
      <c r="M242" s="11">
        <v>0.0</v>
      </c>
      <c r="N242" s="11" t="s">
        <v>1894</v>
      </c>
    </row>
    <row r="243">
      <c r="A243" s="11">
        <v>-36.754653930664</v>
      </c>
      <c r="B243" s="11">
        <v>-11.9435186386108</v>
      </c>
      <c r="C243" s="11">
        <v>0.0</v>
      </c>
      <c r="D243" s="11" t="s">
        <v>1061</v>
      </c>
      <c r="E243" s="11">
        <v>0.0</v>
      </c>
      <c r="F243" s="11" t="s">
        <v>1286</v>
      </c>
      <c r="I243" s="11">
        <v>45.8351287841796</v>
      </c>
      <c r="J243" s="11">
        <v>-18.1019477844238</v>
      </c>
      <c r="K243" s="11">
        <v>-2.0</v>
      </c>
      <c r="L243" s="11" t="s">
        <v>1879</v>
      </c>
      <c r="M243" s="11">
        <v>-2.0</v>
      </c>
      <c r="N243" s="11" t="s">
        <v>1896</v>
      </c>
    </row>
    <row r="244">
      <c r="A244" s="11">
        <v>31.3126888275146</v>
      </c>
      <c r="B244" s="11">
        <v>-11.6201581954956</v>
      </c>
      <c r="C244" s="11">
        <v>0.0</v>
      </c>
      <c r="D244" s="11" t="s">
        <v>1061</v>
      </c>
      <c r="E244" s="11">
        <v>0.0</v>
      </c>
      <c r="F244" s="11" t="s">
        <v>1287</v>
      </c>
      <c r="I244" s="11">
        <v>-5.73577833175659</v>
      </c>
      <c r="J244" s="11">
        <v>-9.11582088470459</v>
      </c>
      <c r="K244" s="11">
        <v>0.0</v>
      </c>
      <c r="L244" s="11" t="s">
        <v>1879</v>
      </c>
      <c r="M244" s="11">
        <v>0.0</v>
      </c>
      <c r="N244" s="11" t="s">
        <v>1898</v>
      </c>
    </row>
    <row r="245">
      <c r="A245" s="11">
        <v>47.1668739318847</v>
      </c>
      <c r="B245" s="11">
        <v>-7.18670177459716</v>
      </c>
      <c r="C245" s="11">
        <v>1.0</v>
      </c>
      <c r="D245" s="11" t="s">
        <v>1061</v>
      </c>
      <c r="E245" s="11">
        <v>1.0</v>
      </c>
      <c r="F245" s="11" t="s">
        <v>1288</v>
      </c>
      <c r="I245" s="11">
        <v>45.9281959533691</v>
      </c>
      <c r="J245" s="11">
        <v>-3.40693354606628</v>
      </c>
      <c r="K245" s="11">
        <v>0.0</v>
      </c>
      <c r="L245" s="11" t="s">
        <v>1879</v>
      </c>
      <c r="M245" s="11">
        <v>0.0</v>
      </c>
      <c r="N245" s="11" t="s">
        <v>1900</v>
      </c>
    </row>
    <row r="246">
      <c r="A246" s="11">
        <v>37.0943336486816</v>
      </c>
      <c r="B246" s="11">
        <v>-20.3852405548095</v>
      </c>
      <c r="C246" s="11">
        <v>0.0</v>
      </c>
      <c r="D246" s="11" t="s">
        <v>1061</v>
      </c>
      <c r="E246" s="11">
        <v>0.0</v>
      </c>
      <c r="F246" s="11" t="s">
        <v>1289</v>
      </c>
      <c r="I246" s="11">
        <v>-30.6805515289306</v>
      </c>
      <c r="J246" s="11">
        <v>-6.84273386001586</v>
      </c>
      <c r="K246" s="11">
        <v>0.0</v>
      </c>
      <c r="L246" s="11" t="s">
        <v>1879</v>
      </c>
      <c r="M246" s="11">
        <v>0.0</v>
      </c>
      <c r="N246" s="11" t="s">
        <v>1902</v>
      </c>
    </row>
    <row r="247">
      <c r="A247" s="11">
        <v>37.2924537658691</v>
      </c>
      <c r="B247" s="11">
        <v>18.1983280181884</v>
      </c>
      <c r="C247" s="11">
        <v>2.0</v>
      </c>
      <c r="D247" s="11" t="s">
        <v>1061</v>
      </c>
      <c r="E247" s="11">
        <v>2.0</v>
      </c>
      <c r="F247" s="11" t="s">
        <v>1904</v>
      </c>
      <c r="I247" s="11">
        <v>46.5812873840332</v>
      </c>
      <c r="J247" s="11">
        <v>-20.5820560455322</v>
      </c>
      <c r="K247" s="11">
        <v>-2.0</v>
      </c>
      <c r="L247" s="11" t="s">
        <v>1879</v>
      </c>
      <c r="M247" s="11">
        <v>-2.0</v>
      </c>
      <c r="N247" s="11" t="s">
        <v>1905</v>
      </c>
    </row>
    <row r="248">
      <c r="A248" s="11">
        <v>6.94374179840087</v>
      </c>
      <c r="B248" s="11">
        <v>-18.8296890258789</v>
      </c>
      <c r="C248" s="11">
        <v>0.0</v>
      </c>
      <c r="D248" s="11" t="s">
        <v>1061</v>
      </c>
      <c r="E248" s="11">
        <v>0.0</v>
      </c>
      <c r="F248" s="11" t="s">
        <v>1290</v>
      </c>
      <c r="I248" s="11">
        <v>9.45449829101562</v>
      </c>
      <c r="J248" s="11">
        <v>-11.6181745529174</v>
      </c>
      <c r="K248" s="11">
        <v>0.0</v>
      </c>
      <c r="L248" s="11" t="s">
        <v>1879</v>
      </c>
      <c r="M248" s="11">
        <v>0.0</v>
      </c>
      <c r="N248" s="11" t="s">
        <v>1907</v>
      </c>
    </row>
    <row r="249">
      <c r="A249" s="11">
        <v>-31.129373550415</v>
      </c>
      <c r="B249" s="11">
        <v>4.7636022567749</v>
      </c>
      <c r="C249" s="11">
        <v>0.0</v>
      </c>
      <c r="D249" s="11" t="s">
        <v>1061</v>
      </c>
      <c r="E249" s="11">
        <v>0.0</v>
      </c>
      <c r="F249" s="11" t="s">
        <v>1291</v>
      </c>
      <c r="I249" s="11">
        <v>9.45449829101562</v>
      </c>
      <c r="J249" s="11">
        <v>-11.6181745529174</v>
      </c>
      <c r="K249" s="11">
        <v>0.0</v>
      </c>
      <c r="L249" s="11" t="s">
        <v>1879</v>
      </c>
      <c r="M249" s="11">
        <v>0.0</v>
      </c>
      <c r="N249" s="11" t="s">
        <v>1910</v>
      </c>
    </row>
    <row r="250">
      <c r="A250" s="11">
        <v>29.8868961334228</v>
      </c>
      <c r="B250" s="11">
        <v>31.2519989013671</v>
      </c>
      <c r="C250" s="11">
        <v>2.0</v>
      </c>
      <c r="D250" s="11" t="s">
        <v>1061</v>
      </c>
      <c r="E250" s="11">
        <v>2.0</v>
      </c>
      <c r="F250" s="11" t="s">
        <v>1911</v>
      </c>
      <c r="I250" s="11">
        <v>-33.733959197998</v>
      </c>
      <c r="J250" s="11">
        <v>-10.2857217788696</v>
      </c>
      <c r="K250" s="11">
        <v>1.0</v>
      </c>
      <c r="L250" s="11" t="s">
        <v>1879</v>
      </c>
      <c r="M250" s="11">
        <v>1.0</v>
      </c>
      <c r="N250" s="11" t="s">
        <v>1914</v>
      </c>
    </row>
    <row r="251">
      <c r="A251" s="11">
        <v>-34.070556640625</v>
      </c>
      <c r="B251" s="11">
        <v>9.19608402252197</v>
      </c>
      <c r="C251" s="11">
        <v>0.0</v>
      </c>
      <c r="D251" s="11" t="s">
        <v>1061</v>
      </c>
      <c r="E251" s="11">
        <v>0.0</v>
      </c>
      <c r="F251" s="11" t="s">
        <v>1292</v>
      </c>
      <c r="I251" s="11">
        <v>5.15554094314575</v>
      </c>
      <c r="J251" s="11">
        <v>-12.3779678344726</v>
      </c>
      <c r="K251" s="11">
        <v>0.0</v>
      </c>
      <c r="L251" s="11" t="s">
        <v>1879</v>
      </c>
      <c r="M251" s="11">
        <v>0.0</v>
      </c>
      <c r="N251" s="11" t="s">
        <v>1916</v>
      </c>
    </row>
    <row r="252">
      <c r="A252" s="11">
        <v>12.7659378051757</v>
      </c>
      <c r="B252" s="11">
        <v>-28.7577686309814</v>
      </c>
      <c r="C252" s="11">
        <v>0.0</v>
      </c>
      <c r="D252" s="11" t="s">
        <v>1061</v>
      </c>
      <c r="E252" s="11">
        <v>0.0</v>
      </c>
      <c r="F252" s="11" t="s">
        <v>1293</v>
      </c>
      <c r="I252" s="11">
        <v>12.9924068450927</v>
      </c>
      <c r="J252" s="11">
        <v>-2.64242386817932</v>
      </c>
      <c r="K252" s="11">
        <v>0.0</v>
      </c>
      <c r="L252" s="11" t="s">
        <v>1879</v>
      </c>
      <c r="M252" s="11">
        <v>0.0</v>
      </c>
      <c r="N252" s="11" t="s">
        <v>1918</v>
      </c>
    </row>
    <row r="253">
      <c r="A253" s="11">
        <v>-30.5343265533447</v>
      </c>
      <c r="B253" s="11">
        <v>-6.39008617401123</v>
      </c>
      <c r="C253" s="11">
        <v>0.0</v>
      </c>
      <c r="D253" s="11" t="s">
        <v>1061</v>
      </c>
      <c r="E253" s="11">
        <v>0.0</v>
      </c>
      <c r="F253" s="11" t="s">
        <v>1294</v>
      </c>
      <c r="I253" s="11">
        <v>-18.0410442352294</v>
      </c>
      <c r="J253" s="11">
        <v>35.8320846557617</v>
      </c>
      <c r="K253" s="11">
        <v>1.0</v>
      </c>
      <c r="L253" s="11" t="s">
        <v>1879</v>
      </c>
      <c r="M253" s="11">
        <v>1.0</v>
      </c>
      <c r="N253" s="11" t="s">
        <v>1920</v>
      </c>
    </row>
    <row r="254">
      <c r="A254" s="11">
        <v>-13.9834203720092</v>
      </c>
      <c r="B254" s="11">
        <v>-3.1895112991333</v>
      </c>
      <c r="C254" s="11">
        <v>0.0</v>
      </c>
      <c r="D254" s="11" t="s">
        <v>1061</v>
      </c>
      <c r="E254" s="11">
        <v>0.0</v>
      </c>
      <c r="F254" s="11" t="s">
        <v>1295</v>
      </c>
      <c r="I254" s="11">
        <v>-2.94055724143981</v>
      </c>
      <c r="J254" s="11">
        <v>-13.6403369903564</v>
      </c>
      <c r="K254" s="11">
        <v>0.0</v>
      </c>
      <c r="L254" s="11" t="s">
        <v>1879</v>
      </c>
      <c r="M254" s="11">
        <v>0.0</v>
      </c>
      <c r="N254" s="11" t="s">
        <v>1922</v>
      </c>
    </row>
    <row r="255">
      <c r="A255" s="11">
        <v>32.366340637207</v>
      </c>
      <c r="B255" s="11">
        <v>25.0713443756103</v>
      </c>
      <c r="C255" s="11">
        <v>2.0</v>
      </c>
      <c r="D255" s="11" t="s">
        <v>1061</v>
      </c>
      <c r="E255" s="11">
        <v>2.0</v>
      </c>
      <c r="F255" s="11" t="s">
        <v>1924</v>
      </c>
      <c r="I255" s="11">
        <v>-26.2505798339843</v>
      </c>
      <c r="J255" s="11">
        <v>-10.1675720214843</v>
      </c>
      <c r="K255" s="11">
        <v>0.0</v>
      </c>
      <c r="L255" s="11" t="s">
        <v>1879</v>
      </c>
      <c r="M255" s="11">
        <v>0.0</v>
      </c>
      <c r="N255" s="11" t="s">
        <v>1925</v>
      </c>
    </row>
    <row r="256">
      <c r="A256" s="11">
        <v>-39.1673278808593</v>
      </c>
      <c r="B256" s="11">
        <v>9.41990375518798</v>
      </c>
      <c r="C256" s="11">
        <v>0.0</v>
      </c>
      <c r="D256" s="11" t="s">
        <v>1061</v>
      </c>
      <c r="E256" s="11">
        <v>0.0</v>
      </c>
      <c r="F256" s="11" t="s">
        <v>1296</v>
      </c>
      <c r="I256" s="11">
        <v>-32.8908882141113</v>
      </c>
      <c r="J256" s="11">
        <v>-9.57567882537841</v>
      </c>
      <c r="K256" s="11">
        <v>1.0</v>
      </c>
      <c r="L256" s="11" t="s">
        <v>1879</v>
      </c>
      <c r="M256" s="11">
        <v>1.0</v>
      </c>
      <c r="N256" s="11" t="s">
        <v>1927</v>
      </c>
    </row>
    <row r="257">
      <c r="A257" s="11">
        <v>13.412311553955</v>
      </c>
      <c r="B257" s="11">
        <v>-14.2429361343383</v>
      </c>
      <c r="C257" s="11">
        <v>0.0</v>
      </c>
      <c r="D257" s="11" t="s">
        <v>1061</v>
      </c>
      <c r="E257" s="11">
        <v>0.0</v>
      </c>
      <c r="F257" s="11" t="s">
        <v>1297</v>
      </c>
      <c r="I257" s="11">
        <v>6.75790500640869</v>
      </c>
      <c r="J257" s="11">
        <v>-12.8920164108276</v>
      </c>
      <c r="K257" s="11">
        <v>0.0</v>
      </c>
      <c r="L257" s="11" t="s">
        <v>1879</v>
      </c>
      <c r="M257" s="11">
        <v>0.0</v>
      </c>
      <c r="N257" s="11" t="s">
        <v>1929</v>
      </c>
    </row>
    <row r="258">
      <c r="A258" s="11">
        <v>34.5602874755859</v>
      </c>
      <c r="B258" s="11">
        <v>-17.0174140930175</v>
      </c>
      <c r="C258" s="11">
        <v>0.0</v>
      </c>
      <c r="D258" s="11" t="s">
        <v>1061</v>
      </c>
      <c r="E258" s="11">
        <v>0.0</v>
      </c>
      <c r="F258" s="11" t="s">
        <v>1298</v>
      </c>
      <c r="I258" s="11">
        <v>-3.08162689208984</v>
      </c>
      <c r="J258" s="11">
        <v>-11.573049545288</v>
      </c>
      <c r="K258" s="11">
        <v>0.0</v>
      </c>
      <c r="L258" s="11" t="s">
        <v>1879</v>
      </c>
      <c r="M258" s="11">
        <v>0.0</v>
      </c>
      <c r="N258" s="11" t="s">
        <v>1931</v>
      </c>
    </row>
    <row r="259">
      <c r="A259" s="11">
        <v>6.94421911239624</v>
      </c>
      <c r="B259" s="11">
        <v>-18.8297519683837</v>
      </c>
      <c r="C259" s="11">
        <v>0.0</v>
      </c>
      <c r="D259" s="11" t="s">
        <v>1061</v>
      </c>
      <c r="E259" s="11">
        <v>0.0</v>
      </c>
      <c r="F259" s="11" t="s">
        <v>1299</v>
      </c>
      <c r="I259" s="11">
        <v>6.68037033081054</v>
      </c>
      <c r="J259" s="11">
        <v>-7.82487058639526</v>
      </c>
      <c r="K259" s="11">
        <v>0.0</v>
      </c>
      <c r="L259" s="11" t="s">
        <v>1879</v>
      </c>
      <c r="M259" s="11">
        <v>0.0</v>
      </c>
      <c r="N259" s="11" t="s">
        <v>1933</v>
      </c>
    </row>
    <row r="260">
      <c r="A260" s="11">
        <v>22.4009857177734</v>
      </c>
      <c r="B260" s="11">
        <v>-22.2093315124511</v>
      </c>
      <c r="C260" s="11">
        <v>0.0</v>
      </c>
      <c r="D260" s="11" t="s">
        <v>1061</v>
      </c>
      <c r="E260" s="11">
        <v>0.0</v>
      </c>
      <c r="F260" s="11" t="s">
        <v>1300</v>
      </c>
      <c r="I260" s="11">
        <v>-1.65266275405883</v>
      </c>
      <c r="J260" s="11">
        <v>-11.2878627777099</v>
      </c>
      <c r="K260" s="11">
        <v>0.0</v>
      </c>
      <c r="L260" s="11" t="s">
        <v>1879</v>
      </c>
      <c r="M260" s="11">
        <v>0.0</v>
      </c>
      <c r="N260" s="11" t="s">
        <v>1935</v>
      </c>
    </row>
    <row r="261">
      <c r="A261" s="11">
        <v>-36.0643882751464</v>
      </c>
      <c r="B261" s="11">
        <v>35.5480194091796</v>
      </c>
      <c r="C261" s="11">
        <v>0.0</v>
      </c>
      <c r="D261" s="11" t="s">
        <v>1061</v>
      </c>
      <c r="E261" s="11">
        <v>0.0</v>
      </c>
      <c r="F261" s="11" t="s">
        <v>1301</v>
      </c>
      <c r="I261" s="11">
        <v>-25.7225494384765</v>
      </c>
      <c r="J261" s="11">
        <v>-7.42757415771484</v>
      </c>
      <c r="K261" s="11">
        <v>0.0</v>
      </c>
      <c r="L261" s="11" t="s">
        <v>1879</v>
      </c>
      <c r="M261" s="11">
        <v>0.0</v>
      </c>
      <c r="N261" s="11" t="s">
        <v>1936</v>
      </c>
    </row>
    <row r="262">
      <c r="A262" s="11">
        <v>23.8709182739257</v>
      </c>
      <c r="B262" s="11">
        <v>-14.4339218139648</v>
      </c>
      <c r="C262" s="11">
        <v>0.0</v>
      </c>
      <c r="D262" s="11" t="s">
        <v>1061</v>
      </c>
      <c r="E262" s="11">
        <v>0.0</v>
      </c>
      <c r="F262" s="11" t="s">
        <v>1302</v>
      </c>
      <c r="I262" s="11">
        <v>-27.29758644104</v>
      </c>
      <c r="J262" s="11">
        <v>-8.51539802551269</v>
      </c>
      <c r="K262" s="11">
        <v>0.0</v>
      </c>
      <c r="L262" s="11" t="s">
        <v>1879</v>
      </c>
      <c r="M262" s="11">
        <v>0.0</v>
      </c>
      <c r="N262" s="11" t="s">
        <v>1938</v>
      </c>
    </row>
    <row r="263">
      <c r="A263" s="11">
        <v>-18.6134433746337</v>
      </c>
      <c r="B263" s="11">
        <v>6.12466382980346</v>
      </c>
      <c r="C263" s="11">
        <v>0.0</v>
      </c>
      <c r="D263" s="11" t="s">
        <v>1061</v>
      </c>
      <c r="E263" s="11">
        <v>0.0</v>
      </c>
      <c r="F263" s="11" t="s">
        <v>1303</v>
      </c>
      <c r="I263" s="11">
        <v>-19.543601989746</v>
      </c>
      <c r="J263" s="11">
        <v>-15.2737913131713</v>
      </c>
      <c r="K263" s="11">
        <v>0.0</v>
      </c>
      <c r="L263" s="11" t="s">
        <v>1879</v>
      </c>
      <c r="M263" s="11">
        <v>0.0</v>
      </c>
      <c r="N263" s="11" t="s">
        <v>1940</v>
      </c>
    </row>
    <row r="264">
      <c r="A264" s="11">
        <v>25.7442893981933</v>
      </c>
      <c r="B264" s="11">
        <v>32.2807006835937</v>
      </c>
      <c r="C264" s="11">
        <v>2.0</v>
      </c>
      <c r="D264" s="11" t="s">
        <v>1061</v>
      </c>
      <c r="E264" s="11">
        <v>2.0</v>
      </c>
      <c r="F264" s="11" t="s">
        <v>1304</v>
      </c>
      <c r="I264" s="11">
        <v>20.0472679138183</v>
      </c>
      <c r="J264" s="11">
        <v>1.51409339904785</v>
      </c>
      <c r="K264" s="11">
        <v>0.0</v>
      </c>
      <c r="L264" s="11" t="s">
        <v>1879</v>
      </c>
      <c r="M264" s="11">
        <v>0.0</v>
      </c>
      <c r="N264" s="11" t="s">
        <v>1942</v>
      </c>
    </row>
    <row r="265">
      <c r="A265" s="11">
        <v>-15.4384088516235</v>
      </c>
      <c r="B265" s="11">
        <v>10.7214107513427</v>
      </c>
      <c r="C265" s="11">
        <v>0.0</v>
      </c>
      <c r="D265" s="11" t="s">
        <v>1061</v>
      </c>
      <c r="E265" s="11">
        <v>0.0</v>
      </c>
      <c r="F265" s="11" t="s">
        <v>1305</v>
      </c>
      <c r="I265" s="11">
        <v>-21.6447105407714</v>
      </c>
      <c r="J265" s="11">
        <v>-12.0893115997314</v>
      </c>
      <c r="K265" s="11">
        <v>0.0</v>
      </c>
      <c r="L265" s="11" t="s">
        <v>1879</v>
      </c>
      <c r="M265" s="11">
        <v>0.0</v>
      </c>
      <c r="N265" s="11" t="s">
        <v>1944</v>
      </c>
    </row>
    <row r="266">
      <c r="A266" s="11">
        <v>11.3992929458618</v>
      </c>
      <c r="B266" s="11">
        <v>-28.3507289886474</v>
      </c>
      <c r="C266" s="11">
        <v>0.0</v>
      </c>
      <c r="D266" s="11" t="s">
        <v>1061</v>
      </c>
      <c r="E266" s="11">
        <v>0.0</v>
      </c>
      <c r="F266" s="11" t="s">
        <v>1306</v>
      </c>
      <c r="I266" s="11">
        <v>43.4315185546875</v>
      </c>
      <c r="J266" s="11">
        <v>-12.2178621292114</v>
      </c>
      <c r="K266" s="11">
        <v>-1.0</v>
      </c>
      <c r="L266" s="11" t="s">
        <v>1879</v>
      </c>
      <c r="M266" s="11">
        <v>-1.0</v>
      </c>
      <c r="N266" s="11" t="s">
        <v>1946</v>
      </c>
    </row>
    <row r="267">
      <c r="A267" s="11">
        <v>34.7231636047363</v>
      </c>
      <c r="B267" s="11">
        <v>-16.7199001312255</v>
      </c>
      <c r="C267" s="11">
        <v>0.0</v>
      </c>
      <c r="D267" s="11" t="s">
        <v>1061</v>
      </c>
      <c r="E267" s="11">
        <v>0.0</v>
      </c>
      <c r="F267" s="11" t="s">
        <v>1307</v>
      </c>
      <c r="I267" s="11">
        <v>50.3104820251464</v>
      </c>
      <c r="J267" s="11">
        <v>-18.763479232788</v>
      </c>
      <c r="K267" s="11">
        <v>-2.0</v>
      </c>
      <c r="L267" s="11" t="s">
        <v>1879</v>
      </c>
      <c r="M267" s="11">
        <v>-2.0</v>
      </c>
      <c r="N267" s="11" t="s">
        <v>1948</v>
      </c>
    </row>
    <row r="268">
      <c r="A268" s="11">
        <v>28.5434055328369</v>
      </c>
      <c r="B268" s="11">
        <v>28.5634231567382</v>
      </c>
      <c r="C268" s="11">
        <v>2.0</v>
      </c>
      <c r="D268" s="11" t="s">
        <v>1061</v>
      </c>
      <c r="E268" s="11">
        <v>2.0</v>
      </c>
      <c r="F268" s="11" t="s">
        <v>1308</v>
      </c>
      <c r="I268" s="11">
        <v>-15.8989009857177</v>
      </c>
      <c r="J268" s="11">
        <v>-7.50863981246948</v>
      </c>
      <c r="K268" s="11">
        <v>0.0</v>
      </c>
      <c r="L268" s="11" t="s">
        <v>1879</v>
      </c>
      <c r="M268" s="11">
        <v>0.0</v>
      </c>
      <c r="N268" s="11" t="s">
        <v>1949</v>
      </c>
    </row>
    <row r="269">
      <c r="A269" s="11">
        <v>37.2706794738769</v>
      </c>
      <c r="B269" s="11">
        <v>-17.6959552764892</v>
      </c>
      <c r="C269" s="11">
        <v>0.0</v>
      </c>
      <c r="D269" s="11" t="s">
        <v>1061</v>
      </c>
      <c r="E269" s="11">
        <v>0.0</v>
      </c>
      <c r="F269" s="11" t="s">
        <v>1309</v>
      </c>
      <c r="I269" s="11">
        <v>-32.8908882141113</v>
      </c>
      <c r="J269" s="11">
        <v>-9.57567882537841</v>
      </c>
      <c r="K269" s="11">
        <v>1.0</v>
      </c>
      <c r="L269" s="11" t="s">
        <v>1879</v>
      </c>
      <c r="M269" s="11">
        <v>1.0</v>
      </c>
      <c r="N269" s="11" t="s">
        <v>1951</v>
      </c>
    </row>
    <row r="270">
      <c r="A270" s="11">
        <v>-38.6622657775878</v>
      </c>
      <c r="B270" s="11">
        <v>41.3735656738281</v>
      </c>
      <c r="C270" s="11">
        <v>-2.0</v>
      </c>
      <c r="D270" s="11" t="s">
        <v>1061</v>
      </c>
      <c r="E270" s="11">
        <v>-2.0</v>
      </c>
      <c r="F270" s="11" t="s">
        <v>1310</v>
      </c>
      <c r="I270" s="11">
        <v>45.1027221679687</v>
      </c>
      <c r="J270" s="11">
        <v>-14.4883365631103</v>
      </c>
      <c r="K270" s="11">
        <v>-2.0</v>
      </c>
      <c r="L270" s="11" t="s">
        <v>1879</v>
      </c>
      <c r="M270" s="11">
        <v>-2.0</v>
      </c>
      <c r="N270" s="11" t="s">
        <v>1953</v>
      </c>
    </row>
    <row r="271">
      <c r="A271" s="11">
        <v>-32.8495483398437</v>
      </c>
      <c r="B271" s="11">
        <v>9.98625469207763</v>
      </c>
      <c r="C271" s="11">
        <v>0.0</v>
      </c>
      <c r="D271" s="11" t="s">
        <v>1061</v>
      </c>
      <c r="E271" s="11">
        <v>0.0</v>
      </c>
      <c r="F271" s="11" t="s">
        <v>1311</v>
      </c>
      <c r="I271" s="11">
        <v>-6.64510631561279</v>
      </c>
      <c r="J271" s="11">
        <v>-14.544955253601</v>
      </c>
      <c r="K271" s="11">
        <v>0.0</v>
      </c>
      <c r="L271" s="11" t="s">
        <v>1879</v>
      </c>
      <c r="M271" s="11">
        <v>0.0</v>
      </c>
      <c r="N271" s="11" t="s">
        <v>1955</v>
      </c>
    </row>
    <row r="272">
      <c r="A272" s="11">
        <v>18.6543216705322</v>
      </c>
      <c r="B272" s="11">
        <v>-20.4312801361084</v>
      </c>
      <c r="C272" s="11">
        <v>0.0</v>
      </c>
      <c r="D272" s="11" t="s">
        <v>1061</v>
      </c>
      <c r="E272" s="11">
        <v>0.0</v>
      </c>
      <c r="F272" s="11" t="s">
        <v>1312</v>
      </c>
      <c r="I272" s="11">
        <v>-30.5035018920898</v>
      </c>
      <c r="J272" s="11">
        <v>-9.03514862060546</v>
      </c>
      <c r="K272" s="11">
        <v>0.0</v>
      </c>
      <c r="L272" s="11" t="s">
        <v>1879</v>
      </c>
      <c r="M272" s="11">
        <v>0.0</v>
      </c>
      <c r="N272" s="11" t="s">
        <v>1957</v>
      </c>
    </row>
    <row r="273">
      <c r="A273" s="11">
        <v>-33.4385757446289</v>
      </c>
      <c r="B273" s="11">
        <v>3.40788435935974</v>
      </c>
      <c r="C273" s="11">
        <v>0.0</v>
      </c>
      <c r="D273" s="11" t="s">
        <v>1061</v>
      </c>
      <c r="E273" s="11">
        <v>0.0</v>
      </c>
      <c r="F273" s="11" t="s">
        <v>1313</v>
      </c>
      <c r="I273" s="11">
        <v>-1.65266275405883</v>
      </c>
      <c r="J273" s="11">
        <v>-11.2878627777099</v>
      </c>
      <c r="K273" s="11">
        <v>0.0</v>
      </c>
      <c r="L273" s="11" t="s">
        <v>1879</v>
      </c>
      <c r="M273" s="11">
        <v>0.0</v>
      </c>
      <c r="N273" s="11" t="s">
        <v>1959</v>
      </c>
    </row>
    <row r="274">
      <c r="A274" s="11">
        <v>-34.3024253845214</v>
      </c>
      <c r="B274" s="11">
        <v>-12.0008106231689</v>
      </c>
      <c r="C274" s="11">
        <v>0.0</v>
      </c>
      <c r="D274" s="11" t="s">
        <v>1061</v>
      </c>
      <c r="E274" s="11">
        <v>0.0</v>
      </c>
      <c r="F274" s="11" t="s">
        <v>1314</v>
      </c>
      <c r="I274" s="11">
        <v>-4.70208549499511</v>
      </c>
      <c r="J274" s="11">
        <v>-9.13609218597412</v>
      </c>
      <c r="K274" s="11">
        <v>0.0</v>
      </c>
      <c r="L274" s="11" t="s">
        <v>1879</v>
      </c>
      <c r="M274" s="11">
        <v>0.0</v>
      </c>
      <c r="N274" s="11" t="s">
        <v>1961</v>
      </c>
    </row>
    <row r="275">
      <c r="A275" s="11">
        <v>25.7442893981933</v>
      </c>
      <c r="B275" s="11">
        <v>32.2807006835937</v>
      </c>
      <c r="C275" s="11">
        <v>2.0</v>
      </c>
      <c r="D275" s="11" t="s">
        <v>1061</v>
      </c>
      <c r="E275" s="11">
        <v>2.0</v>
      </c>
      <c r="F275" s="11" t="s">
        <v>1315</v>
      </c>
      <c r="I275" s="11">
        <v>-24.5057773590087</v>
      </c>
      <c r="J275" s="11">
        <v>-7.01181650161743</v>
      </c>
      <c r="K275" s="11">
        <v>0.0</v>
      </c>
      <c r="L275" s="11" t="s">
        <v>1879</v>
      </c>
      <c r="M275" s="11">
        <v>0.0</v>
      </c>
      <c r="N275" s="11" t="s">
        <v>1963</v>
      </c>
    </row>
    <row r="276">
      <c r="A276" s="11">
        <v>31.4134769439697</v>
      </c>
      <c r="B276" s="11">
        <v>25.5706233978271</v>
      </c>
      <c r="C276" s="11">
        <v>2.0</v>
      </c>
      <c r="D276" s="11" t="s">
        <v>1061</v>
      </c>
      <c r="E276" s="11">
        <v>2.0</v>
      </c>
      <c r="F276" s="11" t="s">
        <v>1964</v>
      </c>
      <c r="I276" s="11">
        <v>47.7781372070312</v>
      </c>
      <c r="J276" s="11">
        <v>-20.4350624084472</v>
      </c>
      <c r="K276" s="11">
        <v>-2.0</v>
      </c>
      <c r="L276" s="11" t="s">
        <v>1879</v>
      </c>
      <c r="M276" s="11">
        <v>-2.0</v>
      </c>
      <c r="N276" s="11" t="s">
        <v>1966</v>
      </c>
    </row>
    <row r="277">
      <c r="A277" s="11">
        <v>-11.1357669830322</v>
      </c>
      <c r="B277" s="11">
        <v>-13.6963291168212</v>
      </c>
      <c r="C277" s="11">
        <v>0.0</v>
      </c>
      <c r="D277" s="11" t="s">
        <v>1061</v>
      </c>
      <c r="E277" s="11">
        <v>0.0</v>
      </c>
      <c r="F277" s="11" t="s">
        <v>1316</v>
      </c>
      <c r="I277" s="11">
        <v>44.3952140808105</v>
      </c>
      <c r="J277" s="11">
        <v>-0.0413109734654426</v>
      </c>
      <c r="K277" s="11">
        <v>0.0</v>
      </c>
      <c r="L277" s="11" t="s">
        <v>1879</v>
      </c>
      <c r="M277" s="11">
        <v>0.0</v>
      </c>
      <c r="N277" s="11" t="s">
        <v>1968</v>
      </c>
    </row>
    <row r="278">
      <c r="A278" s="11">
        <v>-20.3363018035888</v>
      </c>
      <c r="B278" s="11">
        <v>-12.7045164108276</v>
      </c>
      <c r="C278" s="11">
        <v>0.0</v>
      </c>
      <c r="D278" s="11" t="s">
        <v>1061</v>
      </c>
      <c r="E278" s="11">
        <v>0.0</v>
      </c>
      <c r="F278" s="11" t="s">
        <v>1317</v>
      </c>
      <c r="I278" s="11">
        <v>39.8557968139648</v>
      </c>
      <c r="J278" s="11">
        <v>-10.6992149353027</v>
      </c>
      <c r="K278" s="11">
        <v>-1.0</v>
      </c>
      <c r="L278" s="11" t="s">
        <v>1879</v>
      </c>
      <c r="M278" s="11">
        <v>-1.0</v>
      </c>
      <c r="N278" s="11" t="s">
        <v>1970</v>
      </c>
    </row>
    <row r="279">
      <c r="A279" s="11">
        <v>32.45796585083</v>
      </c>
      <c r="B279" s="11">
        <v>17.2977504730224</v>
      </c>
      <c r="C279" s="11">
        <v>2.0</v>
      </c>
      <c r="D279" s="11" t="s">
        <v>1061</v>
      </c>
      <c r="E279" s="11">
        <v>2.0</v>
      </c>
      <c r="F279" s="11" t="s">
        <v>1971</v>
      </c>
      <c r="I279" s="11">
        <v>-16.4536514282226</v>
      </c>
      <c r="J279" s="11">
        <v>-13.799593925476</v>
      </c>
      <c r="K279" s="11">
        <v>0.0</v>
      </c>
      <c r="L279" s="11" t="s">
        <v>1879</v>
      </c>
      <c r="M279" s="11">
        <v>0.0</v>
      </c>
      <c r="N279" s="11" t="s">
        <v>1972</v>
      </c>
    </row>
    <row r="280">
      <c r="A280" s="11">
        <v>-29.6065788269042</v>
      </c>
      <c r="B280" s="11">
        <v>-4.01556491851806</v>
      </c>
      <c r="C280" s="11">
        <v>0.0</v>
      </c>
      <c r="D280" s="11" t="s">
        <v>1061</v>
      </c>
      <c r="E280" s="11">
        <v>0.0</v>
      </c>
      <c r="F280" s="11" t="s">
        <v>1318</v>
      </c>
      <c r="I280" s="11">
        <v>-17.8400001525878</v>
      </c>
      <c r="J280" s="11">
        <v>-13.6514520645141</v>
      </c>
      <c r="K280" s="11">
        <v>0.0</v>
      </c>
      <c r="L280" s="11" t="s">
        <v>1879</v>
      </c>
      <c r="M280" s="11">
        <v>0.0</v>
      </c>
      <c r="N280" s="11" t="s">
        <v>1974</v>
      </c>
    </row>
    <row r="281">
      <c r="A281" s="11">
        <v>-38.6622657775878</v>
      </c>
      <c r="B281" s="11">
        <v>41.3735656738281</v>
      </c>
      <c r="C281" s="11">
        <v>-2.0</v>
      </c>
      <c r="D281" s="11" t="s">
        <v>1061</v>
      </c>
      <c r="E281" s="11">
        <v>-2.0</v>
      </c>
      <c r="F281" s="11" t="s">
        <v>1319</v>
      </c>
      <c r="I281" s="11">
        <v>-29.5429344177246</v>
      </c>
      <c r="J281" s="11">
        <v>-9.30645179748535</v>
      </c>
      <c r="K281" s="11">
        <v>0.0</v>
      </c>
      <c r="L281" s="11" t="s">
        <v>1879</v>
      </c>
      <c r="M281" s="11">
        <v>0.0</v>
      </c>
      <c r="N281" s="11" t="s">
        <v>1976</v>
      </c>
    </row>
    <row r="282">
      <c r="A282" s="11">
        <v>12.9101343154907</v>
      </c>
      <c r="B282" s="11">
        <v>-3.83215475082397</v>
      </c>
      <c r="C282" s="11">
        <v>0.0</v>
      </c>
      <c r="D282" s="11" t="s">
        <v>1061</v>
      </c>
      <c r="E282" s="11">
        <v>0.0</v>
      </c>
      <c r="F282" s="11" t="s">
        <v>1320</v>
      </c>
      <c r="I282" s="11">
        <v>-21.0865097045898</v>
      </c>
      <c r="J282" s="11">
        <v>-14.3250637054443</v>
      </c>
      <c r="K282" s="11">
        <v>0.0</v>
      </c>
      <c r="L282" s="11" t="s">
        <v>1879</v>
      </c>
      <c r="M282" s="11">
        <v>0.0</v>
      </c>
      <c r="N282" s="11" t="s">
        <v>1978</v>
      </c>
    </row>
    <row r="283">
      <c r="A283" s="11">
        <v>-40.3063354492187</v>
      </c>
      <c r="B283" s="11">
        <v>-1.04536306858062</v>
      </c>
      <c r="C283" s="11">
        <v>-1.0</v>
      </c>
      <c r="D283" s="11" t="s">
        <v>1061</v>
      </c>
      <c r="E283" s="11">
        <v>-1.0</v>
      </c>
      <c r="F283" s="11" t="s">
        <v>1321</v>
      </c>
      <c r="I283" s="11">
        <v>7.20155525207519</v>
      </c>
      <c r="J283" s="11">
        <v>17.5667552947998</v>
      </c>
      <c r="K283" s="11">
        <v>0.0</v>
      </c>
      <c r="L283" s="11" t="s">
        <v>1879</v>
      </c>
      <c r="M283" s="11">
        <v>0.0</v>
      </c>
      <c r="N283" s="11" t="s">
        <v>1979</v>
      </c>
    </row>
    <row r="284">
      <c r="A284" s="11">
        <v>-16.8297157287597</v>
      </c>
      <c r="B284" s="11">
        <v>4.65498399734497</v>
      </c>
      <c r="C284" s="11">
        <v>0.0</v>
      </c>
      <c r="D284" s="11" t="s">
        <v>1061</v>
      </c>
      <c r="E284" s="11">
        <v>0.0</v>
      </c>
      <c r="F284" s="11" t="s">
        <v>1322</v>
      </c>
      <c r="I284" s="11">
        <v>20.7005081176757</v>
      </c>
      <c r="J284" s="11">
        <v>2.58898544311523</v>
      </c>
      <c r="K284" s="11">
        <v>0.0</v>
      </c>
      <c r="L284" s="11" t="s">
        <v>1879</v>
      </c>
      <c r="M284" s="11">
        <v>0.0</v>
      </c>
      <c r="N284" s="11" t="s">
        <v>1981</v>
      </c>
    </row>
    <row r="285">
      <c r="A285" s="11">
        <v>-22.4540710449218</v>
      </c>
      <c r="B285" s="11">
        <v>24.6284847259521</v>
      </c>
      <c r="C285" s="11">
        <v>-1.0</v>
      </c>
      <c r="D285" s="11" t="s">
        <v>1061</v>
      </c>
      <c r="E285" s="11">
        <v>-1.0</v>
      </c>
      <c r="F285" s="11" t="s">
        <v>1323</v>
      </c>
      <c r="I285" s="11">
        <v>-19.8783130645751</v>
      </c>
      <c r="J285" s="11">
        <v>36.0048751831054</v>
      </c>
      <c r="K285" s="11">
        <v>1.0</v>
      </c>
      <c r="L285" s="11" t="s">
        <v>1879</v>
      </c>
      <c r="M285" s="11">
        <v>1.0</v>
      </c>
      <c r="N285" s="11" t="s">
        <v>1983</v>
      </c>
    </row>
    <row r="286">
      <c r="A286" s="11">
        <v>-28.1346836090087</v>
      </c>
      <c r="B286" s="11">
        <v>31.5293216705322</v>
      </c>
      <c r="C286" s="11">
        <v>0.0</v>
      </c>
      <c r="D286" s="11" t="s">
        <v>1061</v>
      </c>
      <c r="E286" s="11">
        <v>0.0</v>
      </c>
      <c r="F286" s="11" t="s">
        <v>1324</v>
      </c>
      <c r="I286" s="11">
        <v>-2.94055724143981</v>
      </c>
      <c r="J286" s="11">
        <v>-13.6403369903564</v>
      </c>
      <c r="K286" s="11">
        <v>0.0</v>
      </c>
      <c r="L286" s="11" t="s">
        <v>1879</v>
      </c>
      <c r="M286" s="11">
        <v>0.0</v>
      </c>
      <c r="N286" s="11" t="s">
        <v>1984</v>
      </c>
    </row>
    <row r="287">
      <c r="A287" s="11">
        <v>-32.2568054199218</v>
      </c>
      <c r="B287" s="11">
        <v>18.062120437622</v>
      </c>
      <c r="C287" s="11">
        <v>-1.0</v>
      </c>
      <c r="D287" s="11" t="s">
        <v>1061</v>
      </c>
      <c r="E287" s="11">
        <v>-1.0</v>
      </c>
      <c r="F287" s="11" t="s">
        <v>1325</v>
      </c>
      <c r="I287" s="11">
        <v>-33.1122131347656</v>
      </c>
      <c r="J287" s="11">
        <v>-10.8776378631591</v>
      </c>
      <c r="K287" s="11">
        <v>1.0</v>
      </c>
      <c r="L287" s="11" t="s">
        <v>1879</v>
      </c>
      <c r="M287" s="11">
        <v>1.0</v>
      </c>
      <c r="N287" s="11" t="s">
        <v>1986</v>
      </c>
    </row>
    <row r="288">
      <c r="A288" s="11">
        <v>12.9473781585693</v>
      </c>
      <c r="B288" s="11">
        <v>-10.6434888839721</v>
      </c>
      <c r="C288" s="11">
        <v>0.0</v>
      </c>
      <c r="D288" s="11" t="s">
        <v>1061</v>
      </c>
      <c r="E288" s="11">
        <v>0.0</v>
      </c>
      <c r="F288" s="11" t="s">
        <v>1326</v>
      </c>
      <c r="I288" s="11">
        <v>51.1338996887207</v>
      </c>
      <c r="J288" s="11">
        <v>-19.6838493347167</v>
      </c>
      <c r="K288" s="11">
        <v>-2.0</v>
      </c>
      <c r="L288" s="11" t="s">
        <v>1879</v>
      </c>
      <c r="M288" s="11">
        <v>-2.0</v>
      </c>
      <c r="N288" s="11" t="s">
        <v>1988</v>
      </c>
    </row>
    <row r="289">
      <c r="A289" s="11">
        <v>-39.1138725280761</v>
      </c>
      <c r="B289" s="11">
        <v>8.62305641174316</v>
      </c>
      <c r="C289" s="11">
        <v>0.0</v>
      </c>
      <c r="D289" s="11" t="s">
        <v>1061</v>
      </c>
      <c r="E289" s="11">
        <v>0.0</v>
      </c>
      <c r="F289" s="11" t="s">
        <v>1327</v>
      </c>
      <c r="I289" s="11">
        <v>-21.0865097045898</v>
      </c>
      <c r="J289" s="11">
        <v>-14.3250637054443</v>
      </c>
      <c r="K289" s="11">
        <v>0.0</v>
      </c>
      <c r="L289" s="11" t="s">
        <v>1879</v>
      </c>
      <c r="M289" s="11">
        <v>0.0</v>
      </c>
      <c r="N289" s="11" t="s">
        <v>1989</v>
      </c>
    </row>
    <row r="290">
      <c r="A290" s="11">
        <v>40.021484375</v>
      </c>
      <c r="B290" s="11">
        <v>-9.80569458007812</v>
      </c>
      <c r="C290" s="11">
        <v>0.0</v>
      </c>
      <c r="D290" s="11" t="s">
        <v>1061</v>
      </c>
      <c r="E290" s="11">
        <v>0.0</v>
      </c>
      <c r="F290" s="11" t="s">
        <v>1328</v>
      </c>
      <c r="I290" s="11">
        <v>-19.0745429992675</v>
      </c>
      <c r="J290" s="11">
        <v>36.6639175415039</v>
      </c>
      <c r="K290" s="11">
        <v>1.0</v>
      </c>
      <c r="L290" s="11" t="s">
        <v>1879</v>
      </c>
      <c r="M290" s="11">
        <v>1.0</v>
      </c>
      <c r="N290" s="11" t="s">
        <v>1991</v>
      </c>
    </row>
    <row r="291">
      <c r="A291" s="11">
        <v>21.0573043823242</v>
      </c>
      <c r="B291" s="11">
        <v>-28.9201946258544</v>
      </c>
      <c r="C291" s="11">
        <v>0.0</v>
      </c>
      <c r="D291" s="11" t="s">
        <v>1061</v>
      </c>
      <c r="E291" s="11">
        <v>0.0</v>
      </c>
      <c r="F291" s="11" t="s">
        <v>1329</v>
      </c>
      <c r="I291" s="11">
        <v>15.2805061340332</v>
      </c>
      <c r="J291" s="11">
        <v>-0.367668360471725</v>
      </c>
      <c r="K291" s="11">
        <v>0.0</v>
      </c>
      <c r="L291" s="11" t="s">
        <v>1879</v>
      </c>
      <c r="M291" s="11">
        <v>0.0</v>
      </c>
      <c r="N291" s="11" t="s">
        <v>1993</v>
      </c>
    </row>
    <row r="292">
      <c r="A292" s="11">
        <v>-14.4446811676025</v>
      </c>
      <c r="B292" s="11">
        <v>-4.77721691131591</v>
      </c>
      <c r="C292" s="11">
        <v>0.0</v>
      </c>
      <c r="D292" s="11" t="s">
        <v>1061</v>
      </c>
      <c r="E292" s="11">
        <v>0.0</v>
      </c>
      <c r="F292" s="11" t="s">
        <v>1330</v>
      </c>
      <c r="I292" s="11">
        <v>-7.16804933547973</v>
      </c>
      <c r="J292" s="11">
        <v>-16.1112785339355</v>
      </c>
      <c r="K292" s="11">
        <v>0.0</v>
      </c>
      <c r="L292" s="11" t="s">
        <v>1879</v>
      </c>
      <c r="M292" s="11">
        <v>0.0</v>
      </c>
      <c r="N292" s="11" t="s">
        <v>1995</v>
      </c>
    </row>
    <row r="293">
      <c r="A293" s="11">
        <v>29.7314720153808</v>
      </c>
      <c r="B293" s="11">
        <v>28.6359710693359</v>
      </c>
      <c r="C293" s="11">
        <v>2.0</v>
      </c>
      <c r="D293" s="11" t="s">
        <v>1061</v>
      </c>
      <c r="E293" s="11">
        <v>2.0</v>
      </c>
      <c r="F293" s="11" t="s">
        <v>1331</v>
      </c>
      <c r="I293" s="11">
        <v>-18.0410442352294</v>
      </c>
      <c r="J293" s="11">
        <v>35.8320846557617</v>
      </c>
      <c r="K293" s="11">
        <v>1.0</v>
      </c>
      <c r="L293" s="11" t="s">
        <v>1879</v>
      </c>
      <c r="M293" s="11">
        <v>1.0</v>
      </c>
      <c r="N293" s="11" t="s">
        <v>1997</v>
      </c>
    </row>
    <row r="294">
      <c r="A294" s="11">
        <v>-33.9678192138671</v>
      </c>
      <c r="B294" s="11">
        <v>5.337815284729</v>
      </c>
      <c r="C294" s="11">
        <v>0.0</v>
      </c>
      <c r="D294" s="11" t="s">
        <v>1061</v>
      </c>
      <c r="E294" s="11">
        <v>0.0</v>
      </c>
      <c r="F294" s="11" t="s">
        <v>1332</v>
      </c>
      <c r="I294" s="11">
        <v>20.9449729919433</v>
      </c>
      <c r="J294" s="11">
        <v>1.98137199878692</v>
      </c>
      <c r="K294" s="11">
        <v>0.0</v>
      </c>
      <c r="L294" s="11" t="s">
        <v>1879</v>
      </c>
      <c r="M294" s="11">
        <v>0.0</v>
      </c>
      <c r="N294" s="11" t="s">
        <v>1999</v>
      </c>
    </row>
    <row r="295">
      <c r="A295" s="11">
        <v>37.0943336486816</v>
      </c>
      <c r="B295" s="11">
        <v>-20.3852405548095</v>
      </c>
      <c r="C295" s="11">
        <v>0.0</v>
      </c>
      <c r="D295" s="11" t="s">
        <v>1061</v>
      </c>
      <c r="E295" s="11">
        <v>0.0</v>
      </c>
      <c r="F295" s="11" t="s">
        <v>1333</v>
      </c>
      <c r="I295" s="11">
        <v>44.3188934326171</v>
      </c>
      <c r="J295" s="11">
        <v>-2.89839243888855</v>
      </c>
      <c r="K295" s="11">
        <v>-1.0</v>
      </c>
      <c r="L295" s="11" t="s">
        <v>1879</v>
      </c>
      <c r="M295" s="11">
        <v>-1.0</v>
      </c>
      <c r="N295" s="11" t="s">
        <v>2001</v>
      </c>
    </row>
    <row r="296">
      <c r="A296" s="11">
        <v>-39.8516616821289</v>
      </c>
      <c r="B296" s="11">
        <v>7.80880403518676</v>
      </c>
      <c r="C296" s="11">
        <v>0.0</v>
      </c>
      <c r="D296" s="11" t="s">
        <v>1061</v>
      </c>
      <c r="E296" s="11">
        <v>0.0</v>
      </c>
      <c r="F296" s="11" t="s">
        <v>1334</v>
      </c>
      <c r="I296" s="11">
        <v>5.98566913604736</v>
      </c>
      <c r="J296" s="11">
        <v>-4.22115230560302</v>
      </c>
      <c r="K296" s="11">
        <v>0.0</v>
      </c>
      <c r="L296" s="11" t="s">
        <v>1879</v>
      </c>
      <c r="M296" s="11">
        <v>0.0</v>
      </c>
      <c r="N296" s="11" t="s">
        <v>2003</v>
      </c>
    </row>
    <row r="297">
      <c r="A297" s="11">
        <v>38.320743560791</v>
      </c>
      <c r="B297" s="11">
        <v>17.7840976715087</v>
      </c>
      <c r="C297" s="11">
        <v>2.0</v>
      </c>
      <c r="D297" s="11" t="s">
        <v>1061</v>
      </c>
      <c r="E297" s="11">
        <v>2.0</v>
      </c>
      <c r="F297" s="11" t="s">
        <v>1335</v>
      </c>
      <c r="I297" s="11">
        <v>-16.4536514282226</v>
      </c>
      <c r="J297" s="11">
        <v>-13.799593925476</v>
      </c>
      <c r="K297" s="11">
        <v>0.0</v>
      </c>
      <c r="L297" s="11" t="s">
        <v>1879</v>
      </c>
      <c r="M297" s="11">
        <v>0.0</v>
      </c>
      <c r="N297" s="11" t="s">
        <v>2005</v>
      </c>
    </row>
    <row r="298">
      <c r="A298" s="11">
        <v>-41.7521018981933</v>
      </c>
      <c r="B298" s="11">
        <v>28.2891845703125</v>
      </c>
      <c r="C298" s="11">
        <v>0.0</v>
      </c>
      <c r="D298" s="11" t="s">
        <v>1061</v>
      </c>
      <c r="E298" s="11">
        <v>0.0</v>
      </c>
      <c r="F298" s="11" t="s">
        <v>1336</v>
      </c>
      <c r="I298" s="11">
        <v>-26.0974311828613</v>
      </c>
      <c r="J298" s="11">
        <v>-9.1039981842041</v>
      </c>
      <c r="K298" s="11">
        <v>0.0</v>
      </c>
      <c r="L298" s="11" t="s">
        <v>1879</v>
      </c>
      <c r="M298" s="11">
        <v>0.0</v>
      </c>
      <c r="N298" s="11" t="s">
        <v>2007</v>
      </c>
    </row>
    <row r="299">
      <c r="A299" s="11">
        <v>26.0510330200195</v>
      </c>
      <c r="B299" s="11">
        <v>-24.7683067321777</v>
      </c>
      <c r="C299" s="11">
        <v>0.0</v>
      </c>
      <c r="D299" s="11" t="s">
        <v>1061</v>
      </c>
      <c r="E299" s="11">
        <v>0.0</v>
      </c>
      <c r="F299" s="11" t="s">
        <v>1337</v>
      </c>
      <c r="I299" s="11">
        <v>29.6692352294921</v>
      </c>
      <c r="J299" s="11">
        <v>-3.24913525581359</v>
      </c>
      <c r="K299" s="11">
        <v>0.0</v>
      </c>
      <c r="L299" s="11" t="s">
        <v>1879</v>
      </c>
      <c r="M299" s="11">
        <v>0.0</v>
      </c>
      <c r="N299" s="11" t="s">
        <v>2009</v>
      </c>
    </row>
    <row r="300">
      <c r="A300" s="11">
        <v>-34.7223625183105</v>
      </c>
      <c r="B300" s="11">
        <v>-5.09573173522949</v>
      </c>
      <c r="C300" s="11">
        <v>0.0</v>
      </c>
      <c r="D300" s="11" t="s">
        <v>1061</v>
      </c>
      <c r="E300" s="11">
        <v>0.0</v>
      </c>
      <c r="F300" s="11" t="s">
        <v>1338</v>
      </c>
      <c r="I300" s="11">
        <v>3.39058494567871</v>
      </c>
      <c r="J300" s="11">
        <v>-6.20138692855835</v>
      </c>
      <c r="K300" s="11">
        <v>0.0</v>
      </c>
      <c r="L300" s="11" t="s">
        <v>1879</v>
      </c>
      <c r="M300" s="11">
        <v>0.0</v>
      </c>
      <c r="N300" s="11" t="s">
        <v>2011</v>
      </c>
    </row>
    <row r="301">
      <c r="A301" s="11">
        <v>-40.2210311889648</v>
      </c>
      <c r="B301" s="11">
        <v>-0.435093075037002</v>
      </c>
      <c r="C301" s="11">
        <v>0.0</v>
      </c>
      <c r="D301" s="11" t="s">
        <v>1061</v>
      </c>
      <c r="E301" s="11">
        <v>0.0</v>
      </c>
      <c r="F301" s="11" t="s">
        <v>1339</v>
      </c>
      <c r="I301" s="11">
        <v>-26.0974311828613</v>
      </c>
      <c r="J301" s="11">
        <v>-9.1039981842041</v>
      </c>
      <c r="K301" s="11">
        <v>0.0</v>
      </c>
      <c r="L301" s="11" t="s">
        <v>1879</v>
      </c>
      <c r="M301" s="11">
        <v>0.0</v>
      </c>
      <c r="N301" s="11" t="s">
        <v>2012</v>
      </c>
    </row>
    <row r="302">
      <c r="A302" s="11">
        <v>-13.3907594680786</v>
      </c>
      <c r="B302" s="11">
        <v>-3.24225068092346</v>
      </c>
      <c r="C302" s="11">
        <v>0.0</v>
      </c>
      <c r="D302" s="11" t="s">
        <v>1061</v>
      </c>
      <c r="E302" s="11">
        <v>0.0</v>
      </c>
      <c r="F302" s="11" t="s">
        <v>1340</v>
      </c>
      <c r="I302" s="11">
        <v>48.0871887207031</v>
      </c>
      <c r="J302" s="11">
        <v>-21.3229694366455</v>
      </c>
      <c r="K302" s="11">
        <v>-2.0</v>
      </c>
      <c r="L302" s="11" t="s">
        <v>1879</v>
      </c>
      <c r="M302" s="11">
        <v>-2.0</v>
      </c>
      <c r="N302" s="11" t="s">
        <v>2014</v>
      </c>
    </row>
    <row r="303">
      <c r="A303" s="11">
        <v>18.0378017425537</v>
      </c>
      <c r="B303" s="11">
        <v>-32.1878395080566</v>
      </c>
      <c r="C303" s="11">
        <v>0.0</v>
      </c>
      <c r="D303" s="11" t="s">
        <v>1061</v>
      </c>
      <c r="E303" s="11">
        <v>0.0</v>
      </c>
      <c r="F303" s="11" t="s">
        <v>1341</v>
      </c>
      <c r="I303" s="11">
        <v>-18.8637943267822</v>
      </c>
      <c r="J303" s="11">
        <v>-8.14550113677978</v>
      </c>
      <c r="K303" s="11">
        <v>0.0</v>
      </c>
      <c r="L303" s="11" t="s">
        <v>1879</v>
      </c>
      <c r="M303" s="11">
        <v>0.0</v>
      </c>
      <c r="N303" s="11" t="s">
        <v>2016</v>
      </c>
    </row>
    <row r="304">
      <c r="A304" s="11">
        <v>22.9467468261718</v>
      </c>
      <c r="B304" s="11">
        <v>32.1070709228515</v>
      </c>
      <c r="C304" s="11">
        <v>2.0</v>
      </c>
      <c r="D304" s="11" t="s">
        <v>1061</v>
      </c>
      <c r="E304" s="11">
        <v>2.0</v>
      </c>
      <c r="F304" s="11" t="s">
        <v>1342</v>
      </c>
      <c r="I304" s="11">
        <v>-32.3485374450683</v>
      </c>
      <c r="J304" s="11">
        <v>-10.9305391311645</v>
      </c>
      <c r="K304" s="11">
        <v>1.0</v>
      </c>
      <c r="L304" s="11" t="s">
        <v>1879</v>
      </c>
      <c r="M304" s="11">
        <v>1.0</v>
      </c>
      <c r="N304" s="11" t="s">
        <v>2018</v>
      </c>
    </row>
    <row r="305">
      <c r="A305" s="11">
        <v>21.1942882537841</v>
      </c>
      <c r="B305" s="11">
        <v>-28.0357704162597</v>
      </c>
      <c r="C305" s="11">
        <v>0.0</v>
      </c>
      <c r="D305" s="11" t="s">
        <v>1061</v>
      </c>
      <c r="E305" s="11">
        <v>0.0</v>
      </c>
      <c r="F305" s="11" t="s">
        <v>1343</v>
      </c>
      <c r="I305" s="11">
        <v>7.92459917068481</v>
      </c>
      <c r="J305" s="11">
        <v>-4.32765436172485</v>
      </c>
      <c r="K305" s="11">
        <v>0.0</v>
      </c>
      <c r="L305" s="11" t="s">
        <v>1879</v>
      </c>
      <c r="M305" s="11">
        <v>0.0</v>
      </c>
      <c r="N305" s="11" t="s">
        <v>2020</v>
      </c>
    </row>
    <row r="306">
      <c r="A306" s="11">
        <v>21.2197532653808</v>
      </c>
      <c r="B306" s="11">
        <v>-6.0738296508789</v>
      </c>
      <c r="C306" s="11">
        <v>0.0</v>
      </c>
      <c r="D306" s="11" t="s">
        <v>1061</v>
      </c>
      <c r="E306" s="11">
        <v>0.0</v>
      </c>
      <c r="F306" s="11" t="s">
        <v>1344</v>
      </c>
      <c r="I306" s="11">
        <v>18.3624420166015</v>
      </c>
      <c r="J306" s="11">
        <v>-2.17421460151672</v>
      </c>
      <c r="K306" s="11">
        <v>0.0</v>
      </c>
      <c r="L306" s="11" t="s">
        <v>1879</v>
      </c>
      <c r="M306" s="11">
        <v>0.0</v>
      </c>
      <c r="N306" s="11" t="s">
        <v>2022</v>
      </c>
    </row>
    <row r="307">
      <c r="A307" s="11">
        <v>23.9664402008056</v>
      </c>
      <c r="B307" s="11">
        <v>32.2415771484375</v>
      </c>
      <c r="C307" s="11">
        <v>2.0</v>
      </c>
      <c r="D307" s="11" t="s">
        <v>1061</v>
      </c>
      <c r="E307" s="11">
        <v>2.0</v>
      </c>
      <c r="F307" s="11" t="s">
        <v>1345</v>
      </c>
      <c r="I307" s="11">
        <v>20.0472679138183</v>
      </c>
      <c r="J307" s="11">
        <v>1.51409339904785</v>
      </c>
      <c r="K307" s="11">
        <v>0.0</v>
      </c>
      <c r="L307" s="11" t="s">
        <v>1879</v>
      </c>
      <c r="M307" s="11">
        <v>0.0</v>
      </c>
      <c r="N307" s="11" t="s">
        <v>2024</v>
      </c>
    </row>
    <row r="308">
      <c r="A308" s="11">
        <v>-12.2069063186645</v>
      </c>
      <c r="B308" s="11">
        <v>-13.3470039367675</v>
      </c>
      <c r="C308" s="11">
        <v>0.0</v>
      </c>
      <c r="D308" s="11" t="s">
        <v>1061</v>
      </c>
      <c r="E308" s="11">
        <v>0.0</v>
      </c>
      <c r="F308" s="11" t="s">
        <v>1346</v>
      </c>
      <c r="I308" s="11">
        <v>-19.0745429992675</v>
      </c>
      <c r="J308" s="11">
        <v>36.6639175415039</v>
      </c>
      <c r="K308" s="11">
        <v>1.0</v>
      </c>
      <c r="L308" s="11" t="s">
        <v>1879</v>
      </c>
      <c r="M308" s="11">
        <v>1.0</v>
      </c>
      <c r="N308" s="11" t="s">
        <v>2026</v>
      </c>
    </row>
    <row r="309">
      <c r="A309" s="11">
        <v>25.0791969299316</v>
      </c>
      <c r="B309" s="11">
        <v>-23.1638126373291</v>
      </c>
      <c r="C309" s="11">
        <v>0.0</v>
      </c>
      <c r="D309" s="11" t="s">
        <v>1061</v>
      </c>
      <c r="E309" s="11">
        <v>0.0</v>
      </c>
      <c r="F309" s="11" t="s">
        <v>2028</v>
      </c>
      <c r="I309" s="11">
        <v>7.82480335235595</v>
      </c>
      <c r="J309" s="11">
        <v>-10.957251548767</v>
      </c>
      <c r="K309" s="11">
        <v>0.0</v>
      </c>
      <c r="L309" s="11" t="s">
        <v>1879</v>
      </c>
      <c r="M309" s="11">
        <v>0.0</v>
      </c>
      <c r="N309" s="11" t="s">
        <v>2030</v>
      </c>
    </row>
    <row r="310">
      <c r="A310" s="11">
        <v>-30.7588920593261</v>
      </c>
      <c r="B310" s="11">
        <v>4.99851846694946</v>
      </c>
      <c r="C310" s="11">
        <v>0.0</v>
      </c>
      <c r="D310" s="11" t="s">
        <v>1061</v>
      </c>
      <c r="E310" s="11">
        <v>0.0</v>
      </c>
      <c r="F310" s="11" t="s">
        <v>1347</v>
      </c>
      <c r="I310" s="11">
        <v>-5.37232303619384</v>
      </c>
      <c r="J310" s="11">
        <v>-8.38405323028564</v>
      </c>
      <c r="K310" s="11">
        <v>0.0</v>
      </c>
      <c r="L310" s="11" t="s">
        <v>1879</v>
      </c>
      <c r="M310" s="11">
        <v>0.0</v>
      </c>
      <c r="N310" s="11" t="s">
        <v>2031</v>
      </c>
    </row>
    <row r="311">
      <c r="A311" s="11">
        <v>12.4641733169555</v>
      </c>
      <c r="B311" s="11">
        <v>-17.3538455963134</v>
      </c>
      <c r="C311" s="11">
        <v>0.0</v>
      </c>
      <c r="D311" s="11" t="s">
        <v>1061</v>
      </c>
      <c r="E311" s="11">
        <v>0.0</v>
      </c>
      <c r="F311" s="11" t="s">
        <v>1348</v>
      </c>
      <c r="I311" s="11">
        <v>-15.3934917449951</v>
      </c>
      <c r="J311" s="11">
        <v>-8.67448997497558</v>
      </c>
      <c r="K311" s="11">
        <v>0.0</v>
      </c>
      <c r="L311" s="11" t="s">
        <v>1879</v>
      </c>
      <c r="M311" s="11">
        <v>0.0</v>
      </c>
      <c r="N311" s="11" t="s">
        <v>2034</v>
      </c>
    </row>
    <row r="312">
      <c r="A312" s="11">
        <v>-29.7083892822265</v>
      </c>
      <c r="B312" s="11">
        <v>-4.14963054656982</v>
      </c>
      <c r="C312" s="11">
        <v>0.0</v>
      </c>
      <c r="D312" s="11" t="s">
        <v>1061</v>
      </c>
      <c r="E312" s="11">
        <v>0.0</v>
      </c>
      <c r="F312" s="11" t="s">
        <v>1349</v>
      </c>
      <c r="I312" s="11">
        <v>-7.50909757614135</v>
      </c>
      <c r="J312" s="11">
        <v>-9.64805316925048</v>
      </c>
      <c r="K312" s="11">
        <v>0.0</v>
      </c>
      <c r="L312" s="11" t="s">
        <v>1879</v>
      </c>
      <c r="M312" s="11">
        <v>0.0</v>
      </c>
      <c r="N312" s="11" t="s">
        <v>2035</v>
      </c>
    </row>
    <row r="313">
      <c r="A313" s="11">
        <v>5.41058826446533</v>
      </c>
      <c r="B313" s="11">
        <v>-0.408007562160491</v>
      </c>
      <c r="C313" s="11">
        <v>0.0</v>
      </c>
      <c r="D313" s="11" t="s">
        <v>1061</v>
      </c>
      <c r="E313" s="11">
        <v>0.0</v>
      </c>
      <c r="F313" s="11" t="s">
        <v>1350</v>
      </c>
      <c r="I313" s="11">
        <v>-19.4269428253173</v>
      </c>
      <c r="J313" s="11">
        <v>-7.32044029235839</v>
      </c>
      <c r="K313" s="11">
        <v>0.0</v>
      </c>
      <c r="L313" s="11" t="s">
        <v>1879</v>
      </c>
      <c r="M313" s="11">
        <v>0.0</v>
      </c>
      <c r="N313" s="11" t="s">
        <v>2037</v>
      </c>
    </row>
    <row r="314">
      <c r="A314" s="11">
        <v>-35.061595916748</v>
      </c>
      <c r="B314" s="11">
        <v>18.6489925384521</v>
      </c>
      <c r="C314" s="11">
        <v>0.0</v>
      </c>
      <c r="D314" s="11" t="s">
        <v>1061</v>
      </c>
      <c r="E314" s="11">
        <v>0.0</v>
      </c>
      <c r="F314" s="11" t="s">
        <v>1351</v>
      </c>
      <c r="I314" s="11">
        <v>3.90341711044311</v>
      </c>
      <c r="J314" s="11">
        <v>-7.71242570877075</v>
      </c>
      <c r="K314" s="11">
        <v>0.0</v>
      </c>
      <c r="L314" s="11" t="s">
        <v>1879</v>
      </c>
      <c r="M314" s="11">
        <v>0.0</v>
      </c>
      <c r="N314" s="11" t="s">
        <v>2039</v>
      </c>
    </row>
    <row r="315">
      <c r="A315" s="11">
        <v>11.3982801437377</v>
      </c>
      <c r="B315" s="11">
        <v>-28.3500919342041</v>
      </c>
      <c r="C315" s="11">
        <v>0.0</v>
      </c>
      <c r="D315" s="11" t="s">
        <v>1061</v>
      </c>
      <c r="E315" s="11">
        <v>0.0</v>
      </c>
      <c r="F315" s="11" t="s">
        <v>1352</v>
      </c>
      <c r="I315" s="11">
        <v>-30.5693950653076</v>
      </c>
      <c r="J315" s="11">
        <v>-8.17376804351806</v>
      </c>
      <c r="K315" s="11">
        <v>0.0</v>
      </c>
      <c r="L315" s="11" t="s">
        <v>1879</v>
      </c>
      <c r="M315" s="11">
        <v>0.0</v>
      </c>
      <c r="N315" s="11" t="s">
        <v>2040</v>
      </c>
    </row>
    <row r="316">
      <c r="A316" s="11">
        <v>-38.5522994995117</v>
      </c>
      <c r="B316" s="11">
        <v>40.1406669616699</v>
      </c>
      <c r="C316" s="11">
        <v>-2.0</v>
      </c>
      <c r="D316" s="11" t="s">
        <v>1061</v>
      </c>
      <c r="E316" s="11">
        <v>-2.0</v>
      </c>
      <c r="F316" s="11" t="s">
        <v>1353</v>
      </c>
      <c r="I316" s="11">
        <v>-24.6660461425781</v>
      </c>
      <c r="J316" s="11">
        <v>-6.87009000778198</v>
      </c>
      <c r="K316" s="11">
        <v>0.0</v>
      </c>
      <c r="L316" s="11" t="s">
        <v>1879</v>
      </c>
      <c r="M316" s="11">
        <v>0.0</v>
      </c>
      <c r="N316" s="11" t="s">
        <v>2042</v>
      </c>
    </row>
    <row r="317">
      <c r="A317" s="11">
        <v>24.4670104980468</v>
      </c>
      <c r="B317" s="11">
        <v>39.4821624755859</v>
      </c>
      <c r="C317" s="11">
        <v>2.0</v>
      </c>
      <c r="D317" s="11" t="s">
        <v>1061</v>
      </c>
      <c r="E317" s="11">
        <v>2.0</v>
      </c>
      <c r="F317" s="11" t="s">
        <v>1354</v>
      </c>
      <c r="I317" s="11">
        <v>-25.3301277160644</v>
      </c>
      <c r="J317" s="11">
        <v>-10.4205160140991</v>
      </c>
      <c r="K317" s="11">
        <v>0.0</v>
      </c>
      <c r="L317" s="11" t="s">
        <v>1879</v>
      </c>
      <c r="M317" s="11">
        <v>0.0</v>
      </c>
      <c r="N317" s="11" t="s">
        <v>2044</v>
      </c>
    </row>
    <row r="318">
      <c r="A318" s="11">
        <v>7.29059267044067</v>
      </c>
      <c r="B318" s="11">
        <v>-1.43066370487213</v>
      </c>
      <c r="C318" s="11">
        <v>0.0</v>
      </c>
      <c r="D318" s="11" t="s">
        <v>1061</v>
      </c>
      <c r="E318" s="11">
        <v>0.0</v>
      </c>
      <c r="F318" s="11" t="s">
        <v>1355</v>
      </c>
      <c r="I318" s="11">
        <v>48.5757255554199</v>
      </c>
      <c r="J318" s="11">
        <v>-20.0099925994873</v>
      </c>
      <c r="K318" s="11">
        <v>-2.0</v>
      </c>
      <c r="L318" s="11" t="s">
        <v>1879</v>
      </c>
      <c r="M318" s="11">
        <v>-2.0</v>
      </c>
      <c r="N318" s="11" t="s">
        <v>2046</v>
      </c>
    </row>
    <row r="319">
      <c r="A319" s="11">
        <v>20.1447982788085</v>
      </c>
      <c r="B319" s="11">
        <v>-21.5837345123291</v>
      </c>
      <c r="C319" s="11">
        <v>0.0</v>
      </c>
      <c r="D319" s="11" t="s">
        <v>1061</v>
      </c>
      <c r="E319" s="11">
        <v>0.0</v>
      </c>
      <c r="F319" s="11" t="s">
        <v>1356</v>
      </c>
      <c r="I319" s="11">
        <v>-17.1940383911132</v>
      </c>
      <c r="J319" s="11">
        <v>-12.9772386550903</v>
      </c>
      <c r="K319" s="11">
        <v>0.0</v>
      </c>
      <c r="L319" s="11" t="s">
        <v>1879</v>
      </c>
      <c r="M319" s="11">
        <v>0.0</v>
      </c>
      <c r="N319" s="11" t="s">
        <v>2047</v>
      </c>
    </row>
    <row r="320">
      <c r="A320" s="11">
        <v>-13.7851066589355</v>
      </c>
      <c r="B320" s="11">
        <v>-7.29382753372192</v>
      </c>
      <c r="C320" s="11">
        <v>0.0</v>
      </c>
      <c r="D320" s="11" t="s">
        <v>1061</v>
      </c>
      <c r="E320" s="11">
        <v>0.0</v>
      </c>
      <c r="F320" s="11" t="s">
        <v>1357</v>
      </c>
      <c r="I320" s="11">
        <v>-20.7773075103759</v>
      </c>
      <c r="J320" s="11">
        <v>31.7610988616943</v>
      </c>
      <c r="K320" s="11">
        <v>1.0</v>
      </c>
      <c r="L320" s="11" t="s">
        <v>1879</v>
      </c>
      <c r="M320" s="11">
        <v>1.0</v>
      </c>
      <c r="N320" s="11" t="s">
        <v>2049</v>
      </c>
    </row>
    <row r="321">
      <c r="A321" s="11">
        <v>21.2402248382568</v>
      </c>
      <c r="B321" s="11">
        <v>-29.0848560333251</v>
      </c>
      <c r="C321" s="11">
        <v>0.0</v>
      </c>
      <c r="D321" s="11" t="s">
        <v>1061</v>
      </c>
      <c r="E321" s="11">
        <v>0.0</v>
      </c>
      <c r="F321" s="11" t="s">
        <v>1358</v>
      </c>
      <c r="I321" s="11">
        <v>-6.13388538360595</v>
      </c>
      <c r="J321" s="11">
        <v>-16.8221893310546</v>
      </c>
      <c r="K321" s="11">
        <v>0.0</v>
      </c>
      <c r="L321" s="11" t="s">
        <v>1879</v>
      </c>
      <c r="M321" s="11">
        <v>0.0</v>
      </c>
      <c r="N321" s="11" t="s">
        <v>2051</v>
      </c>
    </row>
    <row r="322">
      <c r="A322" s="11">
        <v>-17.8975162506103</v>
      </c>
      <c r="B322" s="11">
        <v>-4.19133710861206</v>
      </c>
      <c r="C322" s="11">
        <v>0.0</v>
      </c>
      <c r="D322" s="11" t="s">
        <v>1061</v>
      </c>
      <c r="E322" s="11">
        <v>0.0</v>
      </c>
      <c r="F322" s="11" t="s">
        <v>1359</v>
      </c>
      <c r="I322" s="11">
        <v>19.7123012542724</v>
      </c>
      <c r="J322" s="11">
        <v>2.5417640209198</v>
      </c>
      <c r="K322" s="11">
        <v>0.0</v>
      </c>
      <c r="L322" s="11" t="s">
        <v>1879</v>
      </c>
      <c r="M322" s="11">
        <v>0.0</v>
      </c>
      <c r="N322" s="11" t="s">
        <v>2053</v>
      </c>
    </row>
    <row r="323">
      <c r="A323" s="11">
        <v>-14.7872467041015</v>
      </c>
      <c r="B323" s="11">
        <v>13.3306894302368</v>
      </c>
      <c r="C323" s="11">
        <v>0.0</v>
      </c>
      <c r="D323" s="11" t="s">
        <v>1061</v>
      </c>
      <c r="E323" s="11">
        <v>0.0</v>
      </c>
      <c r="F323" s="11" t="s">
        <v>1360</v>
      </c>
      <c r="I323" s="11">
        <v>-29.9405345916748</v>
      </c>
      <c r="J323" s="11">
        <v>-8.31234550476074</v>
      </c>
      <c r="K323" s="11">
        <v>0.0</v>
      </c>
      <c r="L323" s="11" t="s">
        <v>1879</v>
      </c>
      <c r="M323" s="11">
        <v>0.0</v>
      </c>
      <c r="N323" s="11" t="s">
        <v>2054</v>
      </c>
    </row>
    <row r="324">
      <c r="A324" s="11">
        <v>-28.1393680572509</v>
      </c>
      <c r="B324" s="11">
        <v>31.5297222137451</v>
      </c>
      <c r="C324" s="11">
        <v>0.0</v>
      </c>
      <c r="D324" s="11" t="s">
        <v>1061</v>
      </c>
      <c r="E324" s="11">
        <v>0.0</v>
      </c>
      <c r="F324" s="11" t="s">
        <v>1361</v>
      </c>
      <c r="I324" s="11">
        <v>-18.7657356262207</v>
      </c>
      <c r="J324" s="11">
        <v>-7.46145296096801</v>
      </c>
      <c r="K324" s="11">
        <v>0.0</v>
      </c>
      <c r="L324" s="11" t="s">
        <v>1879</v>
      </c>
      <c r="M324" s="11">
        <v>0.0</v>
      </c>
      <c r="N324" s="11" t="s">
        <v>2056</v>
      </c>
    </row>
    <row r="325">
      <c r="A325" s="11">
        <v>5.76627874374389</v>
      </c>
      <c r="B325" s="11">
        <v>-5.70684003829956</v>
      </c>
      <c r="C325" s="11">
        <v>0.0</v>
      </c>
      <c r="D325" s="11" t="s">
        <v>1061</v>
      </c>
      <c r="E325" s="11">
        <v>0.0</v>
      </c>
      <c r="F325" s="11" t="s">
        <v>1362</v>
      </c>
      <c r="I325" s="11">
        <v>-37.6019134521484</v>
      </c>
      <c r="J325" s="11">
        <v>-7.63004779815673</v>
      </c>
      <c r="K325" s="11">
        <v>1.0</v>
      </c>
      <c r="L325" s="11" t="s">
        <v>1879</v>
      </c>
      <c r="M325" s="11">
        <v>1.0</v>
      </c>
      <c r="N325" s="11" t="s">
        <v>2058</v>
      </c>
    </row>
    <row r="326">
      <c r="A326" s="11">
        <v>40.2673835754394</v>
      </c>
      <c r="B326" s="11">
        <v>1.45566439628601</v>
      </c>
      <c r="C326" s="11">
        <v>1.0</v>
      </c>
      <c r="D326" s="11" t="s">
        <v>1061</v>
      </c>
      <c r="E326" s="11">
        <v>1.0</v>
      </c>
      <c r="F326" s="11" t="s">
        <v>1363</v>
      </c>
      <c r="I326" s="11">
        <v>6.29779529571533</v>
      </c>
      <c r="J326" s="11">
        <v>-12.3466367721557</v>
      </c>
      <c r="K326" s="11">
        <v>0.0</v>
      </c>
      <c r="L326" s="11" t="s">
        <v>1879</v>
      </c>
      <c r="M326" s="11">
        <v>0.0</v>
      </c>
      <c r="N326" s="11" t="s">
        <v>2061</v>
      </c>
    </row>
    <row r="327">
      <c r="A327" s="11">
        <v>5.7673659324646</v>
      </c>
      <c r="B327" s="11">
        <v>-5.70704793930053</v>
      </c>
      <c r="C327" s="11">
        <v>0.0</v>
      </c>
      <c r="D327" s="11" t="s">
        <v>1061</v>
      </c>
      <c r="E327" s="11">
        <v>0.0</v>
      </c>
      <c r="F327" s="11" t="s">
        <v>1364</v>
      </c>
      <c r="I327" s="11">
        <v>30.0367259979248</v>
      </c>
      <c r="J327" s="11">
        <v>-3.36608266830444</v>
      </c>
      <c r="K327" s="11">
        <v>0.0</v>
      </c>
      <c r="L327" s="11" t="s">
        <v>1879</v>
      </c>
      <c r="M327" s="11">
        <v>0.0</v>
      </c>
      <c r="N327" s="11" t="s">
        <v>2063</v>
      </c>
    </row>
    <row r="328">
      <c r="A328" s="11">
        <v>-31.9855880737304</v>
      </c>
      <c r="B328" s="11">
        <v>8.54188060760498</v>
      </c>
      <c r="C328" s="11">
        <v>0.0</v>
      </c>
      <c r="D328" s="11" t="s">
        <v>1061</v>
      </c>
      <c r="E328" s="11">
        <v>0.0</v>
      </c>
      <c r="F328" s="11" t="s">
        <v>1365</v>
      </c>
      <c r="I328" s="11">
        <v>-4.70208549499511</v>
      </c>
      <c r="J328" s="11">
        <v>-9.13609218597412</v>
      </c>
      <c r="K328" s="11">
        <v>0.0</v>
      </c>
      <c r="L328" s="11" t="s">
        <v>1879</v>
      </c>
      <c r="M328" s="11">
        <v>0.0</v>
      </c>
      <c r="N328" s="11" t="s">
        <v>2065</v>
      </c>
    </row>
    <row r="329">
      <c r="A329" s="11">
        <v>12.9473781585693</v>
      </c>
      <c r="B329" s="11">
        <v>-10.6434888839721</v>
      </c>
      <c r="C329" s="11">
        <v>0.0</v>
      </c>
      <c r="D329" s="11" t="s">
        <v>1061</v>
      </c>
      <c r="E329" s="11">
        <v>0.0</v>
      </c>
      <c r="F329" s="11" t="s">
        <v>1366</v>
      </c>
      <c r="I329" s="11">
        <v>-38.4617271423339</v>
      </c>
      <c r="J329" s="11">
        <v>-7.52112627029418</v>
      </c>
      <c r="K329" s="11">
        <v>1.0</v>
      </c>
      <c r="L329" s="11" t="s">
        <v>1879</v>
      </c>
      <c r="M329" s="11">
        <v>1.0</v>
      </c>
      <c r="N329" s="11" t="s">
        <v>2067</v>
      </c>
    </row>
    <row r="330">
      <c r="A330" s="11">
        <v>31.7002506256103</v>
      </c>
      <c r="B330" s="11">
        <v>20.3526363372802</v>
      </c>
      <c r="C330" s="11">
        <v>0.0</v>
      </c>
      <c r="D330" s="11" t="s">
        <v>1061</v>
      </c>
      <c r="E330" s="11">
        <v>0.0</v>
      </c>
      <c r="F330" s="11" t="s">
        <v>1367</v>
      </c>
      <c r="I330" s="11">
        <v>-22.588659286499</v>
      </c>
      <c r="J330" s="11">
        <v>-8.79448318481445</v>
      </c>
      <c r="K330" s="11">
        <v>0.0</v>
      </c>
      <c r="L330" s="11" t="s">
        <v>1879</v>
      </c>
      <c r="M330" s="11">
        <v>0.0</v>
      </c>
      <c r="N330" s="11" t="s">
        <v>2068</v>
      </c>
    </row>
    <row r="331">
      <c r="A331" s="11">
        <v>-17.0898742675781</v>
      </c>
      <c r="B331" s="11">
        <v>-5.20661115646362</v>
      </c>
      <c r="C331" s="11">
        <v>0.0</v>
      </c>
      <c r="D331" s="11" t="s">
        <v>1061</v>
      </c>
      <c r="E331" s="11">
        <v>0.0</v>
      </c>
      <c r="F331" s="11" t="s">
        <v>1368</v>
      </c>
      <c r="I331" s="11">
        <v>-25.1314392089843</v>
      </c>
      <c r="J331" s="11">
        <v>-14.6325035095214</v>
      </c>
      <c r="K331" s="11">
        <v>0.0</v>
      </c>
      <c r="L331" s="11" t="s">
        <v>1879</v>
      </c>
      <c r="M331" s="11">
        <v>0.0</v>
      </c>
      <c r="N331" s="11" t="s">
        <v>2070</v>
      </c>
    </row>
    <row r="332">
      <c r="A332" s="11">
        <v>-13.4516410827636</v>
      </c>
      <c r="B332" s="11">
        <v>-3.11595869064331</v>
      </c>
      <c r="C332" s="11">
        <v>0.0</v>
      </c>
      <c r="D332" s="11" t="s">
        <v>1061</v>
      </c>
      <c r="E332" s="11">
        <v>0.0</v>
      </c>
      <c r="F332" s="11" t="s">
        <v>1369</v>
      </c>
      <c r="I332" s="11">
        <v>18.4599685668945</v>
      </c>
      <c r="J332" s="11">
        <v>-0.619348585605621</v>
      </c>
      <c r="K332" s="11">
        <v>0.0</v>
      </c>
      <c r="L332" s="11" t="s">
        <v>1879</v>
      </c>
      <c r="M332" s="11">
        <v>0.0</v>
      </c>
      <c r="N332" s="11" t="s">
        <v>2072</v>
      </c>
    </row>
    <row r="333">
      <c r="A333" s="11">
        <v>47.1709518432617</v>
      </c>
      <c r="B333" s="11">
        <v>-7.20402765274047</v>
      </c>
      <c r="C333" s="11">
        <v>1.0</v>
      </c>
      <c r="D333" s="11" t="s">
        <v>1061</v>
      </c>
      <c r="E333" s="11">
        <v>1.0</v>
      </c>
      <c r="F333" s="11" t="s">
        <v>1370</v>
      </c>
      <c r="I333" s="11">
        <v>-23.4215869903564</v>
      </c>
      <c r="J333" s="11">
        <v>-14.4094333648681</v>
      </c>
      <c r="K333" s="11">
        <v>0.0</v>
      </c>
      <c r="L333" s="11" t="s">
        <v>1879</v>
      </c>
      <c r="M333" s="11">
        <v>0.0</v>
      </c>
      <c r="N333" s="11" t="s">
        <v>2074</v>
      </c>
    </row>
    <row r="334">
      <c r="A334" s="11">
        <v>38.9387893676757</v>
      </c>
      <c r="B334" s="11">
        <v>-21.3403148651123</v>
      </c>
      <c r="C334" s="11">
        <v>0.0</v>
      </c>
      <c r="D334" s="11" t="s">
        <v>1061</v>
      </c>
      <c r="E334" s="11">
        <v>0.0</v>
      </c>
      <c r="F334" s="11" t="s">
        <v>1371</v>
      </c>
      <c r="I334" s="11">
        <v>8.19902420043945</v>
      </c>
      <c r="J334" s="11">
        <v>-6.2017011642456</v>
      </c>
      <c r="K334" s="11">
        <v>0.0</v>
      </c>
      <c r="L334" s="11" t="s">
        <v>1879</v>
      </c>
      <c r="M334" s="11">
        <v>0.0</v>
      </c>
      <c r="N334" s="11" t="s">
        <v>2075</v>
      </c>
    </row>
    <row r="335">
      <c r="A335" s="11">
        <v>-36.9571533203125</v>
      </c>
      <c r="B335" s="11">
        <v>16.9788856506347</v>
      </c>
      <c r="C335" s="11">
        <v>0.0</v>
      </c>
      <c r="D335" s="11" t="s">
        <v>1061</v>
      </c>
      <c r="E335" s="11">
        <v>0.0</v>
      </c>
      <c r="F335" s="11" t="s">
        <v>1372</v>
      </c>
      <c r="I335" s="11">
        <v>-21.0865097045898</v>
      </c>
      <c r="J335" s="11">
        <v>-14.3250637054443</v>
      </c>
      <c r="K335" s="11">
        <v>0.0</v>
      </c>
      <c r="L335" s="11" t="s">
        <v>1879</v>
      </c>
      <c r="M335" s="11">
        <v>0.0</v>
      </c>
      <c r="N335" s="11" t="s">
        <v>2077</v>
      </c>
    </row>
    <row r="336">
      <c r="A336" s="11">
        <v>25.8613052368164</v>
      </c>
      <c r="B336" s="11">
        <v>35.6058273315429</v>
      </c>
      <c r="C336" s="11">
        <v>2.0</v>
      </c>
      <c r="D336" s="11" t="s">
        <v>1061</v>
      </c>
      <c r="E336" s="11">
        <v>2.0</v>
      </c>
      <c r="F336" s="11" t="s">
        <v>2079</v>
      </c>
      <c r="I336" s="11">
        <v>-29.5429344177246</v>
      </c>
      <c r="J336" s="11">
        <v>-9.30645179748535</v>
      </c>
      <c r="K336" s="11">
        <v>0.0</v>
      </c>
      <c r="L336" s="11" t="s">
        <v>1879</v>
      </c>
      <c r="M336" s="11">
        <v>0.0</v>
      </c>
      <c r="N336" s="11" t="s">
        <v>2080</v>
      </c>
    </row>
    <row r="337">
      <c r="A337" s="11">
        <v>7.45363712310791</v>
      </c>
      <c r="B337" s="11">
        <v>-19.1177368164062</v>
      </c>
      <c r="C337" s="11">
        <v>0.0</v>
      </c>
      <c r="D337" s="11" t="s">
        <v>1061</v>
      </c>
      <c r="E337" s="11">
        <v>0.0</v>
      </c>
      <c r="F337" s="11" t="s">
        <v>1373</v>
      </c>
      <c r="I337" s="11">
        <v>6.5038685798645</v>
      </c>
      <c r="J337" s="11">
        <v>-13.6696529388427</v>
      </c>
      <c r="K337" s="11">
        <v>0.0</v>
      </c>
      <c r="L337" s="11" t="s">
        <v>1879</v>
      </c>
      <c r="M337" s="11">
        <v>0.0</v>
      </c>
      <c r="N337" s="11" t="s">
        <v>2082</v>
      </c>
    </row>
    <row r="338">
      <c r="A338" s="11">
        <v>-40.8408050537109</v>
      </c>
      <c r="B338" s="11">
        <v>33.9496231079101</v>
      </c>
      <c r="C338" s="11">
        <v>-1.0</v>
      </c>
      <c r="D338" s="11" t="s">
        <v>1061</v>
      </c>
      <c r="E338" s="11">
        <v>-1.0</v>
      </c>
      <c r="F338" s="11" t="s">
        <v>1374</v>
      </c>
      <c r="I338" s="11">
        <v>7.82480335235595</v>
      </c>
      <c r="J338" s="11">
        <v>-10.957251548767</v>
      </c>
      <c r="K338" s="11">
        <v>0.0</v>
      </c>
      <c r="L338" s="11" t="s">
        <v>1879</v>
      </c>
      <c r="M338" s="11">
        <v>0.0</v>
      </c>
      <c r="N338" s="11" t="s">
        <v>2084</v>
      </c>
    </row>
    <row r="339">
      <c r="A339" s="11">
        <v>-39.1205863952636</v>
      </c>
      <c r="B339" s="11">
        <v>8.6270637512207</v>
      </c>
      <c r="C339" s="11">
        <v>0.0</v>
      </c>
      <c r="D339" s="11" t="s">
        <v>1061</v>
      </c>
      <c r="E339" s="11">
        <v>0.0</v>
      </c>
      <c r="F339" s="11" t="s">
        <v>1375</v>
      </c>
      <c r="I339" s="11">
        <v>46.55615234375</v>
      </c>
      <c r="J339" s="11">
        <v>-3.71673679351806</v>
      </c>
      <c r="K339" s="11">
        <v>0.0</v>
      </c>
      <c r="L339" s="11" t="s">
        <v>1879</v>
      </c>
      <c r="M339" s="11">
        <v>0.0</v>
      </c>
      <c r="N339" s="11" t="s">
        <v>2086</v>
      </c>
    </row>
    <row r="340">
      <c r="A340" s="11">
        <v>-12.9583358764648</v>
      </c>
      <c r="B340" s="11">
        <v>14.5142784118652</v>
      </c>
      <c r="C340" s="11">
        <v>0.0</v>
      </c>
      <c r="D340" s="11" t="s">
        <v>1061</v>
      </c>
      <c r="E340" s="11">
        <v>0.0</v>
      </c>
      <c r="F340" s="11" t="s">
        <v>1376</v>
      </c>
      <c r="I340" s="11">
        <v>-2.35438442230224</v>
      </c>
      <c r="J340" s="11">
        <v>-10.7465229034423</v>
      </c>
      <c r="K340" s="11">
        <v>0.0</v>
      </c>
      <c r="L340" s="11" t="s">
        <v>1879</v>
      </c>
      <c r="M340" s="11">
        <v>0.0</v>
      </c>
      <c r="N340" s="11" t="s">
        <v>2087</v>
      </c>
    </row>
    <row r="341">
      <c r="A341" s="11">
        <v>-38.4165115356445</v>
      </c>
      <c r="B341" s="11">
        <v>42.539451599121</v>
      </c>
      <c r="C341" s="11">
        <v>-2.0</v>
      </c>
      <c r="D341" s="11" t="s">
        <v>1061</v>
      </c>
      <c r="E341" s="11">
        <v>-2.0</v>
      </c>
      <c r="F341" s="11" t="s">
        <v>1377</v>
      </c>
      <c r="I341" s="11">
        <v>-22.1313972473144</v>
      </c>
      <c r="J341" s="11">
        <v>-9.33082580566406</v>
      </c>
      <c r="K341" s="11">
        <v>0.0</v>
      </c>
      <c r="L341" s="11" t="s">
        <v>1879</v>
      </c>
      <c r="M341" s="11">
        <v>0.0</v>
      </c>
      <c r="N341" s="11" t="s">
        <v>2089</v>
      </c>
    </row>
    <row r="342">
      <c r="A342" s="11">
        <v>25.3237380981445</v>
      </c>
      <c r="B342" s="11">
        <v>-22.8933582305908</v>
      </c>
      <c r="C342" s="11">
        <v>0.0</v>
      </c>
      <c r="D342" s="11" t="s">
        <v>1061</v>
      </c>
      <c r="E342" s="11">
        <v>0.0</v>
      </c>
      <c r="F342" s="11" t="s">
        <v>1378</v>
      </c>
      <c r="I342" s="11">
        <v>8.83599281311035</v>
      </c>
      <c r="J342" s="11">
        <v>-12.429702758789</v>
      </c>
      <c r="K342" s="11">
        <v>0.0</v>
      </c>
      <c r="L342" s="11" t="s">
        <v>1879</v>
      </c>
      <c r="M342" s="11">
        <v>0.0</v>
      </c>
      <c r="N342" s="11" t="s">
        <v>2091</v>
      </c>
    </row>
    <row r="343">
      <c r="A343" s="11">
        <v>21.2197532653808</v>
      </c>
      <c r="B343" s="11">
        <v>-6.0738296508789</v>
      </c>
      <c r="C343" s="11">
        <v>0.0</v>
      </c>
      <c r="D343" s="11" t="s">
        <v>1061</v>
      </c>
      <c r="E343" s="11">
        <v>0.0</v>
      </c>
      <c r="F343" s="11" t="s">
        <v>1379</v>
      </c>
      <c r="I343" s="11">
        <v>-23.3301734924316</v>
      </c>
      <c r="J343" s="11">
        <v>-8.34690475463867</v>
      </c>
      <c r="K343" s="11">
        <v>0.0</v>
      </c>
      <c r="L343" s="11" t="s">
        <v>1879</v>
      </c>
      <c r="M343" s="11">
        <v>0.0</v>
      </c>
      <c r="N343" s="11" t="s">
        <v>2092</v>
      </c>
    </row>
    <row r="344">
      <c r="A344" s="11">
        <v>12.9101343154907</v>
      </c>
      <c r="B344" s="11">
        <v>-3.83215475082397</v>
      </c>
      <c r="C344" s="11">
        <v>0.0</v>
      </c>
      <c r="D344" s="11" t="s">
        <v>1061</v>
      </c>
      <c r="E344" s="11">
        <v>0.0</v>
      </c>
      <c r="F344" s="11" t="s">
        <v>1380</v>
      </c>
      <c r="I344" s="11">
        <v>-31.9816875457763</v>
      </c>
      <c r="J344" s="11">
        <v>-10.2251195907592</v>
      </c>
      <c r="K344" s="11">
        <v>1.0</v>
      </c>
      <c r="L344" s="11" t="s">
        <v>1879</v>
      </c>
      <c r="M344" s="11">
        <v>1.0</v>
      </c>
      <c r="N344" s="11" t="s">
        <v>2094</v>
      </c>
    </row>
    <row r="345">
      <c r="A345" s="11">
        <v>-20.5619430541992</v>
      </c>
      <c r="B345" s="11">
        <v>12.540205001831</v>
      </c>
      <c r="C345" s="11">
        <v>0.0</v>
      </c>
      <c r="D345" s="11" t="s">
        <v>1061</v>
      </c>
      <c r="E345" s="11">
        <v>0.0</v>
      </c>
      <c r="F345" s="11" t="s">
        <v>1381</v>
      </c>
      <c r="I345" s="11">
        <v>-1.69869220256805</v>
      </c>
      <c r="J345" s="11">
        <v>-10.3497323989868</v>
      </c>
      <c r="K345" s="11">
        <v>0.0</v>
      </c>
      <c r="L345" s="11" t="s">
        <v>1879</v>
      </c>
      <c r="M345" s="11">
        <v>0.0</v>
      </c>
      <c r="N345" s="11" t="s">
        <v>2097</v>
      </c>
    </row>
    <row r="346">
      <c r="A346" s="11">
        <v>-33.9706916809082</v>
      </c>
      <c r="B346" s="11">
        <v>30.3952960968017</v>
      </c>
      <c r="C346" s="11">
        <v>-1.0</v>
      </c>
      <c r="D346" s="11" t="s">
        <v>1061</v>
      </c>
      <c r="E346" s="11">
        <v>-1.0</v>
      </c>
      <c r="F346" s="11" t="s">
        <v>1382</v>
      </c>
      <c r="I346" s="11">
        <v>-19.5231685638427</v>
      </c>
      <c r="J346" s="11">
        <v>-7.98920106887817</v>
      </c>
      <c r="K346" s="11">
        <v>0.0</v>
      </c>
      <c r="L346" s="11" t="s">
        <v>1879</v>
      </c>
      <c r="M346" s="11">
        <v>0.0</v>
      </c>
      <c r="N346" s="11" t="s">
        <v>2099</v>
      </c>
    </row>
    <row r="347">
      <c r="A347" s="11">
        <v>25.7442893981933</v>
      </c>
      <c r="B347" s="11">
        <v>32.2807006835937</v>
      </c>
      <c r="C347" s="11">
        <v>2.0</v>
      </c>
      <c r="D347" s="11" t="s">
        <v>1061</v>
      </c>
      <c r="E347" s="11">
        <v>2.0</v>
      </c>
      <c r="F347" s="11" t="s">
        <v>1383</v>
      </c>
      <c r="I347" s="11">
        <v>45.4018859863281</v>
      </c>
      <c r="J347" s="11">
        <v>-12.3419103622436</v>
      </c>
      <c r="K347" s="11">
        <v>-1.0</v>
      </c>
      <c r="L347" s="11" t="s">
        <v>1879</v>
      </c>
      <c r="M347" s="11">
        <v>-1.0</v>
      </c>
      <c r="N347" s="11" t="s">
        <v>2101</v>
      </c>
    </row>
    <row r="348">
      <c r="A348" s="11">
        <v>-2.71639442443847</v>
      </c>
      <c r="B348" s="11">
        <v>-19.0289249420166</v>
      </c>
      <c r="C348" s="11">
        <v>0.0</v>
      </c>
      <c r="D348" s="11" t="s">
        <v>1061</v>
      </c>
      <c r="E348" s="11">
        <v>0.0</v>
      </c>
      <c r="F348" s="11" t="s">
        <v>1385</v>
      </c>
      <c r="I348" s="11">
        <v>30.8493270874023</v>
      </c>
      <c r="J348" s="11">
        <v>-2.88261938095092</v>
      </c>
      <c r="K348" s="11">
        <v>-1.0</v>
      </c>
      <c r="L348" s="11" t="s">
        <v>1879</v>
      </c>
      <c r="M348" s="11">
        <v>-1.0</v>
      </c>
      <c r="N348" s="11" t="s">
        <v>2103</v>
      </c>
    </row>
    <row r="349">
      <c r="A349" s="11">
        <v>-32.2568550109863</v>
      </c>
      <c r="B349" s="11">
        <v>18.0619506835937</v>
      </c>
      <c r="C349" s="11">
        <v>-1.0</v>
      </c>
      <c r="D349" s="11" t="s">
        <v>1061</v>
      </c>
      <c r="E349" s="11">
        <v>-1.0</v>
      </c>
      <c r="F349" s="11" t="s">
        <v>1388</v>
      </c>
      <c r="I349" s="11">
        <v>47.3862991333007</v>
      </c>
      <c r="J349" s="11">
        <v>-19.2882137298584</v>
      </c>
      <c r="K349" s="11">
        <v>-2.0</v>
      </c>
      <c r="L349" s="11" t="s">
        <v>1879</v>
      </c>
      <c r="M349" s="11">
        <v>-2.0</v>
      </c>
      <c r="N349" s="11" t="s">
        <v>2105</v>
      </c>
    </row>
    <row r="350">
      <c r="A350" s="11">
        <v>-32.1518592834472</v>
      </c>
      <c r="B350" s="11">
        <v>-5.79183387756347</v>
      </c>
      <c r="C350" s="11">
        <v>0.0</v>
      </c>
      <c r="D350" s="11" t="s">
        <v>1061</v>
      </c>
      <c r="E350" s="11">
        <v>0.0</v>
      </c>
      <c r="F350" s="11" t="s">
        <v>1389</v>
      </c>
      <c r="I350" s="11">
        <v>1.31016874313354</v>
      </c>
      <c r="J350" s="11">
        <v>-6.94931268692016</v>
      </c>
      <c r="K350" s="11">
        <v>0.0</v>
      </c>
      <c r="L350" s="11" t="s">
        <v>1879</v>
      </c>
      <c r="M350" s="11">
        <v>0.0</v>
      </c>
      <c r="N350" s="11" t="s">
        <v>2107</v>
      </c>
    </row>
    <row r="351">
      <c r="A351" s="11">
        <v>-36.6870155334472</v>
      </c>
      <c r="B351" s="11">
        <v>16.6209850311279</v>
      </c>
      <c r="C351" s="11">
        <v>0.0</v>
      </c>
      <c r="D351" s="11" t="s">
        <v>1061</v>
      </c>
      <c r="E351" s="11">
        <v>0.0</v>
      </c>
      <c r="F351" s="11" t="s">
        <v>1392</v>
      </c>
      <c r="I351" s="11">
        <v>41.8364830017089</v>
      </c>
      <c r="J351" s="11">
        <v>-11.5691452026367</v>
      </c>
      <c r="K351" s="11">
        <v>-1.0</v>
      </c>
      <c r="L351" s="11" t="s">
        <v>1879</v>
      </c>
      <c r="M351" s="11">
        <v>-1.0</v>
      </c>
      <c r="N351" s="11" t="s">
        <v>2109</v>
      </c>
    </row>
    <row r="352">
      <c r="A352" s="11">
        <v>25.810094833374</v>
      </c>
      <c r="B352" s="11">
        <v>-0.58499664068222</v>
      </c>
      <c r="C352" s="11">
        <v>1.0</v>
      </c>
      <c r="D352" s="11" t="s">
        <v>1061</v>
      </c>
      <c r="E352" s="11">
        <v>1.0</v>
      </c>
      <c r="F352" s="11" t="s">
        <v>1395</v>
      </c>
      <c r="I352" s="11">
        <v>-4.99803686141967</v>
      </c>
      <c r="J352" s="11">
        <v>-6.16629076004028</v>
      </c>
      <c r="K352" s="11">
        <v>0.0</v>
      </c>
      <c r="L352" s="11" t="s">
        <v>1879</v>
      </c>
      <c r="M352" s="11">
        <v>0.0</v>
      </c>
      <c r="N352" s="11" t="s">
        <v>2110</v>
      </c>
    </row>
    <row r="353">
      <c r="A353" s="11">
        <v>5.85402679443359</v>
      </c>
      <c r="B353" s="11">
        <v>-0.299122840166091</v>
      </c>
      <c r="C353" s="11">
        <v>0.0</v>
      </c>
      <c r="D353" s="11" t="s">
        <v>1061</v>
      </c>
      <c r="E353" s="11">
        <v>0.0</v>
      </c>
      <c r="F353" s="11" t="s">
        <v>1396</v>
      </c>
      <c r="I353" s="11">
        <v>-5.04554224014282</v>
      </c>
      <c r="J353" s="11">
        <v>-11.4091081619262</v>
      </c>
      <c r="K353" s="11">
        <v>0.0</v>
      </c>
      <c r="L353" s="11" t="s">
        <v>1879</v>
      </c>
      <c r="M353" s="11">
        <v>0.0</v>
      </c>
      <c r="N353" s="11" t="s">
        <v>2112</v>
      </c>
    </row>
    <row r="354">
      <c r="A354" s="11">
        <v>37.8519058227539</v>
      </c>
      <c r="B354" s="11">
        <v>-18.0032005310058</v>
      </c>
      <c r="C354" s="11">
        <v>0.0</v>
      </c>
      <c r="D354" s="11" t="s">
        <v>1061</v>
      </c>
      <c r="E354" s="11">
        <v>0.0</v>
      </c>
      <c r="F354" s="11" t="s">
        <v>1398</v>
      </c>
      <c r="I354" s="11">
        <v>-19.164924621582</v>
      </c>
      <c r="J354" s="11">
        <v>35.3937225341796</v>
      </c>
      <c r="K354" s="11">
        <v>1.0</v>
      </c>
      <c r="L354" s="11" t="s">
        <v>1879</v>
      </c>
      <c r="M354" s="11">
        <v>1.0</v>
      </c>
      <c r="N354" s="11" t="s">
        <v>2114</v>
      </c>
    </row>
    <row r="355">
      <c r="A355" s="11">
        <v>-7.34397029876709</v>
      </c>
      <c r="B355" s="11">
        <v>-13.5546512603759</v>
      </c>
      <c r="C355" s="11">
        <v>0.0</v>
      </c>
      <c r="D355" s="11" t="s">
        <v>1061</v>
      </c>
      <c r="E355" s="11">
        <v>0.0</v>
      </c>
      <c r="F355" s="11" t="s">
        <v>1400</v>
      </c>
      <c r="I355" s="11">
        <v>-32.8908882141113</v>
      </c>
      <c r="J355" s="11">
        <v>-9.57567882537841</v>
      </c>
      <c r="K355" s="11">
        <v>1.0</v>
      </c>
      <c r="L355" s="11" t="s">
        <v>1879</v>
      </c>
      <c r="M355" s="11">
        <v>1.0</v>
      </c>
      <c r="N355" s="11" t="s">
        <v>2116</v>
      </c>
    </row>
    <row r="356">
      <c r="A356" s="11">
        <v>-33.7329750061035</v>
      </c>
      <c r="B356" s="11">
        <v>5.36564350128173</v>
      </c>
      <c r="C356" s="11">
        <v>0.0</v>
      </c>
      <c r="D356" s="11" t="s">
        <v>1061</v>
      </c>
      <c r="E356" s="11">
        <v>0.0</v>
      </c>
      <c r="F356" s="11" t="s">
        <v>1402</v>
      </c>
      <c r="I356" s="11">
        <v>-37.6019134521484</v>
      </c>
      <c r="J356" s="11">
        <v>-7.63004779815673</v>
      </c>
      <c r="K356" s="11">
        <v>1.0</v>
      </c>
      <c r="L356" s="11" t="s">
        <v>1879</v>
      </c>
      <c r="M356" s="11">
        <v>1.0</v>
      </c>
      <c r="N356" s="11" t="s">
        <v>2117</v>
      </c>
    </row>
    <row r="357">
      <c r="A357" s="11">
        <v>6.67530822753906</v>
      </c>
      <c r="B357" s="11">
        <v>-19.658405303955</v>
      </c>
      <c r="C357" s="11">
        <v>0.0</v>
      </c>
      <c r="D357" s="11" t="s">
        <v>1061</v>
      </c>
      <c r="E357" s="11">
        <v>0.0</v>
      </c>
      <c r="F357" s="11" t="s">
        <v>1404</v>
      </c>
      <c r="I357" s="11">
        <v>19.3950862884521</v>
      </c>
      <c r="J357" s="11">
        <v>-0.402703702449798</v>
      </c>
      <c r="K357" s="11">
        <v>0.0</v>
      </c>
      <c r="L357" s="11" t="s">
        <v>1879</v>
      </c>
      <c r="M357" s="11">
        <v>0.0</v>
      </c>
      <c r="N357" s="11" t="s">
        <v>2119</v>
      </c>
    </row>
    <row r="358">
      <c r="A358" s="11">
        <v>25.2322216033935</v>
      </c>
      <c r="B358" s="11">
        <v>37.7017745971679</v>
      </c>
      <c r="C358" s="11">
        <v>2.0</v>
      </c>
      <c r="D358" s="11" t="s">
        <v>1061</v>
      </c>
      <c r="E358" s="11">
        <v>2.0</v>
      </c>
      <c r="F358" s="11" t="s">
        <v>2120</v>
      </c>
      <c r="I358" s="11">
        <v>49.5878219604492</v>
      </c>
      <c r="J358" s="11">
        <v>-22.6078433990478</v>
      </c>
      <c r="K358" s="11">
        <v>-2.0</v>
      </c>
      <c r="L358" s="11" t="s">
        <v>1879</v>
      </c>
      <c r="M358" s="11">
        <v>-2.0</v>
      </c>
      <c r="N358" s="11" t="s">
        <v>2122</v>
      </c>
    </row>
    <row r="359">
      <c r="A359" s="11">
        <v>7.29059267044067</v>
      </c>
      <c r="B359" s="11">
        <v>-1.43066370487213</v>
      </c>
      <c r="C359" s="11">
        <v>0.0</v>
      </c>
      <c r="D359" s="11" t="s">
        <v>1061</v>
      </c>
      <c r="E359" s="11">
        <v>0.0</v>
      </c>
      <c r="F359" s="11" t="s">
        <v>1406</v>
      </c>
      <c r="I359" s="11">
        <v>47.1981735229492</v>
      </c>
      <c r="J359" s="11">
        <v>-21.2056217193603</v>
      </c>
      <c r="K359" s="11">
        <v>-2.0</v>
      </c>
      <c r="L359" s="11" t="s">
        <v>1879</v>
      </c>
      <c r="M359" s="11">
        <v>-2.0</v>
      </c>
      <c r="N359" s="11" t="s">
        <v>2124</v>
      </c>
    </row>
    <row r="360">
      <c r="A360" s="11">
        <v>38.7078742980957</v>
      </c>
      <c r="B360" s="11">
        <v>-21.3014507293701</v>
      </c>
      <c r="C360" s="11">
        <v>0.0</v>
      </c>
      <c r="D360" s="11" t="s">
        <v>1061</v>
      </c>
      <c r="E360" s="11">
        <v>0.0</v>
      </c>
      <c r="F360" s="11" t="s">
        <v>1408</v>
      </c>
      <c r="I360" s="11">
        <v>5.23457956314086</v>
      </c>
      <c r="J360" s="11">
        <v>-3.82214188575744</v>
      </c>
      <c r="K360" s="11">
        <v>0.0</v>
      </c>
      <c r="L360" s="11" t="s">
        <v>1879</v>
      </c>
      <c r="M360" s="11">
        <v>0.0</v>
      </c>
      <c r="N360" s="11" t="s">
        <v>2125</v>
      </c>
    </row>
    <row r="361">
      <c r="A361" s="11">
        <v>18.6006298065185</v>
      </c>
      <c r="B361" s="11">
        <v>-21.121971130371</v>
      </c>
      <c r="C361" s="11">
        <v>0.0</v>
      </c>
      <c r="D361" s="11" t="s">
        <v>1061</v>
      </c>
      <c r="E361" s="11">
        <v>0.0</v>
      </c>
      <c r="F361" s="11" t="s">
        <v>1410</v>
      </c>
      <c r="I361" s="11">
        <v>-0.813662648200988</v>
      </c>
      <c r="J361" s="11">
        <v>-10.6792774200439</v>
      </c>
      <c r="K361" s="11">
        <v>0.0</v>
      </c>
      <c r="L361" s="11" t="s">
        <v>1879</v>
      </c>
      <c r="M361" s="11">
        <v>0.0</v>
      </c>
      <c r="N361" s="11" t="s">
        <v>2127</v>
      </c>
    </row>
    <row r="362">
      <c r="A362" s="11">
        <v>-33.4977684020996</v>
      </c>
      <c r="B362" s="11">
        <v>-4.83086919784545</v>
      </c>
      <c r="C362" s="11">
        <v>0.0</v>
      </c>
      <c r="D362" s="11" t="s">
        <v>1061</v>
      </c>
      <c r="E362" s="11">
        <v>0.0</v>
      </c>
      <c r="F362" s="11" t="s">
        <v>1412</v>
      </c>
      <c r="I362" s="11">
        <v>-10.6616153717041</v>
      </c>
      <c r="J362" s="11">
        <v>-11.4001340866088</v>
      </c>
      <c r="K362" s="11">
        <v>0.0</v>
      </c>
      <c r="L362" s="11" t="s">
        <v>1879</v>
      </c>
      <c r="M362" s="11">
        <v>0.0</v>
      </c>
      <c r="N362" s="11" t="s">
        <v>2129</v>
      </c>
    </row>
    <row r="363">
      <c r="A363" s="11">
        <v>-13.6255521774292</v>
      </c>
      <c r="B363" s="11">
        <v>-7.32708597183227</v>
      </c>
      <c r="C363" s="11">
        <v>0.0</v>
      </c>
      <c r="D363" s="11" t="s">
        <v>1061</v>
      </c>
      <c r="E363" s="11">
        <v>0.0</v>
      </c>
      <c r="F363" s="11" t="s">
        <v>1413</v>
      </c>
      <c r="I363" s="11">
        <v>5.58673286437988</v>
      </c>
      <c r="J363" s="11">
        <v>-13.2442045211792</v>
      </c>
      <c r="K363" s="11">
        <v>0.0</v>
      </c>
      <c r="L363" s="11" t="s">
        <v>1879</v>
      </c>
      <c r="M363" s="11">
        <v>0.0</v>
      </c>
      <c r="N363" s="11" t="s">
        <v>2131</v>
      </c>
    </row>
    <row r="364">
      <c r="A364" s="11">
        <v>9.9743480682373</v>
      </c>
      <c r="B364" s="11">
        <v>-37.2160301208496</v>
      </c>
      <c r="C364" s="11">
        <v>0.0</v>
      </c>
      <c r="D364" s="11" t="s">
        <v>1061</v>
      </c>
      <c r="E364" s="11">
        <v>0.0</v>
      </c>
      <c r="F364" s="11" t="s">
        <v>1415</v>
      </c>
      <c r="I364" s="11">
        <v>44.3102760314941</v>
      </c>
      <c r="J364" s="11">
        <v>-12.8704271316528</v>
      </c>
      <c r="K364" s="11">
        <v>-1.0</v>
      </c>
      <c r="L364" s="11" t="s">
        <v>1879</v>
      </c>
      <c r="M364" s="11">
        <v>-1.0</v>
      </c>
      <c r="N364" s="11" t="s">
        <v>2133</v>
      </c>
    </row>
    <row r="365">
      <c r="A365" s="11">
        <v>-39.2269134521484</v>
      </c>
      <c r="B365" s="11">
        <v>17.5256671905517</v>
      </c>
      <c r="C365" s="11">
        <v>-1.0</v>
      </c>
      <c r="D365" s="11" t="s">
        <v>1061</v>
      </c>
      <c r="E365" s="11">
        <v>-1.0</v>
      </c>
      <c r="F365" s="11" t="s">
        <v>1417</v>
      </c>
      <c r="I365" s="11">
        <v>17.5561981201171</v>
      </c>
      <c r="J365" s="11">
        <v>-2.13615560531616</v>
      </c>
      <c r="K365" s="11">
        <v>0.0</v>
      </c>
      <c r="L365" s="11" t="s">
        <v>1879</v>
      </c>
      <c r="M365" s="11">
        <v>0.0</v>
      </c>
      <c r="N365" s="11" t="s">
        <v>2135</v>
      </c>
    </row>
    <row r="366">
      <c r="A366" s="11">
        <v>24.8030929565429</v>
      </c>
      <c r="B366" s="11">
        <v>30.5494441986084</v>
      </c>
      <c r="C366" s="11">
        <v>2.0</v>
      </c>
      <c r="D366" s="11" t="s">
        <v>1061</v>
      </c>
      <c r="E366" s="11">
        <v>2.0</v>
      </c>
      <c r="F366" s="11" t="s">
        <v>1419</v>
      </c>
      <c r="I366" s="11">
        <v>-38.4356384277343</v>
      </c>
      <c r="J366" s="11">
        <v>-6.78424167633056</v>
      </c>
      <c r="K366" s="11">
        <v>1.0</v>
      </c>
      <c r="L366" s="11" t="s">
        <v>1879</v>
      </c>
      <c r="M366" s="11">
        <v>1.0</v>
      </c>
      <c r="N366" s="11" t="s">
        <v>2138</v>
      </c>
    </row>
    <row r="367">
      <c r="A367" s="11">
        <v>24.9926605224609</v>
      </c>
      <c r="B367" s="11">
        <v>31.341983795166</v>
      </c>
      <c r="C367" s="11">
        <v>2.0</v>
      </c>
      <c r="D367" s="11" t="s">
        <v>1061</v>
      </c>
      <c r="E367" s="11">
        <v>2.0</v>
      </c>
      <c r="F367" s="11" t="s">
        <v>1421</v>
      </c>
      <c r="I367" s="11">
        <v>-37.5770797729492</v>
      </c>
      <c r="J367" s="11">
        <v>-6.68252372741699</v>
      </c>
      <c r="K367" s="11">
        <v>1.0</v>
      </c>
      <c r="L367" s="11" t="s">
        <v>1879</v>
      </c>
      <c r="M367" s="11">
        <v>1.0</v>
      </c>
      <c r="N367" s="11" t="s">
        <v>2140</v>
      </c>
    </row>
    <row r="368">
      <c r="A368" s="11">
        <v>-41.5936126708984</v>
      </c>
      <c r="B368" s="11">
        <v>31.8875408172607</v>
      </c>
      <c r="C368" s="11">
        <v>-1.0</v>
      </c>
      <c r="D368" s="11" t="s">
        <v>1061</v>
      </c>
      <c r="E368" s="11">
        <v>-1.0</v>
      </c>
      <c r="F368" s="11" t="s">
        <v>1423</v>
      </c>
      <c r="I368" s="11">
        <v>-6.01178264617919</v>
      </c>
      <c r="J368" s="11">
        <v>-15.8226842880249</v>
      </c>
      <c r="K368" s="11">
        <v>0.0</v>
      </c>
      <c r="L368" s="11" t="s">
        <v>1879</v>
      </c>
      <c r="M368" s="11">
        <v>0.0</v>
      </c>
      <c r="N368" s="11" t="s">
        <v>2141</v>
      </c>
    </row>
    <row r="369">
      <c r="A369" s="11">
        <v>24.5361595153808</v>
      </c>
      <c r="B369" s="11">
        <v>32.4607429504394</v>
      </c>
      <c r="C369" s="11">
        <v>2.0</v>
      </c>
      <c r="D369" s="11" t="s">
        <v>1061</v>
      </c>
      <c r="E369" s="11">
        <v>2.0</v>
      </c>
      <c r="F369" s="11" t="s">
        <v>1425</v>
      </c>
      <c r="I369" s="11">
        <v>49.5109748840332</v>
      </c>
      <c r="J369" s="11">
        <v>-17.6837444305419</v>
      </c>
      <c r="K369" s="11">
        <v>-2.0</v>
      </c>
      <c r="L369" s="11" t="s">
        <v>1879</v>
      </c>
      <c r="M369" s="11">
        <v>-2.0</v>
      </c>
      <c r="N369" s="11" t="s">
        <v>2143</v>
      </c>
    </row>
    <row r="370">
      <c r="A370" s="11">
        <v>23.8684368133544</v>
      </c>
      <c r="B370" s="11">
        <v>-14.4264411926269</v>
      </c>
      <c r="C370" s="11">
        <v>0.0</v>
      </c>
      <c r="D370" s="11" t="s">
        <v>1061</v>
      </c>
      <c r="E370" s="11">
        <v>0.0</v>
      </c>
      <c r="F370" s="11" t="s">
        <v>1426</v>
      </c>
      <c r="I370" s="11">
        <v>45.3957786560058</v>
      </c>
      <c r="J370" s="11">
        <v>-16.4813766479492</v>
      </c>
      <c r="K370" s="11">
        <v>-2.0</v>
      </c>
      <c r="L370" s="11" t="s">
        <v>1879</v>
      </c>
      <c r="M370" s="11">
        <v>-2.0</v>
      </c>
      <c r="N370" s="11" t="s">
        <v>2145</v>
      </c>
    </row>
    <row r="371">
      <c r="A371" s="11">
        <v>-31.952257156372</v>
      </c>
      <c r="B371" s="11">
        <v>-7.5428500175476</v>
      </c>
      <c r="C371" s="11">
        <v>0.0</v>
      </c>
      <c r="D371" s="11" t="s">
        <v>1061</v>
      </c>
      <c r="E371" s="11">
        <v>0.0</v>
      </c>
      <c r="F371" s="11" t="s">
        <v>1428</v>
      </c>
      <c r="I371" s="11">
        <v>-7.16804933547973</v>
      </c>
      <c r="J371" s="11">
        <v>-16.1112785339355</v>
      </c>
      <c r="K371" s="11">
        <v>0.0</v>
      </c>
      <c r="L371" s="11" t="s">
        <v>1879</v>
      </c>
      <c r="M371" s="11">
        <v>0.0</v>
      </c>
      <c r="N371" s="11" t="s">
        <v>2147</v>
      </c>
    </row>
    <row r="372">
      <c r="A372" s="11">
        <v>-36.692642211914</v>
      </c>
      <c r="B372" s="11">
        <v>16.6186466217041</v>
      </c>
      <c r="C372" s="11">
        <v>0.0</v>
      </c>
      <c r="D372" s="11" t="s">
        <v>1061</v>
      </c>
      <c r="E372" s="11">
        <v>0.0</v>
      </c>
      <c r="F372" s="11" t="s">
        <v>1430</v>
      </c>
      <c r="I372" s="11">
        <v>5.58673286437988</v>
      </c>
      <c r="J372" s="11">
        <v>-13.2442045211792</v>
      </c>
      <c r="K372" s="11">
        <v>0.0</v>
      </c>
      <c r="L372" s="11" t="s">
        <v>1879</v>
      </c>
      <c r="M372" s="11">
        <v>0.0</v>
      </c>
      <c r="N372" s="11" t="s">
        <v>2149</v>
      </c>
    </row>
    <row r="373">
      <c r="A373" s="11">
        <v>-42.2900352478027</v>
      </c>
      <c r="B373" s="11">
        <v>30.6339721679687</v>
      </c>
      <c r="C373" s="11">
        <v>-1.0</v>
      </c>
      <c r="D373" s="11" t="s">
        <v>1061</v>
      </c>
      <c r="E373" s="11">
        <v>-1.0</v>
      </c>
      <c r="F373" s="11" t="s">
        <v>1432</v>
      </c>
      <c r="I373" s="11">
        <v>-20.2292690277099</v>
      </c>
      <c r="J373" s="11">
        <v>-13.6364974975585</v>
      </c>
      <c r="K373" s="11">
        <v>0.0</v>
      </c>
      <c r="L373" s="11" t="s">
        <v>1879</v>
      </c>
      <c r="M373" s="11">
        <v>0.0</v>
      </c>
      <c r="N373" s="11" t="s">
        <v>2153</v>
      </c>
    </row>
    <row r="374">
      <c r="A374" s="11">
        <v>21.2197532653808</v>
      </c>
      <c r="B374" s="11">
        <v>-6.0738296508789</v>
      </c>
      <c r="C374" s="11">
        <v>0.0</v>
      </c>
      <c r="D374" s="11" t="s">
        <v>1061</v>
      </c>
      <c r="E374" s="11">
        <v>0.0</v>
      </c>
      <c r="F374" s="11" t="s">
        <v>1434</v>
      </c>
      <c r="I374" s="11">
        <v>49.9943237304687</v>
      </c>
      <c r="J374" s="11">
        <v>-21.4763393402099</v>
      </c>
      <c r="K374" s="11">
        <v>-2.0</v>
      </c>
      <c r="L374" s="11" t="s">
        <v>1879</v>
      </c>
      <c r="M374" s="11">
        <v>-2.0</v>
      </c>
      <c r="N374" s="11" t="s">
        <v>2155</v>
      </c>
    </row>
    <row r="375">
      <c r="A375" s="11">
        <v>34.0907936096191</v>
      </c>
      <c r="B375" s="11">
        <v>16.5600185394287</v>
      </c>
      <c r="C375" s="11">
        <v>2.0</v>
      </c>
      <c r="D375" s="11" t="s">
        <v>1061</v>
      </c>
      <c r="E375" s="11">
        <v>2.0</v>
      </c>
      <c r="F375" s="11" t="s">
        <v>1436</v>
      </c>
      <c r="I375" s="11">
        <v>-18.0410442352294</v>
      </c>
      <c r="J375" s="11">
        <v>35.8320846557617</v>
      </c>
      <c r="K375" s="11">
        <v>1.0</v>
      </c>
      <c r="L375" s="11" t="s">
        <v>1879</v>
      </c>
      <c r="M375" s="11">
        <v>1.0</v>
      </c>
      <c r="N375" s="11" t="s">
        <v>2158</v>
      </c>
    </row>
    <row r="376">
      <c r="A376" s="11">
        <v>-14.4446811676025</v>
      </c>
      <c r="B376" s="11">
        <v>-4.77721691131591</v>
      </c>
      <c r="C376" s="11">
        <v>0.0</v>
      </c>
      <c r="D376" s="11" t="s">
        <v>1061</v>
      </c>
      <c r="E376" s="11">
        <v>0.0</v>
      </c>
      <c r="F376" s="11" t="s">
        <v>1438</v>
      </c>
      <c r="I376" s="11">
        <v>46.7889289855957</v>
      </c>
      <c r="J376" s="11">
        <v>-18.4766368865966</v>
      </c>
      <c r="K376" s="11">
        <v>-2.0</v>
      </c>
      <c r="L376" s="11" t="s">
        <v>1879</v>
      </c>
      <c r="M376" s="11">
        <v>-2.0</v>
      </c>
      <c r="N376" s="11" t="s">
        <v>2160</v>
      </c>
    </row>
    <row r="377">
      <c r="A377" s="11">
        <v>-10.5483999252319</v>
      </c>
      <c r="B377" s="11">
        <v>10.4195585250854</v>
      </c>
      <c r="C377" s="11">
        <v>0.0</v>
      </c>
      <c r="D377" s="11" t="s">
        <v>1061</v>
      </c>
      <c r="E377" s="11">
        <v>0.0</v>
      </c>
      <c r="F377" s="11" t="s">
        <v>1439</v>
      </c>
      <c r="I377" s="11">
        <v>-21.0865097045898</v>
      </c>
      <c r="J377" s="11">
        <v>-14.3250637054443</v>
      </c>
      <c r="K377" s="11">
        <v>0.0</v>
      </c>
      <c r="L377" s="11" t="s">
        <v>1879</v>
      </c>
      <c r="M377" s="11">
        <v>0.0</v>
      </c>
      <c r="N377" s="11" t="s">
        <v>2162</v>
      </c>
    </row>
    <row r="378">
      <c r="A378" s="11">
        <v>23.8707828521728</v>
      </c>
      <c r="B378" s="11">
        <v>-14.4329214096069</v>
      </c>
      <c r="C378" s="11">
        <v>0.0</v>
      </c>
      <c r="D378" s="11" t="s">
        <v>1061</v>
      </c>
      <c r="E378" s="11">
        <v>0.0</v>
      </c>
      <c r="F378" s="11" t="s">
        <v>1441</v>
      </c>
      <c r="I378" s="11">
        <v>10.3615064620971</v>
      </c>
      <c r="J378" s="11">
        <v>-3.81788063049316</v>
      </c>
      <c r="K378" s="11">
        <v>0.0</v>
      </c>
      <c r="L378" s="11" t="s">
        <v>1879</v>
      </c>
      <c r="M378" s="11">
        <v>0.0</v>
      </c>
      <c r="N378" s="11" t="s">
        <v>2164</v>
      </c>
    </row>
    <row r="379">
      <c r="A379" s="11">
        <v>5.10336780548095</v>
      </c>
      <c r="B379" s="11">
        <v>-0.213690251111984</v>
      </c>
      <c r="C379" s="11">
        <v>0.0</v>
      </c>
      <c r="D379" s="11" t="s">
        <v>1061</v>
      </c>
      <c r="E379" s="11">
        <v>0.0</v>
      </c>
      <c r="F379" s="11" t="s">
        <v>1442</v>
      </c>
      <c r="I379" s="11">
        <v>-29.1724815368652</v>
      </c>
      <c r="J379" s="11">
        <v>-8.37270832061767</v>
      </c>
      <c r="K379" s="11">
        <v>0.0</v>
      </c>
      <c r="L379" s="11" t="s">
        <v>1879</v>
      </c>
      <c r="M379" s="11">
        <v>0.0</v>
      </c>
      <c r="N379" s="11" t="s">
        <v>2166</v>
      </c>
    </row>
    <row r="380">
      <c r="A380" s="11">
        <v>36.439956665039</v>
      </c>
      <c r="B380" s="11">
        <v>-20.3644523620605</v>
      </c>
      <c r="C380" s="11">
        <v>0.0</v>
      </c>
      <c r="D380" s="11" t="s">
        <v>1061</v>
      </c>
      <c r="E380" s="11">
        <v>0.0</v>
      </c>
      <c r="F380" s="11" t="s">
        <v>1445</v>
      </c>
      <c r="I380" s="11">
        <v>-17.2283630371093</v>
      </c>
      <c r="J380" s="11">
        <v>-14.4006128311157</v>
      </c>
      <c r="K380" s="11">
        <v>0.0</v>
      </c>
      <c r="L380" s="11" t="s">
        <v>1879</v>
      </c>
      <c r="M380" s="11">
        <v>0.0</v>
      </c>
      <c r="N380" s="11" t="s">
        <v>2169</v>
      </c>
    </row>
    <row r="381">
      <c r="A381" s="11">
        <v>-7.89223670959472</v>
      </c>
      <c r="B381" s="11">
        <v>-11.9457073211669</v>
      </c>
      <c r="C381" s="11">
        <v>0.0</v>
      </c>
      <c r="D381" s="11" t="s">
        <v>1061</v>
      </c>
      <c r="E381" s="11">
        <v>0.0</v>
      </c>
      <c r="F381" s="11" t="s">
        <v>1446</v>
      </c>
      <c r="I381" s="11">
        <v>46.6512413024902</v>
      </c>
      <c r="J381" s="11">
        <v>-16.8847408294677</v>
      </c>
      <c r="K381" s="11">
        <v>-2.0</v>
      </c>
      <c r="L381" s="11" t="s">
        <v>1879</v>
      </c>
      <c r="M381" s="11">
        <v>-2.0</v>
      </c>
      <c r="N381" s="11" t="s">
        <v>2171</v>
      </c>
    </row>
    <row r="382">
      <c r="A382" s="11">
        <v>-14.8218269348144</v>
      </c>
      <c r="B382" s="11">
        <v>13.3050756454467</v>
      </c>
      <c r="C382" s="11">
        <v>0.0</v>
      </c>
      <c r="D382" s="11" t="s">
        <v>1061</v>
      </c>
      <c r="E382" s="11">
        <v>0.0</v>
      </c>
      <c r="F382" s="11" t="s">
        <v>1447</v>
      </c>
      <c r="I382" s="11">
        <v>8.83599281311035</v>
      </c>
      <c r="J382" s="11">
        <v>-12.429702758789</v>
      </c>
      <c r="K382" s="11">
        <v>0.0</v>
      </c>
      <c r="L382" s="11" t="s">
        <v>1879</v>
      </c>
      <c r="M382" s="11">
        <v>0.0</v>
      </c>
      <c r="N382" s="11" t="s">
        <v>2173</v>
      </c>
    </row>
    <row r="383">
      <c r="A383" s="11">
        <v>21.5718059539794</v>
      </c>
      <c r="B383" s="11">
        <v>-28.9923973083496</v>
      </c>
      <c r="C383" s="11">
        <v>0.0</v>
      </c>
      <c r="D383" s="11" t="s">
        <v>1061</v>
      </c>
      <c r="E383" s="11">
        <v>0.0</v>
      </c>
      <c r="F383" s="11" t="s">
        <v>1448</v>
      </c>
      <c r="I383" s="11">
        <v>-37.5770797729492</v>
      </c>
      <c r="J383" s="11">
        <v>-6.68252372741699</v>
      </c>
      <c r="K383" s="11">
        <v>1.0</v>
      </c>
      <c r="L383" s="11" t="s">
        <v>1879</v>
      </c>
      <c r="M383" s="11">
        <v>1.0</v>
      </c>
      <c r="N383" s="11" t="s">
        <v>2175</v>
      </c>
    </row>
    <row r="384">
      <c r="A384" s="11">
        <v>-20.0433177947998</v>
      </c>
      <c r="B384" s="11">
        <v>-15.2943096160888</v>
      </c>
      <c r="C384" s="11">
        <v>0.0</v>
      </c>
      <c r="D384" s="11" t="s">
        <v>1061</v>
      </c>
      <c r="E384" s="11">
        <v>0.0</v>
      </c>
      <c r="F384" s="11" t="s">
        <v>1450</v>
      </c>
      <c r="I384" s="11">
        <v>-25.1302795410156</v>
      </c>
      <c r="J384" s="11">
        <v>-9.74294567108154</v>
      </c>
      <c r="K384" s="11">
        <v>0.0</v>
      </c>
      <c r="L384" s="11" t="s">
        <v>1879</v>
      </c>
      <c r="M384" s="11">
        <v>0.0</v>
      </c>
      <c r="N384" s="11" t="s">
        <v>2177</v>
      </c>
    </row>
    <row r="385">
      <c r="A385" s="11">
        <v>24.2840614318847</v>
      </c>
      <c r="B385" s="11">
        <v>30.9605274200439</v>
      </c>
      <c r="C385" s="11">
        <v>2.0</v>
      </c>
      <c r="D385" s="11" t="s">
        <v>1061</v>
      </c>
      <c r="E385" s="11">
        <v>2.0</v>
      </c>
      <c r="F385" s="11" t="s">
        <v>1452</v>
      </c>
      <c r="I385" s="11">
        <v>44.991340637207</v>
      </c>
      <c r="J385" s="11">
        <v>0.0794739872217178</v>
      </c>
      <c r="K385" s="11">
        <v>0.0</v>
      </c>
      <c r="L385" s="11" t="s">
        <v>1879</v>
      </c>
      <c r="M385" s="11">
        <v>0.0</v>
      </c>
      <c r="N385" s="11" t="s">
        <v>2179</v>
      </c>
    </row>
    <row r="386">
      <c r="A386" s="11">
        <v>-30.7099094390869</v>
      </c>
      <c r="B386" s="11">
        <v>27.6640186309814</v>
      </c>
      <c r="C386" s="11">
        <v>-1.0</v>
      </c>
      <c r="D386" s="11" t="s">
        <v>1061</v>
      </c>
      <c r="E386" s="11">
        <v>-1.0</v>
      </c>
      <c r="F386" s="11" t="s">
        <v>1453</v>
      </c>
      <c r="I386" s="11">
        <v>19.1400527954101</v>
      </c>
      <c r="J386" s="11">
        <v>1.90620267391204</v>
      </c>
      <c r="K386" s="11">
        <v>0.0</v>
      </c>
      <c r="L386" s="11" t="s">
        <v>1879</v>
      </c>
      <c r="M386" s="11">
        <v>0.0</v>
      </c>
      <c r="N386" s="11" t="s">
        <v>2181</v>
      </c>
    </row>
    <row r="387">
      <c r="A387" s="11">
        <v>-24.3843536376953</v>
      </c>
      <c r="B387" s="11">
        <v>-15.0913610458374</v>
      </c>
      <c r="C387" s="11">
        <v>0.0</v>
      </c>
      <c r="D387" s="11" t="s">
        <v>1061</v>
      </c>
      <c r="E387" s="11">
        <v>0.0</v>
      </c>
      <c r="F387" s="11" t="s">
        <v>1455</v>
      </c>
      <c r="I387" s="11">
        <v>-20.6489315032959</v>
      </c>
      <c r="J387" s="11">
        <v>-11.2428646087646</v>
      </c>
      <c r="K387" s="11">
        <v>0.0</v>
      </c>
      <c r="L387" s="11" t="s">
        <v>1879</v>
      </c>
      <c r="M387" s="11">
        <v>0.0</v>
      </c>
      <c r="N387" s="11" t="s">
        <v>2182</v>
      </c>
    </row>
    <row r="388">
      <c r="A388" s="11">
        <v>15.9963207244873</v>
      </c>
      <c r="B388" s="11">
        <v>-20.1886653900146</v>
      </c>
      <c r="C388" s="11">
        <v>0.0</v>
      </c>
      <c r="D388" s="11" t="s">
        <v>1061</v>
      </c>
      <c r="E388" s="11">
        <v>0.0</v>
      </c>
      <c r="F388" s="11" t="s">
        <v>1457</v>
      </c>
      <c r="I388" s="11">
        <v>8.5300588607788</v>
      </c>
      <c r="J388" s="11">
        <v>-10.3577527999877</v>
      </c>
      <c r="K388" s="11">
        <v>0.0</v>
      </c>
      <c r="L388" s="11" t="s">
        <v>1879</v>
      </c>
      <c r="M388" s="11">
        <v>0.0</v>
      </c>
      <c r="N388" s="11" t="s">
        <v>2184</v>
      </c>
    </row>
    <row r="389">
      <c r="A389" s="11">
        <v>21.0535850524902</v>
      </c>
      <c r="B389" s="11">
        <v>-28.9230117797851</v>
      </c>
      <c r="C389" s="11">
        <v>0.0</v>
      </c>
      <c r="D389" s="11" t="s">
        <v>1061</v>
      </c>
      <c r="E389" s="11">
        <v>0.0</v>
      </c>
      <c r="F389" s="11" t="s">
        <v>1459</v>
      </c>
      <c r="I389" s="11">
        <v>7.82480335235595</v>
      </c>
      <c r="J389" s="11">
        <v>-10.957251548767</v>
      </c>
      <c r="K389" s="11">
        <v>0.0</v>
      </c>
      <c r="L389" s="11" t="s">
        <v>1879</v>
      </c>
      <c r="M389" s="11">
        <v>0.0</v>
      </c>
      <c r="N389" s="11" t="s">
        <v>2186</v>
      </c>
    </row>
    <row r="390">
      <c r="A390" s="11">
        <v>36.7552604675293</v>
      </c>
      <c r="B390" s="11">
        <v>-18.6571006774902</v>
      </c>
      <c r="C390" s="11">
        <v>0.0</v>
      </c>
      <c r="D390" s="11" t="s">
        <v>1061</v>
      </c>
      <c r="E390" s="11">
        <v>0.0</v>
      </c>
      <c r="F390" s="11" t="s">
        <v>1461</v>
      </c>
      <c r="I390" s="11">
        <v>40.2654876708984</v>
      </c>
      <c r="J390" s="11">
        <v>-12.1155033111572</v>
      </c>
      <c r="K390" s="11">
        <v>-1.0</v>
      </c>
      <c r="L390" s="11" t="s">
        <v>1879</v>
      </c>
      <c r="M390" s="11">
        <v>-1.0</v>
      </c>
      <c r="N390" s="11" t="s">
        <v>2187</v>
      </c>
    </row>
    <row r="391">
      <c r="A391" s="11">
        <v>38.1183547973632</v>
      </c>
      <c r="B391" s="11">
        <v>17.8695526123046</v>
      </c>
      <c r="C391" s="11">
        <v>2.0</v>
      </c>
      <c r="D391" s="11" t="s">
        <v>1061</v>
      </c>
      <c r="E391" s="11">
        <v>2.0</v>
      </c>
      <c r="F391" s="11" t="s">
        <v>1463</v>
      </c>
      <c r="I391" s="11">
        <v>-7.16804933547973</v>
      </c>
      <c r="J391" s="11">
        <v>-16.1112785339355</v>
      </c>
      <c r="K391" s="11">
        <v>0.0</v>
      </c>
      <c r="L391" s="11" t="s">
        <v>1879</v>
      </c>
      <c r="M391" s="11">
        <v>0.0</v>
      </c>
      <c r="N391" s="11" t="s">
        <v>2189</v>
      </c>
    </row>
    <row r="392">
      <c r="A392" s="11">
        <v>18.9666805267334</v>
      </c>
      <c r="B392" s="11">
        <v>-22.7624969482421</v>
      </c>
      <c r="C392" s="11">
        <v>0.0</v>
      </c>
      <c r="D392" s="11" t="s">
        <v>1061</v>
      </c>
      <c r="E392" s="11">
        <v>0.0</v>
      </c>
      <c r="F392" s="11" t="s">
        <v>1465</v>
      </c>
      <c r="I392" s="11">
        <v>40.4159812927246</v>
      </c>
      <c r="J392" s="11">
        <v>-9.6679630279541</v>
      </c>
      <c r="K392" s="11">
        <v>-1.0</v>
      </c>
      <c r="L392" s="11" t="s">
        <v>1879</v>
      </c>
      <c r="M392" s="11">
        <v>-1.0</v>
      </c>
      <c r="N392" s="11" t="s">
        <v>2191</v>
      </c>
    </row>
    <row r="393">
      <c r="A393" s="11">
        <v>-33.2540588378906</v>
      </c>
      <c r="B393" s="11">
        <v>-4.73598718643188</v>
      </c>
      <c r="C393" s="11">
        <v>0.0</v>
      </c>
      <c r="D393" s="11" t="s">
        <v>1061</v>
      </c>
      <c r="E393" s="11">
        <v>0.0</v>
      </c>
      <c r="F393" s="11" t="s">
        <v>1466</v>
      </c>
      <c r="I393" s="11">
        <v>18.0397663116455</v>
      </c>
      <c r="J393" s="11">
        <v>0.228595256805419</v>
      </c>
      <c r="K393" s="11">
        <v>0.0</v>
      </c>
      <c r="L393" s="11" t="s">
        <v>1879</v>
      </c>
      <c r="M393" s="11">
        <v>0.0</v>
      </c>
      <c r="N393" s="11" t="s">
        <v>2193</v>
      </c>
    </row>
    <row r="394">
      <c r="A394" s="11">
        <v>24.5726814270019</v>
      </c>
      <c r="B394" s="11">
        <v>31.4933280944824</v>
      </c>
      <c r="C394" s="11">
        <v>2.0</v>
      </c>
      <c r="D394" s="11" t="s">
        <v>1061</v>
      </c>
      <c r="E394" s="11">
        <v>2.0</v>
      </c>
      <c r="F394" s="11" t="s">
        <v>1468</v>
      </c>
      <c r="I394" s="11">
        <v>-16.4536514282226</v>
      </c>
      <c r="J394" s="11">
        <v>-13.799593925476</v>
      </c>
      <c r="K394" s="11">
        <v>0.0</v>
      </c>
      <c r="L394" s="11" t="s">
        <v>1879</v>
      </c>
      <c r="M394" s="11">
        <v>0.0</v>
      </c>
      <c r="N394" s="11" t="s">
        <v>2194</v>
      </c>
    </row>
    <row r="395">
      <c r="A395" s="11">
        <v>17.0341358184814</v>
      </c>
      <c r="B395" s="11">
        <v>-20.9425907135009</v>
      </c>
      <c r="C395" s="11">
        <v>0.0</v>
      </c>
      <c r="D395" s="11" t="s">
        <v>1061</v>
      </c>
      <c r="E395" s="11">
        <v>0.0</v>
      </c>
      <c r="F395" s="11" t="s">
        <v>1470</v>
      </c>
      <c r="I395" s="11">
        <v>-17.1940383911132</v>
      </c>
      <c r="J395" s="11">
        <v>-12.9772386550903</v>
      </c>
      <c r="K395" s="11">
        <v>0.0</v>
      </c>
      <c r="L395" s="11" t="s">
        <v>1879</v>
      </c>
      <c r="M395" s="11">
        <v>0.0</v>
      </c>
      <c r="N395" s="11" t="s">
        <v>2196</v>
      </c>
    </row>
    <row r="396">
      <c r="A396" s="11">
        <v>-31.9125652313232</v>
      </c>
      <c r="B396" s="11">
        <v>8.48534393310546</v>
      </c>
      <c r="C396" s="11">
        <v>0.0</v>
      </c>
      <c r="D396" s="11" t="s">
        <v>1061</v>
      </c>
      <c r="E396" s="11">
        <v>0.0</v>
      </c>
      <c r="F396" s="11" t="s">
        <v>1472</v>
      </c>
      <c r="I396" s="11">
        <v>5.80721139907836</v>
      </c>
      <c r="J396" s="11">
        <v>-11.8015708923339</v>
      </c>
      <c r="K396" s="11">
        <v>0.0</v>
      </c>
      <c r="L396" s="11" t="s">
        <v>1879</v>
      </c>
      <c r="M396" s="11">
        <v>0.0</v>
      </c>
      <c r="N396" s="11" t="s">
        <v>2197</v>
      </c>
    </row>
    <row r="397">
      <c r="A397" s="11">
        <v>-34.0739402770996</v>
      </c>
      <c r="B397" s="11">
        <v>5.73613500595092</v>
      </c>
      <c r="C397" s="11">
        <v>0.0</v>
      </c>
      <c r="D397" s="11" t="s">
        <v>1061</v>
      </c>
      <c r="E397" s="11">
        <v>0.0</v>
      </c>
      <c r="F397" s="11" t="s">
        <v>1474</v>
      </c>
      <c r="I397" s="11">
        <v>18.7790584564209</v>
      </c>
      <c r="J397" s="11">
        <v>4.94651889801025</v>
      </c>
      <c r="K397" s="11">
        <v>0.0</v>
      </c>
      <c r="L397" s="11" t="s">
        <v>1879</v>
      </c>
      <c r="M397" s="11">
        <v>0.0</v>
      </c>
      <c r="N397" s="11" t="s">
        <v>2199</v>
      </c>
    </row>
    <row r="398">
      <c r="A398" s="11">
        <v>19.6977558135986</v>
      </c>
      <c r="B398" s="11">
        <v>-21.0667610168457</v>
      </c>
      <c r="C398" s="11">
        <v>0.0</v>
      </c>
      <c r="D398" s="11" t="s">
        <v>1061</v>
      </c>
      <c r="E398" s="11">
        <v>0.0</v>
      </c>
      <c r="F398" s="11" t="s">
        <v>1476</v>
      </c>
      <c r="I398" s="11">
        <v>-2.94055724143981</v>
      </c>
      <c r="J398" s="11">
        <v>-13.6403369903564</v>
      </c>
      <c r="K398" s="11">
        <v>0.0</v>
      </c>
      <c r="L398" s="11" t="s">
        <v>1879</v>
      </c>
      <c r="M398" s="11">
        <v>0.0</v>
      </c>
      <c r="N398" s="11" t="s">
        <v>2200</v>
      </c>
    </row>
    <row r="399">
      <c r="A399" s="11">
        <v>-39.3951034545898</v>
      </c>
      <c r="B399" s="11">
        <v>27.7690639495849</v>
      </c>
      <c r="C399" s="11">
        <v>-1.0</v>
      </c>
      <c r="D399" s="11" t="s">
        <v>1061</v>
      </c>
      <c r="E399" s="11">
        <v>-1.0</v>
      </c>
      <c r="F399" s="11" t="s">
        <v>1478</v>
      </c>
      <c r="I399" s="11">
        <v>-21.0865097045898</v>
      </c>
      <c r="J399" s="11">
        <v>-14.3250637054443</v>
      </c>
      <c r="K399" s="11">
        <v>0.0</v>
      </c>
      <c r="L399" s="11" t="s">
        <v>1879</v>
      </c>
      <c r="M399" s="11">
        <v>0.0</v>
      </c>
      <c r="N399" s="11" t="s">
        <v>2202</v>
      </c>
    </row>
    <row r="400">
      <c r="A400" s="11">
        <v>-14.4446811676025</v>
      </c>
      <c r="B400" s="11">
        <v>-4.77721691131591</v>
      </c>
      <c r="C400" s="11">
        <v>0.0</v>
      </c>
      <c r="D400" s="11" t="s">
        <v>1061</v>
      </c>
      <c r="E400" s="11">
        <v>0.0</v>
      </c>
      <c r="F400" s="11" t="s">
        <v>1479</v>
      </c>
      <c r="I400" s="11">
        <v>-25.2467613220214</v>
      </c>
      <c r="J400" s="11">
        <v>-9.06148910522461</v>
      </c>
      <c r="K400" s="11">
        <v>0.0</v>
      </c>
      <c r="L400" s="11" t="s">
        <v>1879</v>
      </c>
      <c r="M400" s="11">
        <v>0.0</v>
      </c>
      <c r="N400" s="11" t="s">
        <v>2204</v>
      </c>
    </row>
    <row r="401">
      <c r="A401" s="11">
        <v>14.0343885421752</v>
      </c>
      <c r="B401" s="11">
        <v>-26.8404273986816</v>
      </c>
      <c r="C401" s="11">
        <v>0.0</v>
      </c>
      <c r="D401" s="11" t="s">
        <v>1061</v>
      </c>
      <c r="E401" s="11">
        <v>0.0</v>
      </c>
      <c r="F401" s="11" t="s">
        <v>1481</v>
      </c>
      <c r="I401" s="11">
        <v>44.3013534545898</v>
      </c>
      <c r="J401" s="11">
        <v>-0.541615545749664</v>
      </c>
      <c r="K401" s="11">
        <v>0.0</v>
      </c>
      <c r="L401" s="11" t="s">
        <v>1879</v>
      </c>
      <c r="M401" s="11">
        <v>0.0</v>
      </c>
      <c r="N401" s="11" t="s">
        <v>2206</v>
      </c>
    </row>
    <row r="402">
      <c r="A402" s="11">
        <v>-41.959617614746</v>
      </c>
      <c r="B402" s="11">
        <v>28.4500522613525</v>
      </c>
      <c r="C402" s="11">
        <v>-1.0</v>
      </c>
      <c r="D402" s="11" t="s">
        <v>1061</v>
      </c>
      <c r="E402" s="11">
        <v>-1.0</v>
      </c>
      <c r="F402" s="11" t="s">
        <v>1483</v>
      </c>
      <c r="I402" s="11">
        <v>-4.70208549499511</v>
      </c>
      <c r="J402" s="11">
        <v>-9.13609218597412</v>
      </c>
      <c r="K402" s="11">
        <v>0.0</v>
      </c>
      <c r="L402" s="11" t="s">
        <v>1879</v>
      </c>
      <c r="M402" s="11">
        <v>0.0</v>
      </c>
      <c r="N402" s="11" t="s">
        <v>2209</v>
      </c>
    </row>
    <row r="403">
      <c r="A403" s="11">
        <v>7.78369855880737</v>
      </c>
      <c r="B403" s="11">
        <v>-4.63589477539062</v>
      </c>
      <c r="C403" s="11">
        <v>0.0</v>
      </c>
      <c r="D403" s="11" t="s">
        <v>1061</v>
      </c>
      <c r="E403" s="11">
        <v>0.0</v>
      </c>
      <c r="F403" s="11" t="s">
        <v>1484</v>
      </c>
      <c r="I403" s="11">
        <v>-29.4786262512207</v>
      </c>
      <c r="J403" s="11">
        <v>-7.61433506011962</v>
      </c>
      <c r="K403" s="11">
        <v>0.0</v>
      </c>
      <c r="L403" s="11" t="s">
        <v>1879</v>
      </c>
      <c r="M403" s="11">
        <v>0.0</v>
      </c>
      <c r="N403" s="11" t="s">
        <v>2211</v>
      </c>
    </row>
    <row r="404">
      <c r="A404" s="11">
        <v>7.70558881759643</v>
      </c>
      <c r="B404" s="11">
        <v>-21.0930709838867</v>
      </c>
      <c r="C404" s="11">
        <v>0.0</v>
      </c>
      <c r="D404" s="11" t="s">
        <v>1061</v>
      </c>
      <c r="E404" s="11">
        <v>0.0</v>
      </c>
      <c r="F404" s="11" t="s">
        <v>1486</v>
      </c>
      <c r="I404" s="11">
        <v>43.9625854492187</v>
      </c>
      <c r="J404" s="11">
        <v>-2.17061591148376</v>
      </c>
      <c r="K404" s="11">
        <v>0.0</v>
      </c>
      <c r="L404" s="11" t="s">
        <v>1879</v>
      </c>
      <c r="M404" s="11">
        <v>0.0</v>
      </c>
      <c r="N404" s="11" t="s">
        <v>2213</v>
      </c>
    </row>
    <row r="405">
      <c r="A405" s="11">
        <v>-29.6563835144042</v>
      </c>
      <c r="B405" s="11">
        <v>-3.95752716064453</v>
      </c>
      <c r="C405" s="11">
        <v>0.0</v>
      </c>
      <c r="D405" s="11" t="s">
        <v>1061</v>
      </c>
      <c r="E405" s="11">
        <v>0.0</v>
      </c>
      <c r="F405" s="11" t="s">
        <v>1488</v>
      </c>
      <c r="I405" s="11">
        <v>-9.60619068145752</v>
      </c>
      <c r="J405" s="11">
        <v>-19.162389755249</v>
      </c>
      <c r="K405" s="11">
        <v>0.0</v>
      </c>
      <c r="L405" s="11" t="s">
        <v>1879</v>
      </c>
      <c r="M405" s="11">
        <v>0.0</v>
      </c>
      <c r="N405" s="11" t="s">
        <v>2215</v>
      </c>
    </row>
    <row r="406">
      <c r="A406" s="11">
        <v>21.1942882537841</v>
      </c>
      <c r="B406" s="11">
        <v>-28.0357704162597</v>
      </c>
      <c r="C406" s="11">
        <v>0.0</v>
      </c>
      <c r="D406" s="11" t="s">
        <v>1061</v>
      </c>
      <c r="E406" s="11">
        <v>0.0</v>
      </c>
      <c r="F406" s="11" t="s">
        <v>1490</v>
      </c>
      <c r="I406" s="11">
        <v>-26.2505798339843</v>
      </c>
      <c r="J406" s="11">
        <v>-10.1675720214843</v>
      </c>
      <c r="K406" s="11">
        <v>0.0</v>
      </c>
      <c r="L406" s="11" t="s">
        <v>1879</v>
      </c>
      <c r="M406" s="11">
        <v>0.0</v>
      </c>
      <c r="N406" s="11" t="s">
        <v>2217</v>
      </c>
    </row>
    <row r="407">
      <c r="A407" s="11">
        <v>5.41058826446533</v>
      </c>
      <c r="B407" s="11">
        <v>-0.408007562160491</v>
      </c>
      <c r="C407" s="11">
        <v>0.0</v>
      </c>
      <c r="D407" s="11" t="s">
        <v>1061</v>
      </c>
      <c r="E407" s="11">
        <v>0.0</v>
      </c>
      <c r="F407" s="11" t="s">
        <v>1492</v>
      </c>
      <c r="I407" s="11">
        <v>45.9534034729003</v>
      </c>
      <c r="J407" s="11">
        <v>-21.4335498809814</v>
      </c>
      <c r="K407" s="11">
        <v>-2.0</v>
      </c>
      <c r="L407" s="11" t="s">
        <v>1879</v>
      </c>
      <c r="M407" s="11">
        <v>-2.0</v>
      </c>
      <c r="N407" s="11" t="s">
        <v>2413</v>
      </c>
    </row>
    <row r="408">
      <c r="A408" s="11">
        <v>17.5867443084716</v>
      </c>
      <c r="B408" s="11">
        <v>-22.9339218139648</v>
      </c>
      <c r="C408" s="11">
        <v>0.0</v>
      </c>
      <c r="D408" s="11" t="s">
        <v>1061</v>
      </c>
      <c r="E408" s="11">
        <v>0.0</v>
      </c>
      <c r="F408" s="11" t="s">
        <v>1494</v>
      </c>
      <c r="I408" s="11">
        <v>34.4916648864746</v>
      </c>
      <c r="J408" s="11">
        <v>3.29805493354797</v>
      </c>
      <c r="K408" s="11">
        <v>0.0</v>
      </c>
      <c r="L408" s="11" t="s">
        <v>1390</v>
      </c>
      <c r="M408" s="11">
        <v>0.0</v>
      </c>
      <c r="N408" s="11" t="s">
        <v>2219</v>
      </c>
    </row>
    <row r="409">
      <c r="A409" s="11">
        <v>40.021484375</v>
      </c>
      <c r="B409" s="11">
        <v>-9.80569458007812</v>
      </c>
      <c r="C409" s="11">
        <v>0.0</v>
      </c>
      <c r="D409" s="11" t="s">
        <v>1061</v>
      </c>
      <c r="E409" s="11">
        <v>0.0</v>
      </c>
      <c r="F409" s="11" t="s">
        <v>1495</v>
      </c>
      <c r="I409" s="11">
        <v>4.07463550567626</v>
      </c>
      <c r="J409" s="11">
        <v>14.4774761199951</v>
      </c>
      <c r="K409" s="11">
        <v>1.0</v>
      </c>
      <c r="L409" s="11" t="s">
        <v>1390</v>
      </c>
      <c r="M409" s="11">
        <v>1.0</v>
      </c>
      <c r="N409" s="11" t="s">
        <v>2221</v>
      </c>
    </row>
    <row r="410">
      <c r="A410" s="11">
        <v>31.2989273071289</v>
      </c>
      <c r="B410" s="11">
        <v>-11.6217737197875</v>
      </c>
      <c r="C410" s="11">
        <v>0.0</v>
      </c>
      <c r="D410" s="11" t="s">
        <v>1061</v>
      </c>
      <c r="E410" s="11">
        <v>0.0</v>
      </c>
      <c r="F410" s="11" t="s">
        <v>1498</v>
      </c>
      <c r="I410" s="11">
        <v>4.29542112350463</v>
      </c>
      <c r="J410" s="11">
        <v>23.1316699981689</v>
      </c>
      <c r="K410" s="11">
        <v>0.0</v>
      </c>
      <c r="L410" s="11" t="s">
        <v>1390</v>
      </c>
      <c r="M410" s="11">
        <v>0.0</v>
      </c>
      <c r="N410" s="11" t="s">
        <v>2223</v>
      </c>
    </row>
    <row r="411">
      <c r="A411" s="11">
        <v>-37.6502799987793</v>
      </c>
      <c r="B411" s="11">
        <v>-11.3117532730102</v>
      </c>
      <c r="C411" s="11">
        <v>0.0</v>
      </c>
      <c r="D411" s="11" t="s">
        <v>1061</v>
      </c>
      <c r="E411" s="11">
        <v>0.0</v>
      </c>
      <c r="F411" s="11" t="s">
        <v>1500</v>
      </c>
      <c r="I411" s="11">
        <v>31.6948509216308</v>
      </c>
      <c r="J411" s="11">
        <v>0.796219050884246</v>
      </c>
      <c r="K411" s="11">
        <v>0.0</v>
      </c>
      <c r="L411" s="11" t="s">
        <v>1390</v>
      </c>
      <c r="M411" s="11">
        <v>0.0</v>
      </c>
      <c r="N411" s="11" t="s">
        <v>2225</v>
      </c>
    </row>
    <row r="412">
      <c r="A412" s="11">
        <v>-39.1751251220703</v>
      </c>
      <c r="B412" s="11">
        <v>29.2160663604736</v>
      </c>
      <c r="C412" s="11">
        <v>0.0</v>
      </c>
      <c r="D412" s="11" t="s">
        <v>1061</v>
      </c>
      <c r="E412" s="11">
        <v>0.0</v>
      </c>
      <c r="F412" s="11" t="s">
        <v>1501</v>
      </c>
      <c r="I412" s="11">
        <v>11.141936302185</v>
      </c>
      <c r="J412" s="11">
        <v>20.1224422454834</v>
      </c>
      <c r="K412" s="11">
        <v>0.0</v>
      </c>
      <c r="L412" s="11" t="s">
        <v>1390</v>
      </c>
      <c r="M412" s="11">
        <v>0.0</v>
      </c>
      <c r="N412" s="11" t="s">
        <v>2227</v>
      </c>
    </row>
    <row r="413">
      <c r="A413" s="11">
        <v>23.7484645843505</v>
      </c>
      <c r="B413" s="11">
        <v>30.4205055236816</v>
      </c>
      <c r="C413" s="11">
        <v>2.0</v>
      </c>
      <c r="D413" s="11" t="s">
        <v>1061</v>
      </c>
      <c r="E413" s="11">
        <v>2.0</v>
      </c>
      <c r="F413" s="11" t="s">
        <v>1503</v>
      </c>
      <c r="I413" s="11">
        <v>9.90853691101074</v>
      </c>
      <c r="J413" s="11">
        <v>20.9215297698974</v>
      </c>
      <c r="K413" s="11">
        <v>0.0</v>
      </c>
      <c r="L413" s="11" t="s">
        <v>1390</v>
      </c>
      <c r="M413" s="11">
        <v>0.0</v>
      </c>
      <c r="N413" s="11" t="s">
        <v>2229</v>
      </c>
    </row>
    <row r="414">
      <c r="A414" s="11">
        <v>-13.8370990753173</v>
      </c>
      <c r="B414" s="11">
        <v>-7.28953742980957</v>
      </c>
      <c r="C414" s="11">
        <v>0.0</v>
      </c>
      <c r="D414" s="11" t="s">
        <v>1061</v>
      </c>
      <c r="E414" s="11">
        <v>0.0</v>
      </c>
      <c r="F414" s="11" t="s">
        <v>1505</v>
      </c>
      <c r="I414" s="11">
        <v>34.3675804138183</v>
      </c>
      <c r="J414" s="11">
        <v>4.08849287033081</v>
      </c>
      <c r="K414" s="11">
        <v>0.0</v>
      </c>
      <c r="L414" s="11" t="s">
        <v>1390</v>
      </c>
      <c r="M414" s="11">
        <v>0.0</v>
      </c>
      <c r="N414" s="11" t="s">
        <v>2231</v>
      </c>
    </row>
    <row r="415">
      <c r="A415" s="11">
        <v>-13.8236532211303</v>
      </c>
      <c r="B415" s="11">
        <v>-7.2908387184143</v>
      </c>
      <c r="C415" s="11">
        <v>0.0</v>
      </c>
      <c r="D415" s="11" t="s">
        <v>1061</v>
      </c>
      <c r="E415" s="11">
        <v>0.0</v>
      </c>
      <c r="F415" s="11" t="s">
        <v>1506</v>
      </c>
      <c r="I415" s="11">
        <v>47.8603248596191</v>
      </c>
      <c r="J415" s="11">
        <v>-5.21916389465332</v>
      </c>
      <c r="K415" s="11">
        <v>-1.0</v>
      </c>
      <c r="L415" s="11" t="s">
        <v>1390</v>
      </c>
      <c r="M415" s="11">
        <v>-1.0</v>
      </c>
      <c r="N415" s="11" t="s">
        <v>2234</v>
      </c>
    </row>
    <row r="416">
      <c r="A416" s="11">
        <v>36.2639198303222</v>
      </c>
      <c r="B416" s="11">
        <v>-18.2557353973388</v>
      </c>
      <c r="C416" s="11">
        <v>0.0</v>
      </c>
      <c r="D416" s="11" t="s">
        <v>1061</v>
      </c>
      <c r="E416" s="11">
        <v>0.0</v>
      </c>
      <c r="F416" s="11" t="s">
        <v>1508</v>
      </c>
      <c r="I416" s="11">
        <v>20.185224533081</v>
      </c>
      <c r="J416" s="11">
        <v>0.348867416381835</v>
      </c>
      <c r="K416" s="11">
        <v>0.0</v>
      </c>
      <c r="L416" s="11" t="s">
        <v>1390</v>
      </c>
      <c r="M416" s="11">
        <v>0.0</v>
      </c>
      <c r="N416" s="11" t="s">
        <v>2236</v>
      </c>
    </row>
    <row r="417">
      <c r="A417" s="11">
        <v>-33.4977684020996</v>
      </c>
      <c r="B417" s="11">
        <v>-4.83086919784545</v>
      </c>
      <c r="C417" s="11">
        <v>0.0</v>
      </c>
      <c r="D417" s="11" t="s">
        <v>1061</v>
      </c>
      <c r="E417" s="11">
        <v>0.0</v>
      </c>
      <c r="F417" s="11" t="s">
        <v>1511</v>
      </c>
      <c r="I417" s="11">
        <v>9.90853691101074</v>
      </c>
      <c r="J417" s="11">
        <v>20.9215297698974</v>
      </c>
      <c r="K417" s="11">
        <v>0.0</v>
      </c>
      <c r="L417" s="11" t="s">
        <v>1390</v>
      </c>
      <c r="M417" s="11">
        <v>0.0</v>
      </c>
      <c r="N417" s="11" t="s">
        <v>2237</v>
      </c>
    </row>
    <row r="418">
      <c r="A418" s="11">
        <v>-36.5586929321289</v>
      </c>
      <c r="B418" s="11">
        <v>16.9031867980957</v>
      </c>
      <c r="C418" s="11">
        <v>0.0</v>
      </c>
      <c r="D418" s="11" t="s">
        <v>1061</v>
      </c>
      <c r="E418" s="11">
        <v>0.0</v>
      </c>
      <c r="F418" s="11" t="s">
        <v>1513</v>
      </c>
      <c r="I418" s="11">
        <v>-11.1359367370605</v>
      </c>
      <c r="J418" s="11">
        <v>33.3500595092773</v>
      </c>
      <c r="K418" s="11">
        <v>1.0</v>
      </c>
      <c r="L418" s="11" t="s">
        <v>1390</v>
      </c>
      <c r="M418" s="11">
        <v>1.0</v>
      </c>
      <c r="N418" s="11" t="s">
        <v>2239</v>
      </c>
    </row>
    <row r="419">
      <c r="A419" s="11">
        <v>-26.3326988220214</v>
      </c>
      <c r="B419" s="11">
        <v>17.2003345489501</v>
      </c>
      <c r="C419" s="11">
        <v>0.0</v>
      </c>
      <c r="D419" s="11" t="s">
        <v>1515</v>
      </c>
      <c r="E419" s="11">
        <v>0.0</v>
      </c>
      <c r="F419" s="11" t="s">
        <v>1517</v>
      </c>
      <c r="I419" s="11">
        <v>12.4691667556762</v>
      </c>
      <c r="J419" s="11">
        <v>18.6087169647216</v>
      </c>
      <c r="K419" s="11">
        <v>0.0</v>
      </c>
      <c r="L419" s="11" t="s">
        <v>1390</v>
      </c>
      <c r="M419" s="11">
        <v>0.0</v>
      </c>
      <c r="N419" s="11" t="s">
        <v>2241</v>
      </c>
    </row>
    <row r="420">
      <c r="A420" s="11">
        <v>-21.0543136596679</v>
      </c>
      <c r="B420" s="11">
        <v>-8.061861038208</v>
      </c>
      <c r="C420" s="11">
        <v>0.0</v>
      </c>
      <c r="D420" s="11" t="s">
        <v>1515</v>
      </c>
      <c r="E420" s="11">
        <v>0.0</v>
      </c>
      <c r="F420" s="11" t="s">
        <v>1519</v>
      </c>
      <c r="I420" s="11">
        <v>33.9195823669433</v>
      </c>
      <c r="J420" s="11">
        <v>2.77351570129394</v>
      </c>
      <c r="K420" s="11">
        <v>0.0</v>
      </c>
      <c r="L420" s="11" t="s">
        <v>1390</v>
      </c>
      <c r="M420" s="11">
        <v>0.0</v>
      </c>
      <c r="N420" s="11" t="s">
        <v>2243</v>
      </c>
    </row>
    <row r="421">
      <c r="A421" s="11">
        <v>-17.505142211914</v>
      </c>
      <c r="B421" s="11">
        <v>19.5905609130859</v>
      </c>
      <c r="C421" s="11">
        <v>0.0</v>
      </c>
      <c r="D421" s="11" t="s">
        <v>1515</v>
      </c>
      <c r="E421" s="11">
        <v>0.0</v>
      </c>
      <c r="F421" s="11" t="s">
        <v>2247</v>
      </c>
      <c r="I421" s="11">
        <v>-15.6253356933593</v>
      </c>
      <c r="J421" s="11">
        <v>40.8788032531738</v>
      </c>
      <c r="K421" s="11">
        <v>2.0</v>
      </c>
      <c r="L421" s="11" t="s">
        <v>1390</v>
      </c>
      <c r="M421" s="11">
        <v>2.0</v>
      </c>
      <c r="N421" s="11" t="s">
        <v>2245</v>
      </c>
    </row>
    <row r="422">
      <c r="A422" s="11">
        <v>16.9004611968994</v>
      </c>
      <c r="B422" s="11">
        <v>-22.567190170288</v>
      </c>
      <c r="C422" s="11">
        <v>0.0</v>
      </c>
      <c r="D422" s="11" t="s">
        <v>1515</v>
      </c>
      <c r="E422" s="11">
        <v>0.0</v>
      </c>
      <c r="F422" s="11" t="s">
        <v>1522</v>
      </c>
      <c r="I422" s="11">
        <v>-10.6709852218627</v>
      </c>
      <c r="J422" s="11">
        <v>26.0086193084716</v>
      </c>
      <c r="K422" s="11">
        <v>0.0</v>
      </c>
      <c r="L422" s="11" t="s">
        <v>1390</v>
      </c>
      <c r="M422" s="11">
        <v>0.0</v>
      </c>
      <c r="N422" s="11" t="s">
        <v>2248</v>
      </c>
    </row>
    <row r="423">
      <c r="A423" s="11">
        <v>19.6498908996582</v>
      </c>
      <c r="B423" s="11">
        <v>-22.4458599090576</v>
      </c>
      <c r="C423" s="11">
        <v>0.0</v>
      </c>
      <c r="D423" s="11" t="s">
        <v>1515</v>
      </c>
      <c r="E423" s="11">
        <v>0.0</v>
      </c>
      <c r="F423" s="11" t="s">
        <v>1524</v>
      </c>
      <c r="I423" s="11">
        <v>33.7032814025878</v>
      </c>
      <c r="J423" s="11">
        <v>4.53708410263061</v>
      </c>
      <c r="K423" s="11">
        <v>-1.0</v>
      </c>
      <c r="L423" s="11" t="s">
        <v>1390</v>
      </c>
      <c r="M423" s="11">
        <v>-1.0</v>
      </c>
      <c r="N423" s="11" t="s">
        <v>2250</v>
      </c>
    </row>
    <row r="424">
      <c r="A424" s="11">
        <v>28.3427333831787</v>
      </c>
      <c r="B424" s="11">
        <v>-16.7430248260498</v>
      </c>
      <c r="C424" s="11">
        <v>0.0</v>
      </c>
      <c r="D424" s="11" t="s">
        <v>1515</v>
      </c>
      <c r="E424" s="11">
        <v>0.0</v>
      </c>
      <c r="F424" s="11" t="s">
        <v>1526</v>
      </c>
      <c r="I424" s="11">
        <v>9.90853691101074</v>
      </c>
      <c r="J424" s="11">
        <v>20.9215297698974</v>
      </c>
      <c r="K424" s="11">
        <v>0.0</v>
      </c>
      <c r="L424" s="11" t="s">
        <v>1390</v>
      </c>
      <c r="M424" s="11">
        <v>0.0</v>
      </c>
      <c r="N424" s="11" t="s">
        <v>2251</v>
      </c>
    </row>
    <row r="425">
      <c r="A425" s="11">
        <v>-29.8945064544677</v>
      </c>
      <c r="B425" s="11">
        <v>15.0616722106933</v>
      </c>
      <c r="C425" s="11">
        <v>0.0</v>
      </c>
      <c r="D425" s="11" t="s">
        <v>1515</v>
      </c>
      <c r="E425" s="11">
        <v>0.0</v>
      </c>
      <c r="F425" s="11" t="s">
        <v>1528</v>
      </c>
      <c r="I425" s="11">
        <v>9.90853691101074</v>
      </c>
      <c r="J425" s="11">
        <v>20.9215297698974</v>
      </c>
      <c r="K425" s="11">
        <v>0.0</v>
      </c>
      <c r="L425" s="11" t="s">
        <v>1390</v>
      </c>
      <c r="M425" s="11">
        <v>0.0</v>
      </c>
      <c r="N425" s="11" t="s">
        <v>2253</v>
      </c>
    </row>
    <row r="426">
      <c r="A426" s="11">
        <v>34.0832290649414</v>
      </c>
      <c r="B426" s="11">
        <v>15.0095834732055</v>
      </c>
      <c r="C426" s="11">
        <v>2.0</v>
      </c>
      <c r="D426" s="11" t="s">
        <v>1515</v>
      </c>
      <c r="E426" s="11">
        <v>2.0</v>
      </c>
      <c r="F426" s="11" t="s">
        <v>2256</v>
      </c>
      <c r="I426" s="11">
        <v>49.3396339416503</v>
      </c>
      <c r="J426" s="11">
        <v>-15.1942806243896</v>
      </c>
      <c r="K426" s="11">
        <v>-2.0</v>
      </c>
      <c r="L426" s="11" t="s">
        <v>1390</v>
      </c>
      <c r="M426" s="11">
        <v>-2.0</v>
      </c>
      <c r="N426" s="11" t="s">
        <v>2255</v>
      </c>
    </row>
    <row r="427">
      <c r="A427" s="11">
        <v>-10.8050775527954</v>
      </c>
      <c r="B427" s="11">
        <v>-2.56604433059692</v>
      </c>
      <c r="C427" s="11">
        <v>0.0</v>
      </c>
      <c r="D427" s="11" t="s">
        <v>1515</v>
      </c>
      <c r="E427" s="11">
        <v>0.0</v>
      </c>
      <c r="F427" s="11" t="s">
        <v>1530</v>
      </c>
      <c r="I427" s="11">
        <v>4.07223558425903</v>
      </c>
      <c r="J427" s="11">
        <v>13.6498107910156</v>
      </c>
      <c r="K427" s="11">
        <v>0.0</v>
      </c>
      <c r="L427" s="11" t="s">
        <v>1390</v>
      </c>
      <c r="M427" s="11">
        <v>0.0</v>
      </c>
      <c r="N427" s="11" t="s">
        <v>2258</v>
      </c>
    </row>
    <row r="428">
      <c r="A428" s="11">
        <v>-4.67205715179443</v>
      </c>
      <c r="B428" s="11">
        <v>-9.2777624130249</v>
      </c>
      <c r="C428" s="11">
        <v>0.0</v>
      </c>
      <c r="D428" s="11" t="s">
        <v>1515</v>
      </c>
      <c r="E428" s="11">
        <v>0.0</v>
      </c>
      <c r="F428" s="11" t="s">
        <v>1532</v>
      </c>
      <c r="I428" s="11">
        <v>27.3597736358642</v>
      </c>
      <c r="J428" s="11">
        <v>0.877434730529785</v>
      </c>
      <c r="K428" s="11">
        <v>0.0</v>
      </c>
      <c r="L428" s="11" t="s">
        <v>1390</v>
      </c>
      <c r="M428" s="11">
        <v>0.0</v>
      </c>
      <c r="N428" s="11" t="s">
        <v>2259</v>
      </c>
    </row>
    <row r="429">
      <c r="A429" s="11">
        <v>-29.597370147705</v>
      </c>
      <c r="B429" s="11">
        <v>2.89333891868591</v>
      </c>
      <c r="C429" s="11">
        <v>0.0</v>
      </c>
      <c r="D429" s="11" t="s">
        <v>1515</v>
      </c>
      <c r="E429" s="11">
        <v>0.0</v>
      </c>
      <c r="F429" s="11" t="s">
        <v>1534</v>
      </c>
      <c r="I429" s="11">
        <v>5.22019624710083</v>
      </c>
      <c r="J429" s="11">
        <v>22.9417667388916</v>
      </c>
      <c r="K429" s="11">
        <v>0.0</v>
      </c>
      <c r="L429" s="11" t="s">
        <v>1390</v>
      </c>
      <c r="M429" s="11">
        <v>0.0</v>
      </c>
      <c r="N429" s="11" t="s">
        <v>2261</v>
      </c>
    </row>
    <row r="430">
      <c r="A430" s="11">
        <v>33.2413101196289</v>
      </c>
      <c r="B430" s="11">
        <v>-17.7638435363769</v>
      </c>
      <c r="C430" s="11">
        <v>0.0</v>
      </c>
      <c r="D430" s="11" t="s">
        <v>1515</v>
      </c>
      <c r="E430" s="11">
        <v>0.0</v>
      </c>
      <c r="F430" s="11" t="s">
        <v>1536</v>
      </c>
      <c r="I430" s="11">
        <v>31.3037586212158</v>
      </c>
      <c r="J430" s="11">
        <v>1.10712683200836</v>
      </c>
      <c r="K430" s="11">
        <v>0.0</v>
      </c>
      <c r="L430" s="11" t="s">
        <v>1390</v>
      </c>
      <c r="M430" s="11">
        <v>0.0</v>
      </c>
      <c r="N430" s="11" t="s">
        <v>2263</v>
      </c>
    </row>
    <row r="431">
      <c r="A431" s="11">
        <v>-32.3632698059082</v>
      </c>
      <c r="B431" s="11">
        <v>27.0681953430175</v>
      </c>
      <c r="C431" s="11">
        <v>-1.0</v>
      </c>
      <c r="D431" s="11" t="s">
        <v>1515</v>
      </c>
      <c r="E431" s="11">
        <v>-1.0</v>
      </c>
      <c r="F431" s="11" t="s">
        <v>1537</v>
      </c>
      <c r="I431" s="11">
        <v>-10.6709852218627</v>
      </c>
      <c r="J431" s="11">
        <v>26.0086193084716</v>
      </c>
      <c r="K431" s="11">
        <v>0.0</v>
      </c>
      <c r="L431" s="11" t="s">
        <v>1390</v>
      </c>
      <c r="M431" s="11">
        <v>0.0</v>
      </c>
      <c r="N431" s="11" t="s">
        <v>2265</v>
      </c>
    </row>
    <row r="432">
      <c r="A432" s="11">
        <v>-31.0010547637939</v>
      </c>
      <c r="B432" s="11">
        <v>25.9562358856201</v>
      </c>
      <c r="C432" s="11">
        <v>-1.0</v>
      </c>
      <c r="D432" s="11" t="s">
        <v>1515</v>
      </c>
      <c r="E432" s="11">
        <v>-1.0</v>
      </c>
      <c r="F432" s="11" t="s">
        <v>1538</v>
      </c>
      <c r="I432" s="11">
        <v>-15.8875665664672</v>
      </c>
      <c r="J432" s="11">
        <v>-3.00249242782592</v>
      </c>
      <c r="K432" s="11">
        <v>-1.0</v>
      </c>
      <c r="L432" s="11" t="s">
        <v>1390</v>
      </c>
      <c r="M432" s="11">
        <v>-1.0</v>
      </c>
      <c r="N432" s="11" t="s">
        <v>2267</v>
      </c>
    </row>
    <row r="433">
      <c r="A433" s="11">
        <v>28.5704174041748</v>
      </c>
      <c r="B433" s="11">
        <v>-16.4688167572021</v>
      </c>
      <c r="C433" s="11">
        <v>0.0</v>
      </c>
      <c r="D433" s="11" t="s">
        <v>1515</v>
      </c>
      <c r="E433" s="11">
        <v>0.0</v>
      </c>
      <c r="F433" s="11" t="s">
        <v>1540</v>
      </c>
      <c r="I433" s="11">
        <v>46.5287551879882</v>
      </c>
      <c r="J433" s="11">
        <v>-6.49123001098632</v>
      </c>
      <c r="K433" s="11">
        <v>0.0</v>
      </c>
      <c r="L433" s="11" t="s">
        <v>1390</v>
      </c>
      <c r="M433" s="11">
        <v>0.0</v>
      </c>
      <c r="N433" s="11" t="s">
        <v>2269</v>
      </c>
    </row>
    <row r="434">
      <c r="A434" s="11">
        <v>-33.1031875610351</v>
      </c>
      <c r="B434" s="11">
        <v>-14.2214374542236</v>
      </c>
      <c r="C434" s="11">
        <v>0.0</v>
      </c>
      <c r="D434" s="11" t="s">
        <v>1515</v>
      </c>
      <c r="E434" s="11">
        <v>0.0</v>
      </c>
      <c r="F434" s="11" t="s">
        <v>1543</v>
      </c>
      <c r="I434" s="11">
        <v>32.9118919372558</v>
      </c>
      <c r="J434" s="11">
        <v>4.35804462432861</v>
      </c>
      <c r="K434" s="11">
        <v>-1.0</v>
      </c>
      <c r="L434" s="11" t="s">
        <v>1390</v>
      </c>
      <c r="M434" s="11">
        <v>-1.0</v>
      </c>
      <c r="N434" s="11" t="s">
        <v>2270</v>
      </c>
    </row>
    <row r="435">
      <c r="A435" s="11">
        <v>-19.6389484405517</v>
      </c>
      <c r="B435" s="11">
        <v>-6.80947256088256</v>
      </c>
      <c r="C435" s="11">
        <v>0.0</v>
      </c>
      <c r="D435" s="11" t="s">
        <v>1515</v>
      </c>
      <c r="E435" s="11">
        <v>0.0</v>
      </c>
      <c r="F435" s="11" t="s">
        <v>1545</v>
      </c>
      <c r="I435" s="11">
        <v>19.317398071289</v>
      </c>
      <c r="J435" s="11">
        <v>0.801660001277923</v>
      </c>
      <c r="K435" s="11">
        <v>0.0</v>
      </c>
      <c r="L435" s="11" t="s">
        <v>1390</v>
      </c>
      <c r="M435" s="11">
        <v>0.0</v>
      </c>
      <c r="N435" s="11" t="s">
        <v>2272</v>
      </c>
    </row>
    <row r="436">
      <c r="A436" s="11">
        <v>-21.6307163238525</v>
      </c>
      <c r="B436" s="11">
        <v>23.9029541015625</v>
      </c>
      <c r="C436" s="11">
        <v>0.0</v>
      </c>
      <c r="D436" s="11" t="s">
        <v>1515</v>
      </c>
      <c r="E436" s="11">
        <v>0.0</v>
      </c>
      <c r="F436" s="11" t="s">
        <v>1547</v>
      </c>
      <c r="I436" s="11">
        <v>49.0454978942871</v>
      </c>
      <c r="J436" s="11">
        <v>-20.7084197998046</v>
      </c>
      <c r="K436" s="11">
        <v>-2.0</v>
      </c>
      <c r="L436" s="11" t="s">
        <v>1879</v>
      </c>
      <c r="M436" s="11">
        <v>-2.0</v>
      </c>
      <c r="N436" s="11" t="s">
        <v>2274</v>
      </c>
    </row>
    <row r="437">
      <c r="A437" s="11">
        <v>-23.6104393005371</v>
      </c>
      <c r="B437" s="11">
        <v>17.1325550079345</v>
      </c>
      <c r="C437" s="11">
        <v>0.0</v>
      </c>
      <c r="D437" s="11" t="s">
        <v>1515</v>
      </c>
      <c r="E437" s="11">
        <v>0.0</v>
      </c>
      <c r="F437" s="11" t="s">
        <v>1549</v>
      </c>
      <c r="I437" s="11">
        <v>3.67191481590271</v>
      </c>
      <c r="J437" s="11">
        <v>-7.10015058517456</v>
      </c>
      <c r="K437" s="11">
        <v>0.0</v>
      </c>
      <c r="L437" s="11" t="s">
        <v>1879</v>
      </c>
      <c r="M437" s="11">
        <v>0.0</v>
      </c>
      <c r="N437" s="11" t="s">
        <v>2276</v>
      </c>
    </row>
    <row r="438">
      <c r="A438" s="11">
        <v>-17.3834152221679</v>
      </c>
      <c r="B438" s="11">
        <v>11.5523624420166</v>
      </c>
      <c r="C438" s="11">
        <v>0.0</v>
      </c>
      <c r="D438" s="11" t="s">
        <v>1515</v>
      </c>
      <c r="E438" s="11">
        <v>0.0</v>
      </c>
      <c r="F438" s="11" t="s">
        <v>1551</v>
      </c>
      <c r="I438" s="11">
        <v>-8.09704685211181</v>
      </c>
      <c r="J438" s="11">
        <v>-10.9756116867065</v>
      </c>
      <c r="K438" s="11">
        <v>0.0</v>
      </c>
      <c r="L438" s="11" t="s">
        <v>1879</v>
      </c>
      <c r="M438" s="11">
        <v>0.0</v>
      </c>
      <c r="N438" s="11" t="s">
        <v>2278</v>
      </c>
    </row>
    <row r="439">
      <c r="A439" s="11">
        <v>36.1727256774902</v>
      </c>
      <c r="B439" s="11">
        <v>20.6161918640136</v>
      </c>
      <c r="C439" s="11">
        <v>2.0</v>
      </c>
      <c r="D439" s="11" t="s">
        <v>1515</v>
      </c>
      <c r="E439" s="11">
        <v>2.0</v>
      </c>
      <c r="F439" s="11" t="s">
        <v>1553</v>
      </c>
      <c r="I439" s="11">
        <v>-8.59701919555664</v>
      </c>
      <c r="J439" s="11">
        <v>-12.0305805206298</v>
      </c>
      <c r="K439" s="11">
        <v>0.0</v>
      </c>
      <c r="L439" s="11" t="s">
        <v>1879</v>
      </c>
      <c r="M439" s="11">
        <v>0.0</v>
      </c>
      <c r="N439" s="11" t="s">
        <v>2280</v>
      </c>
    </row>
    <row r="440">
      <c r="A440" s="11">
        <v>-5.62918710708618</v>
      </c>
      <c r="B440" s="11">
        <v>-6.56977605819702</v>
      </c>
      <c r="C440" s="11">
        <v>0.0</v>
      </c>
      <c r="D440" s="11" t="s">
        <v>1515</v>
      </c>
      <c r="E440" s="11">
        <v>0.0</v>
      </c>
      <c r="F440" s="11" t="s">
        <v>1554</v>
      </c>
      <c r="I440" s="11">
        <v>-4.33563899993896</v>
      </c>
      <c r="J440" s="11">
        <v>-5.79331827163696</v>
      </c>
      <c r="K440" s="11">
        <v>0.0</v>
      </c>
      <c r="L440" s="11" t="s">
        <v>1879</v>
      </c>
      <c r="M440" s="11">
        <v>0.0</v>
      </c>
      <c r="N440" s="11" t="s">
        <v>2282</v>
      </c>
    </row>
    <row r="441">
      <c r="A441" s="11">
        <v>36.9539909362793</v>
      </c>
      <c r="B441" s="11">
        <v>14.3473300933837</v>
      </c>
      <c r="C441" s="11">
        <v>2.0</v>
      </c>
      <c r="D441" s="11" t="s">
        <v>1515</v>
      </c>
      <c r="E441" s="11">
        <v>2.0</v>
      </c>
      <c r="F441" s="11" t="s">
        <v>1556</v>
      </c>
      <c r="I441" s="11">
        <v>48.3260993957519</v>
      </c>
      <c r="J441" s="11">
        <v>-22.5178680419921</v>
      </c>
      <c r="K441" s="11">
        <v>-2.0</v>
      </c>
      <c r="L441" s="11" t="s">
        <v>1879</v>
      </c>
      <c r="M441" s="11">
        <v>-2.0</v>
      </c>
      <c r="N441" s="11" t="s">
        <v>2284</v>
      </c>
    </row>
    <row r="442">
      <c r="A442" s="11">
        <v>-5.62918710708618</v>
      </c>
      <c r="B442" s="11">
        <v>-6.56977605819702</v>
      </c>
      <c r="C442" s="11">
        <v>0.0</v>
      </c>
      <c r="D442" s="11" t="s">
        <v>1515</v>
      </c>
      <c r="E442" s="11">
        <v>0.0</v>
      </c>
      <c r="F442" s="11" t="s">
        <v>1558</v>
      </c>
      <c r="I442" s="11">
        <v>-8.92131423950195</v>
      </c>
      <c r="J442" s="11">
        <v>-10.9907846450805</v>
      </c>
      <c r="K442" s="11">
        <v>0.0</v>
      </c>
      <c r="L442" s="11" t="s">
        <v>1879</v>
      </c>
      <c r="M442" s="11">
        <v>0.0</v>
      </c>
      <c r="N442" s="11" t="s">
        <v>2286</v>
      </c>
    </row>
    <row r="443">
      <c r="A443" s="11">
        <v>20.0680847167968</v>
      </c>
      <c r="B443" s="11">
        <v>-24.2481346130371</v>
      </c>
      <c r="C443" s="11">
        <v>0.0</v>
      </c>
      <c r="D443" s="11" t="s">
        <v>1515</v>
      </c>
      <c r="E443" s="11">
        <v>0.0</v>
      </c>
      <c r="F443" s="11" t="s">
        <v>1559</v>
      </c>
      <c r="I443" s="11">
        <v>19.5784721374511</v>
      </c>
      <c r="J443" s="11">
        <v>-1.52068710327148</v>
      </c>
      <c r="K443" s="11">
        <v>0.0</v>
      </c>
      <c r="L443" s="11" t="s">
        <v>1879</v>
      </c>
      <c r="M443" s="11">
        <v>0.0</v>
      </c>
      <c r="N443" s="11" t="s">
        <v>2288</v>
      </c>
    </row>
    <row r="444">
      <c r="A444" s="11">
        <v>-6.08196401596069</v>
      </c>
      <c r="B444" s="11">
        <v>-50.7753639221191</v>
      </c>
      <c r="C444" s="11">
        <v>0.0</v>
      </c>
      <c r="D444" s="11" t="s">
        <v>1515</v>
      </c>
      <c r="E444" s="11">
        <v>0.0</v>
      </c>
      <c r="F444" s="11" t="s">
        <v>1561</v>
      </c>
      <c r="I444" s="11">
        <v>-27.5476970672607</v>
      </c>
      <c r="J444" s="11">
        <v>-9.44521522521972</v>
      </c>
      <c r="K444" s="11">
        <v>0.0</v>
      </c>
      <c r="L444" s="11" t="s">
        <v>1879</v>
      </c>
      <c r="M444" s="11">
        <v>0.0</v>
      </c>
      <c r="N444" s="11" t="s">
        <v>2289</v>
      </c>
    </row>
    <row r="445">
      <c r="A445" s="11">
        <v>-29.0629119873046</v>
      </c>
      <c r="B445" s="11">
        <v>-2.67533063888549</v>
      </c>
      <c r="C445" s="11">
        <v>0.0</v>
      </c>
      <c r="D445" s="11" t="s">
        <v>1515</v>
      </c>
      <c r="E445" s="11">
        <v>0.0</v>
      </c>
      <c r="F445" s="11" t="s">
        <v>2292</v>
      </c>
      <c r="I445" s="11">
        <v>-13.1909790039062</v>
      </c>
      <c r="J445" s="11">
        <v>-16.5537700653076</v>
      </c>
      <c r="K445" s="11">
        <v>0.0</v>
      </c>
      <c r="L445" s="11" t="s">
        <v>1879</v>
      </c>
      <c r="M445" s="11">
        <v>0.0</v>
      </c>
      <c r="N445" s="11" t="s">
        <v>2291</v>
      </c>
    </row>
    <row r="446">
      <c r="A446" s="11">
        <v>-29.7619552612304</v>
      </c>
      <c r="B446" s="11">
        <v>13.6252460479736</v>
      </c>
      <c r="C446" s="11">
        <v>0.0</v>
      </c>
      <c r="D446" s="11" t="s">
        <v>1515</v>
      </c>
      <c r="E446" s="11">
        <v>0.0</v>
      </c>
      <c r="F446" s="11" t="s">
        <v>1563</v>
      </c>
      <c r="I446" s="11">
        <v>-3.82524299621582</v>
      </c>
      <c r="J446" s="11">
        <v>-5.1410789489746</v>
      </c>
      <c r="K446" s="11">
        <v>0.0</v>
      </c>
      <c r="L446" s="11" t="s">
        <v>1879</v>
      </c>
      <c r="M446" s="11">
        <v>0.0</v>
      </c>
      <c r="N446" s="11" t="s">
        <v>2294</v>
      </c>
    </row>
    <row r="447">
      <c r="A447" s="11">
        <v>-6.25174379348754</v>
      </c>
      <c r="B447" s="11">
        <v>-13.8690881729125</v>
      </c>
      <c r="C447" s="11">
        <v>0.0</v>
      </c>
      <c r="D447" s="11" t="s">
        <v>1515</v>
      </c>
      <c r="E447" s="11">
        <v>0.0</v>
      </c>
      <c r="F447" s="11" t="s">
        <v>1565</v>
      </c>
      <c r="I447" s="11">
        <v>-7.41255235671997</v>
      </c>
      <c r="J447" s="11">
        <v>-11.55699634552</v>
      </c>
      <c r="K447" s="11">
        <v>0.0</v>
      </c>
      <c r="L447" s="11" t="s">
        <v>1879</v>
      </c>
      <c r="M447" s="11">
        <v>0.0</v>
      </c>
      <c r="N447" s="11" t="s">
        <v>2296</v>
      </c>
    </row>
    <row r="448">
      <c r="A448" s="11">
        <v>-6.62190008163452</v>
      </c>
      <c r="B448" s="11">
        <v>-51.213077545166</v>
      </c>
      <c r="C448" s="11">
        <v>0.0</v>
      </c>
      <c r="D448" s="11" t="s">
        <v>1515</v>
      </c>
      <c r="E448" s="11">
        <v>0.0</v>
      </c>
      <c r="F448" s="11" t="s">
        <v>1567</v>
      </c>
      <c r="I448" s="11">
        <v>-8.59701919555664</v>
      </c>
      <c r="J448" s="11">
        <v>-12.0305805206298</v>
      </c>
      <c r="K448" s="11">
        <v>0.0</v>
      </c>
      <c r="L448" s="11" t="s">
        <v>1879</v>
      </c>
      <c r="M448" s="11">
        <v>0.0</v>
      </c>
      <c r="N448" s="11" t="s">
        <v>2298</v>
      </c>
    </row>
    <row r="449">
      <c r="A449" s="11">
        <v>31.4172534942626</v>
      </c>
      <c r="B449" s="11">
        <v>-16.1061172485351</v>
      </c>
      <c r="C449" s="11">
        <v>0.0</v>
      </c>
      <c r="D449" s="11" t="s">
        <v>1515</v>
      </c>
      <c r="E449" s="11">
        <v>0.0</v>
      </c>
      <c r="F449" s="11" t="s">
        <v>1569</v>
      </c>
      <c r="I449" s="11">
        <v>-7.5243911743164</v>
      </c>
      <c r="J449" s="11">
        <v>-12.3569946289062</v>
      </c>
      <c r="K449" s="11">
        <v>0.0</v>
      </c>
      <c r="L449" s="11" t="s">
        <v>1879</v>
      </c>
      <c r="M449" s="11">
        <v>0.0</v>
      </c>
      <c r="N449" s="11" t="s">
        <v>2300</v>
      </c>
    </row>
    <row r="450">
      <c r="A450" s="11">
        <v>24.2784805297851</v>
      </c>
      <c r="B450" s="11">
        <v>-1.32347798347473</v>
      </c>
      <c r="C450" s="11">
        <v>1.0</v>
      </c>
      <c r="D450" s="11" t="s">
        <v>1515</v>
      </c>
      <c r="E450" s="11">
        <v>1.0</v>
      </c>
      <c r="F450" s="11" t="s">
        <v>1571</v>
      </c>
      <c r="I450" s="11">
        <v>47.6256370544433</v>
      </c>
      <c r="J450" s="11">
        <v>-14.7214746475219</v>
      </c>
      <c r="K450" s="11">
        <v>-2.0</v>
      </c>
      <c r="L450" s="11" t="s">
        <v>1879</v>
      </c>
      <c r="M450" s="11">
        <v>-2.0</v>
      </c>
      <c r="N450" s="11" t="s">
        <v>2301</v>
      </c>
    </row>
    <row r="451">
      <c r="A451" s="11">
        <v>-37.872272491455</v>
      </c>
      <c r="B451" s="11">
        <v>37.5611457824707</v>
      </c>
      <c r="C451" s="11">
        <v>-2.0</v>
      </c>
      <c r="D451" s="11" t="s">
        <v>1515</v>
      </c>
      <c r="E451" s="11">
        <v>-2.0</v>
      </c>
      <c r="F451" s="11" t="s">
        <v>1574</v>
      </c>
      <c r="I451" s="11">
        <v>15.4099054336547</v>
      </c>
      <c r="J451" s="11">
        <v>-0.257974654436111</v>
      </c>
      <c r="K451" s="11">
        <v>0.0</v>
      </c>
      <c r="L451" s="11" t="s">
        <v>1879</v>
      </c>
      <c r="M451" s="11">
        <v>0.0</v>
      </c>
      <c r="N451" s="11" t="s">
        <v>2303</v>
      </c>
    </row>
    <row r="452">
      <c r="A452" s="11">
        <v>31.1888065338134</v>
      </c>
      <c r="B452" s="11">
        <v>23.194688796997</v>
      </c>
      <c r="C452" s="11">
        <v>2.0</v>
      </c>
      <c r="D452" s="11" t="s">
        <v>1515</v>
      </c>
      <c r="E452" s="11">
        <v>2.0</v>
      </c>
      <c r="F452" s="11" t="s">
        <v>2306</v>
      </c>
      <c r="I452" s="11">
        <v>-12.7665891647338</v>
      </c>
      <c r="J452" s="11">
        <v>-15.9744253158569</v>
      </c>
      <c r="K452" s="11">
        <v>0.0</v>
      </c>
      <c r="L452" s="11" t="s">
        <v>1879</v>
      </c>
      <c r="M452" s="11">
        <v>0.0</v>
      </c>
      <c r="N452" s="11" t="s">
        <v>2305</v>
      </c>
    </row>
    <row r="453">
      <c r="A453" s="11">
        <v>44.1470336914062</v>
      </c>
      <c r="B453" s="11">
        <v>-4.94114017486572</v>
      </c>
      <c r="C453" s="11">
        <v>1.0</v>
      </c>
      <c r="D453" s="11" t="s">
        <v>1515</v>
      </c>
      <c r="E453" s="11">
        <v>1.0</v>
      </c>
      <c r="F453" s="11" t="s">
        <v>1576</v>
      </c>
      <c r="I453" s="11">
        <v>-15.4406366348266</v>
      </c>
      <c r="J453" s="11">
        <v>-2.46364164352417</v>
      </c>
      <c r="K453" s="11">
        <v>-1.0</v>
      </c>
      <c r="L453" s="11" t="s">
        <v>1879</v>
      </c>
      <c r="M453" s="11">
        <v>-1.0</v>
      </c>
      <c r="N453" s="11" t="s">
        <v>2307</v>
      </c>
    </row>
    <row r="454">
      <c r="A454" s="11">
        <v>-30.8028812408447</v>
      </c>
      <c r="B454" s="11">
        <v>-15.6331853866577</v>
      </c>
      <c r="C454" s="11">
        <v>0.0</v>
      </c>
      <c r="D454" s="11" t="s">
        <v>1515</v>
      </c>
      <c r="E454" s="11">
        <v>0.0</v>
      </c>
      <c r="F454" s="11" t="s">
        <v>1578</v>
      </c>
      <c r="I454" s="11">
        <v>-8.59701919555664</v>
      </c>
      <c r="J454" s="11">
        <v>-12.0305805206298</v>
      </c>
      <c r="K454" s="11">
        <v>0.0</v>
      </c>
      <c r="L454" s="11" t="s">
        <v>1879</v>
      </c>
      <c r="M454" s="11">
        <v>0.0</v>
      </c>
      <c r="N454" s="11" t="s">
        <v>2309</v>
      </c>
    </row>
    <row r="455">
      <c r="A455" s="11">
        <v>37.2758522033691</v>
      </c>
      <c r="B455" s="11">
        <v>13.924123764038</v>
      </c>
      <c r="C455" s="11">
        <v>1.0</v>
      </c>
      <c r="D455" s="11" t="s">
        <v>1515</v>
      </c>
      <c r="E455" s="11">
        <v>1.0</v>
      </c>
      <c r="F455" s="11" t="s">
        <v>1580</v>
      </c>
      <c r="I455" s="11">
        <v>-5.36824226379394</v>
      </c>
      <c r="J455" s="11">
        <v>-5.34170818328857</v>
      </c>
      <c r="K455" s="11">
        <v>0.0</v>
      </c>
      <c r="L455" s="11" t="s">
        <v>1879</v>
      </c>
      <c r="M455" s="11">
        <v>0.0</v>
      </c>
      <c r="N455" s="11" t="s">
        <v>2311</v>
      </c>
    </row>
    <row r="456">
      <c r="A456" s="11">
        <v>-10.3011951446533</v>
      </c>
      <c r="B456" s="11">
        <v>-12.9564056396484</v>
      </c>
      <c r="C456" s="11">
        <v>0.0</v>
      </c>
      <c r="D456" s="11" t="s">
        <v>1515</v>
      </c>
      <c r="E456" s="11">
        <v>0.0</v>
      </c>
      <c r="F456" s="11" t="s">
        <v>1582</v>
      </c>
      <c r="I456" s="11">
        <v>-13.1909790039062</v>
      </c>
      <c r="J456" s="11">
        <v>-16.5537700653076</v>
      </c>
      <c r="K456" s="11">
        <v>0.0</v>
      </c>
      <c r="L456" s="11" t="s">
        <v>1879</v>
      </c>
      <c r="M456" s="11">
        <v>0.0</v>
      </c>
      <c r="N456" s="11" t="s">
        <v>2312</v>
      </c>
    </row>
    <row r="457">
      <c r="A457" s="11">
        <v>-20.5664539337158</v>
      </c>
      <c r="B457" s="11">
        <v>22.570083618164</v>
      </c>
      <c r="C457" s="11">
        <v>0.0</v>
      </c>
      <c r="D457" s="11" t="s">
        <v>1515</v>
      </c>
      <c r="E457" s="11">
        <v>0.0</v>
      </c>
      <c r="F457" s="11" t="s">
        <v>1585</v>
      </c>
      <c r="I457" s="11">
        <v>-12.7665891647338</v>
      </c>
      <c r="J457" s="11">
        <v>-15.9744253158569</v>
      </c>
      <c r="K457" s="11">
        <v>0.0</v>
      </c>
      <c r="L457" s="11" t="s">
        <v>1879</v>
      </c>
      <c r="M457" s="11">
        <v>0.0</v>
      </c>
      <c r="N457" s="11" t="s">
        <v>2315</v>
      </c>
    </row>
    <row r="458">
      <c r="A458" s="11">
        <v>24.8430156707763</v>
      </c>
      <c r="B458" s="11">
        <v>39.9274711608886</v>
      </c>
      <c r="C458" s="11">
        <v>2.0</v>
      </c>
      <c r="D458" s="11" t="s">
        <v>1515</v>
      </c>
      <c r="E458" s="11">
        <v>2.0</v>
      </c>
      <c r="F458" s="11" t="s">
        <v>1587</v>
      </c>
      <c r="I458" s="11">
        <v>6.58354187011718</v>
      </c>
      <c r="J458" s="11">
        <v>21.390209197998</v>
      </c>
      <c r="K458" s="11">
        <v>0.0</v>
      </c>
      <c r="L458" s="11" t="s">
        <v>1390</v>
      </c>
      <c r="M458" s="11">
        <v>0.0</v>
      </c>
      <c r="N458" s="11" t="s">
        <v>2317</v>
      </c>
    </row>
    <row r="459">
      <c r="A459" s="11">
        <v>29.5909595489501</v>
      </c>
      <c r="B459" s="11">
        <v>27.1887607574462</v>
      </c>
      <c r="C459" s="11">
        <v>2.0</v>
      </c>
      <c r="D459" s="11" t="s">
        <v>1515</v>
      </c>
      <c r="E459" s="11">
        <v>2.0</v>
      </c>
      <c r="F459" s="11" t="s">
        <v>1589</v>
      </c>
      <c r="I459" s="11">
        <v>-9.65943431854248</v>
      </c>
      <c r="J459" s="11">
        <v>32.5792121887207</v>
      </c>
      <c r="K459" s="11">
        <v>1.0</v>
      </c>
      <c r="L459" s="11" t="s">
        <v>1390</v>
      </c>
      <c r="M459" s="11">
        <v>1.0</v>
      </c>
      <c r="N459" s="11" t="s">
        <v>2319</v>
      </c>
    </row>
    <row r="460">
      <c r="A460" s="11">
        <v>-10.8050775527954</v>
      </c>
      <c r="B460" s="11">
        <v>-2.56604433059692</v>
      </c>
      <c r="C460" s="11">
        <v>0.0</v>
      </c>
      <c r="D460" s="11" t="s">
        <v>1515</v>
      </c>
      <c r="E460" s="11">
        <v>0.0</v>
      </c>
      <c r="F460" s="11" t="s">
        <v>1591</v>
      </c>
      <c r="I460" s="11">
        <v>15.5195960998535</v>
      </c>
      <c r="J460" s="11">
        <v>13.9496049880981</v>
      </c>
      <c r="K460" s="11">
        <v>0.0</v>
      </c>
      <c r="L460" s="11" t="s">
        <v>1390</v>
      </c>
      <c r="M460" s="11">
        <v>0.0</v>
      </c>
      <c r="N460" s="11" t="s">
        <v>2321</v>
      </c>
    </row>
    <row r="461">
      <c r="A461" s="11">
        <v>-29.2513351440429</v>
      </c>
      <c r="B461" s="11">
        <v>20.9365901947021</v>
      </c>
      <c r="C461" s="11">
        <v>0.0</v>
      </c>
      <c r="D461" s="11" t="s">
        <v>1515</v>
      </c>
      <c r="E461" s="11">
        <v>0.0</v>
      </c>
      <c r="F461" s="11" t="s">
        <v>1593</v>
      </c>
      <c r="I461" s="11">
        <v>49.1570892333984</v>
      </c>
      <c r="J461" s="11">
        <v>-1.57738745212554</v>
      </c>
      <c r="K461" s="11">
        <v>-1.0</v>
      </c>
      <c r="L461" s="11" t="s">
        <v>1390</v>
      </c>
      <c r="M461" s="11">
        <v>-1.0</v>
      </c>
      <c r="N461" s="11" t="s">
        <v>2322</v>
      </c>
    </row>
    <row r="462">
      <c r="A462" s="11">
        <v>17.1794109344482</v>
      </c>
      <c r="B462" s="11">
        <v>-15.1809797286987</v>
      </c>
      <c r="C462" s="11">
        <v>0.0</v>
      </c>
      <c r="D462" s="11" t="s">
        <v>1515</v>
      </c>
      <c r="E462" s="11">
        <v>0.0</v>
      </c>
      <c r="F462" s="11" t="s">
        <v>1595</v>
      </c>
      <c r="I462" s="11">
        <v>-0.518885135650634</v>
      </c>
      <c r="J462" s="11">
        <v>20.06734085083</v>
      </c>
      <c r="K462" s="11">
        <v>0.0</v>
      </c>
      <c r="L462" s="11" t="s">
        <v>1390</v>
      </c>
      <c r="M462" s="11">
        <v>0.0</v>
      </c>
      <c r="N462" s="11" t="s">
        <v>2324</v>
      </c>
    </row>
    <row r="463">
      <c r="A463" s="11">
        <v>-16.0600395202636</v>
      </c>
      <c r="B463" s="11">
        <v>-7.29530954360961</v>
      </c>
      <c r="C463" s="11">
        <v>0.0</v>
      </c>
      <c r="D463" s="11" t="s">
        <v>1515</v>
      </c>
      <c r="E463" s="11">
        <v>0.0</v>
      </c>
      <c r="F463" s="11" t="s">
        <v>1598</v>
      </c>
      <c r="I463" s="11">
        <v>-3.08588242530822</v>
      </c>
      <c r="J463" s="11">
        <v>23.5710277557373</v>
      </c>
      <c r="K463" s="11">
        <v>1.0</v>
      </c>
      <c r="L463" s="11" t="s">
        <v>1390</v>
      </c>
      <c r="M463" s="11">
        <v>1.0</v>
      </c>
      <c r="N463" s="11" t="s">
        <v>2326</v>
      </c>
    </row>
    <row r="464">
      <c r="A464" s="11">
        <v>-13.6122360229492</v>
      </c>
      <c r="B464" s="11">
        <v>5.96244668960571</v>
      </c>
      <c r="C464" s="11">
        <v>0.0</v>
      </c>
      <c r="D464" s="11" t="s">
        <v>1515</v>
      </c>
      <c r="E464" s="11">
        <v>0.0</v>
      </c>
      <c r="F464" s="11" t="s">
        <v>1600</v>
      </c>
      <c r="I464" s="11">
        <v>-11.7181339263916</v>
      </c>
      <c r="J464" s="11">
        <v>-17.382080078125</v>
      </c>
      <c r="K464" s="11">
        <v>0.0</v>
      </c>
      <c r="L464" s="11" t="s">
        <v>1390</v>
      </c>
      <c r="M464" s="11">
        <v>0.0</v>
      </c>
      <c r="N464" s="11" t="s">
        <v>2328</v>
      </c>
    </row>
    <row r="465">
      <c r="A465" s="11">
        <v>19.2254886627197</v>
      </c>
      <c r="B465" s="11">
        <v>-20.7058677673339</v>
      </c>
      <c r="C465" s="11">
        <v>0.0</v>
      </c>
      <c r="D465" s="11" t="s">
        <v>1515</v>
      </c>
      <c r="E465" s="11">
        <v>0.0</v>
      </c>
      <c r="F465" s="11" t="s">
        <v>1602</v>
      </c>
      <c r="I465" s="11">
        <v>-21.993293762207</v>
      </c>
      <c r="J465" s="11">
        <v>39.8868255615234</v>
      </c>
      <c r="K465" s="11">
        <v>1.0</v>
      </c>
      <c r="L465" s="11" t="s">
        <v>1390</v>
      </c>
      <c r="M465" s="11">
        <v>1.0</v>
      </c>
      <c r="N465" s="11" t="s">
        <v>2330</v>
      </c>
    </row>
    <row r="466">
      <c r="A466" s="11">
        <v>17.378662109375</v>
      </c>
      <c r="B466" s="11">
        <v>-22.136583328247</v>
      </c>
      <c r="C466" s="11">
        <v>0.0</v>
      </c>
      <c r="D466" s="11" t="s">
        <v>1515</v>
      </c>
      <c r="E466" s="11">
        <v>0.0</v>
      </c>
      <c r="F466" s="11" t="s">
        <v>1604</v>
      </c>
      <c r="I466" s="11">
        <v>2.59290409088134</v>
      </c>
      <c r="J466" s="11">
        <v>16.5291538238525</v>
      </c>
      <c r="K466" s="11">
        <v>0.0</v>
      </c>
      <c r="L466" s="11" t="s">
        <v>1390</v>
      </c>
      <c r="M466" s="11">
        <v>0.0</v>
      </c>
      <c r="N466" s="11" t="s">
        <v>2331</v>
      </c>
    </row>
    <row r="467">
      <c r="A467" s="11">
        <v>-16.153413772583</v>
      </c>
      <c r="B467" s="11">
        <v>-11.0021953582763</v>
      </c>
      <c r="C467" s="11">
        <v>0.0</v>
      </c>
      <c r="D467" s="11" t="s">
        <v>1515</v>
      </c>
      <c r="E467" s="11">
        <v>0.0</v>
      </c>
      <c r="F467" s="11" t="s">
        <v>1606</v>
      </c>
      <c r="I467" s="11">
        <v>18.7420063018798</v>
      </c>
      <c r="J467" s="11">
        <v>12.8156328201293</v>
      </c>
      <c r="K467" s="11">
        <v>0.0</v>
      </c>
      <c r="L467" s="11" t="s">
        <v>1390</v>
      </c>
      <c r="M467" s="11">
        <v>0.0</v>
      </c>
      <c r="N467" s="11" t="s">
        <v>2333</v>
      </c>
    </row>
    <row r="468">
      <c r="A468" s="11">
        <v>-17.8302955627441</v>
      </c>
      <c r="B468" s="11">
        <v>-11.5199651718139</v>
      </c>
      <c r="C468" s="11">
        <v>0.0</v>
      </c>
      <c r="D468" s="11" t="s">
        <v>1515</v>
      </c>
      <c r="E468" s="11">
        <v>0.0</v>
      </c>
      <c r="F468" s="11" t="s">
        <v>1608</v>
      </c>
      <c r="I468" s="11">
        <v>49.2566566467285</v>
      </c>
      <c r="J468" s="11">
        <v>-1.83670127391815</v>
      </c>
      <c r="K468" s="11">
        <v>-1.0</v>
      </c>
      <c r="L468" s="11" t="s">
        <v>1390</v>
      </c>
      <c r="M468" s="11">
        <v>-1.0</v>
      </c>
      <c r="N468" s="11" t="s">
        <v>2334</v>
      </c>
    </row>
    <row r="469">
      <c r="A469" s="11">
        <v>-8.62239456176757</v>
      </c>
      <c r="B469" s="11">
        <v>-13.4463911056518</v>
      </c>
      <c r="C469" s="11">
        <v>0.0</v>
      </c>
      <c r="D469" s="11" t="s">
        <v>1515</v>
      </c>
      <c r="E469" s="11">
        <v>0.0</v>
      </c>
      <c r="F469" s="11" t="s">
        <v>1610</v>
      </c>
      <c r="I469" s="11">
        <v>8.16919898986816</v>
      </c>
      <c r="J469" s="11">
        <v>16.0682849884033</v>
      </c>
      <c r="K469" s="11">
        <v>0.0</v>
      </c>
      <c r="L469" s="11" t="s">
        <v>1390</v>
      </c>
      <c r="M469" s="11">
        <v>0.0</v>
      </c>
      <c r="N469" s="11" t="s">
        <v>2336</v>
      </c>
    </row>
    <row r="470">
      <c r="A470" s="11">
        <v>-29.8945064544677</v>
      </c>
      <c r="B470" s="11">
        <v>15.0616722106933</v>
      </c>
      <c r="C470" s="11">
        <v>0.0</v>
      </c>
      <c r="D470" s="11" t="s">
        <v>1515</v>
      </c>
      <c r="E470" s="11">
        <v>0.0</v>
      </c>
      <c r="F470" s="11" t="s">
        <v>1612</v>
      </c>
      <c r="I470" s="11">
        <v>8.23355484008789</v>
      </c>
      <c r="J470" s="11">
        <v>15.368535041809</v>
      </c>
      <c r="K470" s="11">
        <v>0.0</v>
      </c>
      <c r="L470" s="11" t="s">
        <v>1390</v>
      </c>
      <c r="M470" s="11">
        <v>0.0</v>
      </c>
      <c r="N470" s="11" t="s">
        <v>2338</v>
      </c>
    </row>
    <row r="471">
      <c r="A471" s="11">
        <v>-24.3875579833984</v>
      </c>
      <c r="B471" s="11">
        <v>1.04706156253814</v>
      </c>
      <c r="C471" s="11">
        <v>0.0</v>
      </c>
      <c r="D471" s="11" t="s">
        <v>1515</v>
      </c>
      <c r="E471" s="11">
        <v>0.0</v>
      </c>
      <c r="F471" s="11" t="s">
        <v>1614</v>
      </c>
      <c r="I471" s="11">
        <v>14.3585500717163</v>
      </c>
      <c r="J471" s="11">
        <v>14.4613857269287</v>
      </c>
      <c r="K471" s="11">
        <v>0.0</v>
      </c>
      <c r="L471" s="11" t="s">
        <v>1390</v>
      </c>
      <c r="M471" s="11">
        <v>0.0</v>
      </c>
      <c r="N471" s="11" t="s">
        <v>2340</v>
      </c>
    </row>
    <row r="472">
      <c r="A472" s="11">
        <v>-21.1939697265625</v>
      </c>
      <c r="B472" s="11">
        <v>-8.13613414764404</v>
      </c>
      <c r="C472" s="11">
        <v>0.0</v>
      </c>
      <c r="D472" s="11" t="s">
        <v>1515</v>
      </c>
      <c r="E472" s="11">
        <v>0.0</v>
      </c>
      <c r="F472" s="11" t="s">
        <v>1616</v>
      </c>
      <c r="I472" s="11">
        <v>15.5195960998535</v>
      </c>
      <c r="J472" s="11">
        <v>13.9496049880981</v>
      </c>
      <c r="K472" s="11">
        <v>0.0</v>
      </c>
      <c r="L472" s="11" t="s">
        <v>1390</v>
      </c>
      <c r="M472" s="11">
        <v>0.0</v>
      </c>
      <c r="N472" s="11" t="s">
        <v>2342</v>
      </c>
    </row>
    <row r="473">
      <c r="A473" s="11">
        <v>-21.1275463104248</v>
      </c>
      <c r="B473" s="11">
        <v>20.658254623413</v>
      </c>
      <c r="C473" s="11">
        <v>0.0</v>
      </c>
      <c r="D473" s="11" t="s">
        <v>1515</v>
      </c>
      <c r="E473" s="11">
        <v>0.0</v>
      </c>
      <c r="F473" s="11" t="s">
        <v>1618</v>
      </c>
      <c r="I473" s="11">
        <v>-15.4369745254516</v>
      </c>
      <c r="J473" s="11">
        <v>-3.26524257659912</v>
      </c>
      <c r="K473" s="11">
        <v>0.0</v>
      </c>
      <c r="L473" s="11" t="s">
        <v>1390</v>
      </c>
      <c r="M473" s="11">
        <v>0.0</v>
      </c>
      <c r="N473" s="11" t="s">
        <v>2343</v>
      </c>
    </row>
    <row r="474">
      <c r="A474" s="11">
        <v>-19.3058338165283</v>
      </c>
      <c r="B474" s="11">
        <v>1.55270016193389</v>
      </c>
      <c r="C474" s="11">
        <v>0.0</v>
      </c>
      <c r="D474" s="11" t="s">
        <v>1515</v>
      </c>
      <c r="E474" s="11">
        <v>0.0</v>
      </c>
      <c r="F474" s="11" t="s">
        <v>1620</v>
      </c>
      <c r="I474" s="11">
        <v>-9.2950735092163</v>
      </c>
      <c r="J474" s="11">
        <v>32.8261566162109</v>
      </c>
      <c r="K474" s="11">
        <v>0.0</v>
      </c>
      <c r="L474" s="11" t="s">
        <v>1390</v>
      </c>
      <c r="M474" s="11">
        <v>0.0</v>
      </c>
      <c r="N474" s="11" t="s">
        <v>2345</v>
      </c>
    </row>
    <row r="475">
      <c r="A475" s="11">
        <v>-12.6679286956787</v>
      </c>
      <c r="B475" s="11">
        <v>13.9128284454345</v>
      </c>
      <c r="C475" s="11">
        <v>0.0</v>
      </c>
      <c r="D475" s="11" t="s">
        <v>1515</v>
      </c>
      <c r="E475" s="11">
        <v>0.0</v>
      </c>
      <c r="F475" s="11" t="s">
        <v>1622</v>
      </c>
      <c r="I475" s="11">
        <v>3.07744932174682</v>
      </c>
      <c r="J475" s="11">
        <v>6.20072078704834</v>
      </c>
      <c r="K475" s="11">
        <v>0.0</v>
      </c>
      <c r="L475" s="11" t="s">
        <v>1390</v>
      </c>
      <c r="M475" s="11">
        <v>0.0</v>
      </c>
      <c r="N475" s="11" t="s">
        <v>2347</v>
      </c>
    </row>
    <row r="476">
      <c r="A476" s="11">
        <v>34.1309738159179</v>
      </c>
      <c r="B476" s="11">
        <v>-14.4169054031372</v>
      </c>
      <c r="C476" s="11">
        <v>0.0</v>
      </c>
      <c r="D476" s="11" t="s">
        <v>1515</v>
      </c>
      <c r="E476" s="11">
        <v>0.0</v>
      </c>
      <c r="F476" s="11" t="s">
        <v>1624</v>
      </c>
      <c r="I476" s="11">
        <v>3.10215830802917</v>
      </c>
      <c r="J476" s="11">
        <v>6.02948141098022</v>
      </c>
      <c r="K476" s="11">
        <v>0.0</v>
      </c>
      <c r="L476" s="11" t="s">
        <v>1390</v>
      </c>
      <c r="M476" s="11">
        <v>0.0</v>
      </c>
      <c r="N476" s="11" t="s">
        <v>2349</v>
      </c>
    </row>
    <row r="477">
      <c r="A477" s="11">
        <v>-31.0796089172363</v>
      </c>
      <c r="B477" s="11">
        <v>26.1476650238037</v>
      </c>
      <c r="C477" s="11">
        <v>-1.0</v>
      </c>
      <c r="D477" s="11" t="s">
        <v>1515</v>
      </c>
      <c r="E477" s="11">
        <v>-1.0</v>
      </c>
      <c r="F477" s="11" t="s">
        <v>1627</v>
      </c>
      <c r="I477" s="11">
        <v>-9.62379550933837</v>
      </c>
      <c r="J477" s="11">
        <v>33.185432434082</v>
      </c>
      <c r="K477" s="11">
        <v>0.0</v>
      </c>
      <c r="L477" s="11" t="s">
        <v>1390</v>
      </c>
      <c r="M477" s="11">
        <v>0.0</v>
      </c>
      <c r="N477" s="11" t="s">
        <v>2350</v>
      </c>
    </row>
    <row r="478">
      <c r="A478" s="11">
        <v>-20.7255897521972</v>
      </c>
      <c r="B478" s="11">
        <v>-14.4960403442382</v>
      </c>
      <c r="C478" s="11">
        <v>0.0</v>
      </c>
      <c r="D478" s="11" t="s">
        <v>1515</v>
      </c>
      <c r="E478" s="11">
        <v>0.0</v>
      </c>
      <c r="F478" s="11" t="s">
        <v>1629</v>
      </c>
      <c r="I478" s="11">
        <v>42.2415771484375</v>
      </c>
      <c r="J478" s="11">
        <v>-3.36866927146911</v>
      </c>
      <c r="K478" s="11">
        <v>0.0</v>
      </c>
      <c r="L478" s="11" t="s">
        <v>1390</v>
      </c>
      <c r="M478" s="11">
        <v>0.0</v>
      </c>
      <c r="N478" s="11" t="s">
        <v>2352</v>
      </c>
    </row>
    <row r="479">
      <c r="A479" s="11">
        <v>-5.62918710708618</v>
      </c>
      <c r="B479" s="11">
        <v>-6.56977605819702</v>
      </c>
      <c r="C479" s="11">
        <v>0.0</v>
      </c>
      <c r="D479" s="11" t="s">
        <v>1515</v>
      </c>
      <c r="E479" s="11">
        <v>0.0</v>
      </c>
      <c r="F479" s="11" t="s">
        <v>1631</v>
      </c>
      <c r="I479" s="11">
        <v>14.3585500717163</v>
      </c>
      <c r="J479" s="11">
        <v>14.4613857269287</v>
      </c>
      <c r="K479" s="11">
        <v>0.0</v>
      </c>
      <c r="L479" s="11" t="s">
        <v>1390</v>
      </c>
      <c r="M479" s="11">
        <v>0.0</v>
      </c>
      <c r="N479" s="11" t="s">
        <v>2354</v>
      </c>
    </row>
    <row r="480">
      <c r="A480" s="11">
        <v>-8.16335010528564</v>
      </c>
      <c r="B480" s="11">
        <v>-51.3113670349121</v>
      </c>
      <c r="C480" s="11">
        <v>0.0</v>
      </c>
      <c r="D480" s="11" t="s">
        <v>1515</v>
      </c>
      <c r="E480" s="11">
        <v>0.0</v>
      </c>
      <c r="F480" s="11" t="s">
        <v>1633</v>
      </c>
      <c r="I480" s="11">
        <v>9.17548561096191</v>
      </c>
      <c r="J480" s="11">
        <v>15.7351455688476</v>
      </c>
      <c r="K480" s="11">
        <v>0.0</v>
      </c>
      <c r="L480" s="11" t="s">
        <v>1390</v>
      </c>
      <c r="M480" s="11">
        <v>0.0</v>
      </c>
      <c r="N480" s="11" t="s">
        <v>2356</v>
      </c>
    </row>
    <row r="481">
      <c r="A481" s="11">
        <v>14.0410652160644</v>
      </c>
      <c r="B481" s="11">
        <v>-14.8224534988403</v>
      </c>
      <c r="C481" s="11">
        <v>0.0</v>
      </c>
      <c r="D481" s="11" t="s">
        <v>1515</v>
      </c>
      <c r="E481" s="11">
        <v>0.0</v>
      </c>
      <c r="F481" s="11" t="s">
        <v>1636</v>
      </c>
      <c r="I481" s="11">
        <v>3.08059573173522</v>
      </c>
      <c r="J481" s="11">
        <v>6.16694831848144</v>
      </c>
      <c r="K481" s="11">
        <v>0.0</v>
      </c>
      <c r="L481" s="11" t="s">
        <v>1390</v>
      </c>
      <c r="M481" s="11">
        <v>0.0</v>
      </c>
      <c r="N481" s="11" t="s">
        <v>2357</v>
      </c>
    </row>
    <row r="482">
      <c r="A482" s="11">
        <v>-12.4055786132812</v>
      </c>
      <c r="B482" s="11">
        <v>13.8313837051391</v>
      </c>
      <c r="C482" s="11">
        <v>0.0</v>
      </c>
      <c r="D482" s="11" t="s">
        <v>1515</v>
      </c>
      <c r="E482" s="11">
        <v>0.0</v>
      </c>
      <c r="F482" s="11" t="s">
        <v>1639</v>
      </c>
      <c r="I482" s="11">
        <v>8.75942039489746</v>
      </c>
      <c r="J482" s="11">
        <v>16.3008480072021</v>
      </c>
      <c r="K482" s="11">
        <v>0.0</v>
      </c>
      <c r="L482" s="11" t="s">
        <v>1390</v>
      </c>
      <c r="M482" s="11">
        <v>0.0</v>
      </c>
      <c r="N482" s="11" t="s">
        <v>2359</v>
      </c>
    </row>
    <row r="483">
      <c r="A483" s="11">
        <v>-39.2853393554687</v>
      </c>
      <c r="B483" s="11">
        <v>-13.8472518920898</v>
      </c>
      <c r="C483" s="11">
        <v>0.0</v>
      </c>
      <c r="D483" s="11" t="s">
        <v>1515</v>
      </c>
      <c r="E483" s="11">
        <v>0.0</v>
      </c>
      <c r="F483" s="11" t="s">
        <v>1641</v>
      </c>
      <c r="I483" s="11">
        <v>45.2289657592773</v>
      </c>
      <c r="J483" s="11">
        <v>-18.9559898376464</v>
      </c>
      <c r="K483" s="11">
        <v>-2.0</v>
      </c>
      <c r="L483" s="11" t="s">
        <v>1390</v>
      </c>
      <c r="M483" s="11">
        <v>-2.0</v>
      </c>
      <c r="N483" s="11" t="s">
        <v>2361</v>
      </c>
    </row>
    <row r="484">
      <c r="A484" s="11">
        <v>-18.7834110260009</v>
      </c>
      <c r="B484" s="11">
        <v>19.7625656127929</v>
      </c>
      <c r="C484" s="11">
        <v>0.0</v>
      </c>
      <c r="D484" s="11" t="s">
        <v>1515</v>
      </c>
      <c r="E484" s="11">
        <v>0.0</v>
      </c>
      <c r="F484" s="11" t="s">
        <v>1644</v>
      </c>
      <c r="I484" s="11">
        <v>8.82661533355712</v>
      </c>
      <c r="J484" s="11">
        <v>15.2355298995971</v>
      </c>
      <c r="K484" s="11">
        <v>0.0</v>
      </c>
      <c r="L484" s="11" t="s">
        <v>1390</v>
      </c>
      <c r="M484" s="11">
        <v>0.0</v>
      </c>
      <c r="N484" s="11" t="s">
        <v>2363</v>
      </c>
    </row>
    <row r="485">
      <c r="A485" s="11">
        <v>-29.5225639343261</v>
      </c>
      <c r="B485" s="11">
        <v>16.5433616638183</v>
      </c>
      <c r="C485" s="11">
        <v>0.0</v>
      </c>
      <c r="D485" s="11" t="s">
        <v>1515</v>
      </c>
      <c r="E485" s="11">
        <v>0.0</v>
      </c>
      <c r="F485" s="11" t="s">
        <v>1648</v>
      </c>
      <c r="I485" s="11">
        <v>-0.577245831489563</v>
      </c>
      <c r="J485" s="11">
        <v>20.0744667053222</v>
      </c>
      <c r="K485" s="11">
        <v>0.0</v>
      </c>
      <c r="L485" s="11" t="s">
        <v>1390</v>
      </c>
      <c r="M485" s="11">
        <v>0.0</v>
      </c>
      <c r="N485" s="11" t="s">
        <v>2365</v>
      </c>
    </row>
    <row r="486">
      <c r="A486" s="11">
        <v>-12.3769874572753</v>
      </c>
      <c r="B486" s="11">
        <v>13.8855218887329</v>
      </c>
      <c r="C486" s="11">
        <v>0.0</v>
      </c>
      <c r="D486" s="11" t="s">
        <v>1515</v>
      </c>
      <c r="E486" s="11">
        <v>0.0</v>
      </c>
      <c r="F486" s="11" t="s">
        <v>1651</v>
      </c>
      <c r="I486" s="11">
        <v>-47.5747299194335</v>
      </c>
      <c r="J486" s="11">
        <v>-20.397497177124</v>
      </c>
      <c r="K486" s="11">
        <v>0.0</v>
      </c>
      <c r="L486" s="11" t="s">
        <v>1879</v>
      </c>
      <c r="M486" s="11">
        <v>0.0</v>
      </c>
      <c r="N486" s="11" t="s">
        <v>2367</v>
      </c>
    </row>
    <row r="487">
      <c r="A487" s="11">
        <v>36.8036880493164</v>
      </c>
      <c r="B487" s="11">
        <v>13.8058547973632</v>
      </c>
      <c r="C487" s="11">
        <v>1.0</v>
      </c>
      <c r="D487" s="11" t="s">
        <v>1515</v>
      </c>
      <c r="E487" s="11">
        <v>1.0</v>
      </c>
      <c r="F487" s="11" t="s">
        <v>1652</v>
      </c>
      <c r="I487" s="11">
        <v>-15.0535259246826</v>
      </c>
      <c r="J487" s="11">
        <v>-7.93266344070434</v>
      </c>
      <c r="K487" s="11">
        <v>0.0</v>
      </c>
      <c r="L487" s="11" t="s">
        <v>1879</v>
      </c>
      <c r="M487" s="11">
        <v>0.0</v>
      </c>
      <c r="N487" s="11" t="s">
        <v>2369</v>
      </c>
    </row>
    <row r="488">
      <c r="A488" s="11">
        <v>20.0979671478271</v>
      </c>
      <c r="B488" s="11">
        <v>-20.0517921447753</v>
      </c>
      <c r="C488" s="11">
        <v>0.0</v>
      </c>
      <c r="D488" s="11" t="s">
        <v>1515</v>
      </c>
      <c r="E488" s="11">
        <v>0.0</v>
      </c>
      <c r="F488" s="11" t="s">
        <v>1654</v>
      </c>
      <c r="I488" s="11">
        <v>-0.716956436634063</v>
      </c>
      <c r="J488" s="11">
        <v>-13.7921714782714</v>
      </c>
      <c r="K488" s="11">
        <v>0.0</v>
      </c>
      <c r="L488" s="11" t="s">
        <v>1879</v>
      </c>
      <c r="M488" s="11">
        <v>0.0</v>
      </c>
      <c r="N488" s="11" t="s">
        <v>2371</v>
      </c>
    </row>
    <row r="489">
      <c r="A489" s="11">
        <v>34.0061645507812</v>
      </c>
      <c r="B489" s="11">
        <v>17.0851459503173</v>
      </c>
      <c r="C489" s="11">
        <v>2.0</v>
      </c>
      <c r="D489" s="11" t="s">
        <v>1515</v>
      </c>
      <c r="E489" s="11">
        <v>2.0</v>
      </c>
      <c r="F489" s="11" t="s">
        <v>1656</v>
      </c>
      <c r="I489" s="11">
        <v>48.7747077941894</v>
      </c>
      <c r="J489" s="11">
        <v>-21.6237087249755</v>
      </c>
      <c r="K489" s="11">
        <v>-2.0</v>
      </c>
      <c r="L489" s="11" t="s">
        <v>1879</v>
      </c>
      <c r="M489" s="11">
        <v>-2.0</v>
      </c>
      <c r="N489" s="11" t="s">
        <v>2373</v>
      </c>
    </row>
    <row r="490">
      <c r="A490" s="11">
        <v>-3.29886674880981</v>
      </c>
      <c r="B490" s="11">
        <v>-18.2177829742431</v>
      </c>
      <c r="C490" s="11">
        <v>0.0</v>
      </c>
      <c r="D490" s="11" t="s">
        <v>1515</v>
      </c>
      <c r="E490" s="11">
        <v>0.0</v>
      </c>
      <c r="F490" s="11" t="s">
        <v>1658</v>
      </c>
      <c r="I490" s="11">
        <v>-0.716956436634063</v>
      </c>
      <c r="J490" s="11">
        <v>-13.7921714782714</v>
      </c>
      <c r="K490" s="11">
        <v>0.0</v>
      </c>
      <c r="L490" s="11" t="s">
        <v>1879</v>
      </c>
      <c r="M490" s="11">
        <v>0.0</v>
      </c>
      <c r="N490" s="11" t="s">
        <v>2375</v>
      </c>
    </row>
    <row r="491">
      <c r="A491" s="11">
        <v>-13.8794384002685</v>
      </c>
      <c r="B491" s="11">
        <v>-14.0322132110595</v>
      </c>
      <c r="C491" s="11">
        <v>0.0</v>
      </c>
      <c r="D491" s="11" t="s">
        <v>1515</v>
      </c>
      <c r="E491" s="11">
        <v>0.0</v>
      </c>
      <c r="F491" s="11" t="s">
        <v>1660</v>
      </c>
      <c r="I491" s="11">
        <v>42.777961730957</v>
      </c>
      <c r="J491" s="11">
        <v>-16.1583957672119</v>
      </c>
      <c r="K491" s="11">
        <v>-1.0</v>
      </c>
      <c r="L491" s="11" t="s">
        <v>1879</v>
      </c>
      <c r="M491" s="11">
        <v>-1.0</v>
      </c>
      <c r="N491" s="11" t="s">
        <v>2377</v>
      </c>
    </row>
    <row r="492">
      <c r="A492" s="11">
        <v>42.2459907531738</v>
      </c>
      <c r="B492" s="11">
        <v>-13.3313808441162</v>
      </c>
      <c r="C492" s="11">
        <v>0.0</v>
      </c>
      <c r="D492" s="11" t="s">
        <v>1515</v>
      </c>
      <c r="E492" s="11">
        <v>0.0</v>
      </c>
      <c r="F492" s="11" t="s">
        <v>1662</v>
      </c>
      <c r="I492" s="11">
        <v>-45.8670654296875</v>
      </c>
      <c r="J492" s="11">
        <v>-11.8568201065063</v>
      </c>
      <c r="K492" s="11">
        <v>1.0</v>
      </c>
      <c r="L492" s="11" t="s">
        <v>1879</v>
      </c>
      <c r="M492" s="11">
        <v>1.0</v>
      </c>
      <c r="N492" s="11" t="s">
        <v>2378</v>
      </c>
    </row>
    <row r="493">
      <c r="A493" s="11">
        <v>44.1964836120605</v>
      </c>
      <c r="B493" s="11">
        <v>-4.5468955039978</v>
      </c>
      <c r="C493" s="11">
        <v>1.0</v>
      </c>
      <c r="D493" s="11" t="s">
        <v>1515</v>
      </c>
      <c r="E493" s="11">
        <v>1.0</v>
      </c>
      <c r="F493" s="11" t="s">
        <v>1664</v>
      </c>
      <c r="I493" s="11">
        <v>-4.61371278762817</v>
      </c>
      <c r="J493" s="11">
        <v>-4.82798433303833</v>
      </c>
      <c r="K493" s="11">
        <v>0.0</v>
      </c>
      <c r="L493" s="11" t="s">
        <v>1879</v>
      </c>
      <c r="M493" s="11">
        <v>0.0</v>
      </c>
      <c r="N493" s="11" t="s">
        <v>2380</v>
      </c>
    </row>
    <row r="494">
      <c r="A494" s="11">
        <v>36.9539909362793</v>
      </c>
      <c r="B494" s="11">
        <v>14.3473300933837</v>
      </c>
      <c r="C494" s="11">
        <v>2.0</v>
      </c>
      <c r="D494" s="11" t="s">
        <v>1515</v>
      </c>
      <c r="E494" s="11">
        <v>2.0</v>
      </c>
      <c r="F494" s="11" t="s">
        <v>1666</v>
      </c>
      <c r="I494" s="11">
        <v>-47.7671966552734</v>
      </c>
      <c r="J494" s="11">
        <v>-2.28390765190124</v>
      </c>
      <c r="K494" s="11">
        <v>0.0</v>
      </c>
      <c r="L494" s="11" t="s">
        <v>1879</v>
      </c>
      <c r="M494" s="11">
        <v>0.0</v>
      </c>
      <c r="N494" s="11" t="s">
        <v>2382</v>
      </c>
    </row>
    <row r="495">
      <c r="A495" s="11">
        <v>35.1569519042968</v>
      </c>
      <c r="B495" s="11">
        <v>20.5633602142334</v>
      </c>
      <c r="C495" s="11">
        <v>2.0</v>
      </c>
      <c r="D495" s="11" t="s">
        <v>1515</v>
      </c>
      <c r="E495" s="11">
        <v>2.0</v>
      </c>
      <c r="F495" s="11" t="s">
        <v>1669</v>
      </c>
      <c r="I495" s="11">
        <v>-45.8668899536132</v>
      </c>
      <c r="J495" s="11">
        <v>-11.8568143844604</v>
      </c>
      <c r="K495" s="11">
        <v>1.0</v>
      </c>
      <c r="L495" s="11" t="s">
        <v>1879</v>
      </c>
      <c r="M495" s="11">
        <v>1.0</v>
      </c>
      <c r="N495" s="11" t="s">
        <v>2384</v>
      </c>
    </row>
    <row r="496">
      <c r="A496" s="11">
        <v>-7.01509475708007</v>
      </c>
      <c r="B496" s="11">
        <v>-51.5168380737304</v>
      </c>
      <c r="C496" s="11">
        <v>0.0</v>
      </c>
      <c r="D496" s="11" t="s">
        <v>1515</v>
      </c>
      <c r="E496" s="11">
        <v>0.0</v>
      </c>
      <c r="F496" s="11" t="s">
        <v>1671</v>
      </c>
      <c r="I496" s="11">
        <v>-47.404556274414</v>
      </c>
      <c r="J496" s="11">
        <v>-1.24579501152038</v>
      </c>
      <c r="K496" s="11">
        <v>0.0</v>
      </c>
      <c r="L496" s="11" t="s">
        <v>1879</v>
      </c>
      <c r="M496" s="11">
        <v>0.0</v>
      </c>
      <c r="N496" s="11" t="s">
        <v>2386</v>
      </c>
    </row>
    <row r="497">
      <c r="A497" s="11">
        <v>-19.5726280212402</v>
      </c>
      <c r="B497" s="11">
        <v>-5.97638797760009</v>
      </c>
      <c r="C497" s="11">
        <v>0.0</v>
      </c>
      <c r="D497" s="11" t="s">
        <v>1515</v>
      </c>
      <c r="E497" s="11">
        <v>0.0</v>
      </c>
      <c r="F497" s="11" t="s">
        <v>1673</v>
      </c>
      <c r="I497" s="11">
        <v>28.6007823944091</v>
      </c>
      <c r="J497" s="11">
        <v>-3.96583819389343</v>
      </c>
      <c r="K497" s="11">
        <v>0.0</v>
      </c>
      <c r="L497" s="11" t="s">
        <v>1879</v>
      </c>
      <c r="M497" s="11">
        <v>0.0</v>
      </c>
      <c r="N497" s="11" t="s">
        <v>2388</v>
      </c>
    </row>
    <row r="498">
      <c r="A498" s="11">
        <v>-10.2092714309692</v>
      </c>
      <c r="B498" s="11">
        <v>-17.1087017059326</v>
      </c>
      <c r="C498" s="11">
        <v>0.0</v>
      </c>
      <c r="D498" s="11" t="s">
        <v>1515</v>
      </c>
      <c r="E498" s="11">
        <v>0.0</v>
      </c>
      <c r="F498" s="11" t="s">
        <v>1675</v>
      </c>
      <c r="I498" s="11">
        <v>-0.716956436634063</v>
      </c>
      <c r="J498" s="11">
        <v>-13.7921714782714</v>
      </c>
      <c r="K498" s="11">
        <v>0.0</v>
      </c>
      <c r="L498" s="11" t="s">
        <v>1879</v>
      </c>
      <c r="M498" s="11">
        <v>0.0</v>
      </c>
      <c r="N498" s="11" t="s">
        <v>2390</v>
      </c>
    </row>
    <row r="499">
      <c r="A499" s="11">
        <v>-12.9398107528686</v>
      </c>
      <c r="B499" s="11">
        <v>5.08310985565185</v>
      </c>
      <c r="C499" s="11">
        <v>0.0</v>
      </c>
      <c r="D499" s="11" t="s">
        <v>1515</v>
      </c>
      <c r="E499" s="11">
        <v>0.0</v>
      </c>
      <c r="F499" s="11" t="s">
        <v>1677</v>
      </c>
      <c r="I499" s="11">
        <v>45.8593597412109</v>
      </c>
      <c r="J499" s="11">
        <v>-7.76725006103515</v>
      </c>
      <c r="K499" s="11">
        <v>0.0</v>
      </c>
      <c r="L499" s="11" t="s">
        <v>1879</v>
      </c>
      <c r="M499" s="11">
        <v>0.0</v>
      </c>
      <c r="N499" s="11" t="s">
        <v>2392</v>
      </c>
    </row>
    <row r="500">
      <c r="A500" s="11">
        <v>-10.8050775527954</v>
      </c>
      <c r="B500" s="11">
        <v>-2.56604433059692</v>
      </c>
      <c r="C500" s="11">
        <v>0.0</v>
      </c>
      <c r="D500" s="11" t="s">
        <v>1515</v>
      </c>
      <c r="E500" s="11">
        <v>0.0</v>
      </c>
      <c r="F500" s="11" t="s">
        <v>1679</v>
      </c>
      <c r="I500" s="11">
        <v>-0.172779709100723</v>
      </c>
      <c r="J500" s="11">
        <v>-13.0636367797851</v>
      </c>
      <c r="K500" s="11">
        <v>0.0</v>
      </c>
      <c r="L500" s="11" t="s">
        <v>1879</v>
      </c>
      <c r="M500" s="11">
        <v>0.0</v>
      </c>
      <c r="N500" s="11" t="s">
        <v>2395</v>
      </c>
    </row>
    <row r="501">
      <c r="A501" s="11">
        <v>-35.4331283569335</v>
      </c>
      <c r="B501" s="11">
        <v>8.2977590560913</v>
      </c>
      <c r="C501" s="11">
        <v>0.0</v>
      </c>
      <c r="D501" s="11" t="s">
        <v>1515</v>
      </c>
      <c r="E501" s="11">
        <v>0.0</v>
      </c>
      <c r="F501" s="11" t="s">
        <v>1682</v>
      </c>
      <c r="I501" s="11">
        <v>-47.7671966552734</v>
      </c>
      <c r="J501" s="11">
        <v>-2.28390765190124</v>
      </c>
      <c r="K501" s="11">
        <v>0.0</v>
      </c>
      <c r="L501" s="11" t="s">
        <v>1879</v>
      </c>
      <c r="M501" s="11">
        <v>0.0</v>
      </c>
      <c r="N501" s="11" t="s">
        <v>2398</v>
      </c>
    </row>
    <row r="502">
      <c r="A502" s="11">
        <v>-15.0096044540405</v>
      </c>
      <c r="B502" s="11">
        <v>14.5370244979858</v>
      </c>
      <c r="C502" s="11">
        <v>0.0</v>
      </c>
      <c r="D502" s="11" t="s">
        <v>1515</v>
      </c>
      <c r="E502" s="11">
        <v>0.0</v>
      </c>
      <c r="F502" s="11" t="s">
        <v>2401</v>
      </c>
      <c r="I502" s="11">
        <v>-16.0255851745605</v>
      </c>
      <c r="J502" s="11">
        <v>-8.22832775115966</v>
      </c>
      <c r="K502" s="11">
        <v>0.0</v>
      </c>
      <c r="L502" s="11" t="s">
        <v>1879</v>
      </c>
      <c r="M502" s="11">
        <v>0.0</v>
      </c>
      <c r="N502" s="11" t="s">
        <v>2400</v>
      </c>
    </row>
    <row r="503">
      <c r="A503" s="11">
        <v>40.2213745117187</v>
      </c>
      <c r="B503" s="11">
        <v>-7.01705694198608</v>
      </c>
      <c r="C503" s="11">
        <v>0.0</v>
      </c>
      <c r="D503" s="11" t="s">
        <v>1515</v>
      </c>
      <c r="E503" s="11">
        <v>0.0</v>
      </c>
      <c r="F503" s="11" t="s">
        <v>1684</v>
      </c>
      <c r="I503" s="11">
        <v>-15.0535259246826</v>
      </c>
      <c r="J503" s="11">
        <v>-7.93266344070434</v>
      </c>
      <c r="K503" s="11">
        <v>0.0</v>
      </c>
      <c r="L503" s="11" t="s">
        <v>1879</v>
      </c>
      <c r="M503" s="11">
        <v>0.0</v>
      </c>
      <c r="N503" s="11" t="s">
        <v>2403</v>
      </c>
    </row>
    <row r="504">
      <c r="A504" s="11">
        <v>-19.5726280212402</v>
      </c>
      <c r="B504" s="11">
        <v>-5.97638702392578</v>
      </c>
      <c r="C504" s="11">
        <v>0.0</v>
      </c>
      <c r="D504" s="11" t="s">
        <v>1515</v>
      </c>
      <c r="E504" s="11">
        <v>0.0</v>
      </c>
      <c r="F504" s="11" t="s">
        <v>1686</v>
      </c>
      <c r="I504" s="11">
        <v>-47.7671966552734</v>
      </c>
      <c r="J504" s="11">
        <v>-2.28390765190124</v>
      </c>
      <c r="K504" s="11">
        <v>0.0</v>
      </c>
      <c r="L504" s="11" t="s">
        <v>1879</v>
      </c>
      <c r="M504" s="11">
        <v>0.0</v>
      </c>
      <c r="N504" s="11" t="s">
        <v>2405</v>
      </c>
    </row>
    <row r="505">
      <c r="A505" s="11">
        <v>34.702278137207</v>
      </c>
      <c r="B505" s="11">
        <v>21.1239356994628</v>
      </c>
      <c r="C505" s="11">
        <v>2.0</v>
      </c>
      <c r="D505" s="11" t="s">
        <v>1515</v>
      </c>
      <c r="E505" s="11">
        <v>2.0</v>
      </c>
      <c r="F505" s="11" t="s">
        <v>1688</v>
      </c>
      <c r="I505" s="11">
        <v>-40.798484802246</v>
      </c>
      <c r="J505" s="11">
        <v>-17.3837585449218</v>
      </c>
      <c r="K505" s="11">
        <v>-1.0</v>
      </c>
      <c r="L505" s="11" t="s">
        <v>1390</v>
      </c>
      <c r="M505" s="11">
        <v>-1.0</v>
      </c>
      <c r="N505" s="11" t="s">
        <v>2407</v>
      </c>
    </row>
    <row r="506">
      <c r="A506" s="11">
        <v>-10.8050775527954</v>
      </c>
      <c r="B506" s="11">
        <v>-2.56604433059692</v>
      </c>
      <c r="C506" s="11">
        <v>0.0</v>
      </c>
      <c r="D506" s="11" t="s">
        <v>1515</v>
      </c>
      <c r="E506" s="11">
        <v>0.0</v>
      </c>
      <c r="F506" s="11" t="s">
        <v>1690</v>
      </c>
      <c r="I506" s="11">
        <v>-41.2293663024902</v>
      </c>
      <c r="J506" s="11">
        <v>-20.6027946472167</v>
      </c>
      <c r="K506" s="11">
        <v>-2.0</v>
      </c>
      <c r="L506" s="11" t="s">
        <v>1390</v>
      </c>
      <c r="M506" s="11">
        <v>-2.0</v>
      </c>
      <c r="N506" s="11" t="s">
        <v>2408</v>
      </c>
    </row>
    <row r="507">
      <c r="A507" s="11">
        <v>-6.19009017944335</v>
      </c>
      <c r="B507" s="11">
        <v>-51.5774612426757</v>
      </c>
      <c r="C507" s="11">
        <v>1.0</v>
      </c>
      <c r="D507" s="11" t="s">
        <v>1515</v>
      </c>
      <c r="E507" s="11">
        <v>1.0</v>
      </c>
      <c r="F507" s="11" t="s">
        <v>1692</v>
      </c>
      <c r="I507" s="11">
        <v>-42.6485061645507</v>
      </c>
      <c r="J507" s="11">
        <v>-18.3076229095459</v>
      </c>
      <c r="K507" s="11">
        <v>-2.0</v>
      </c>
      <c r="L507" s="11" t="s">
        <v>1390</v>
      </c>
      <c r="M507" s="11">
        <v>-2.0</v>
      </c>
      <c r="N507" s="11" t="s">
        <v>2410</v>
      </c>
    </row>
    <row r="508">
      <c r="A508" s="11">
        <v>-16.0577888488769</v>
      </c>
      <c r="B508" s="11">
        <v>-7.29503440856933</v>
      </c>
      <c r="C508" s="11">
        <v>0.0</v>
      </c>
      <c r="D508" s="11" t="s">
        <v>1515</v>
      </c>
      <c r="E508" s="11">
        <v>0.0</v>
      </c>
      <c r="F508" s="11" t="s">
        <v>1694</v>
      </c>
      <c r="I508" s="11">
        <v>-41.5422172546386</v>
      </c>
      <c r="J508" s="11">
        <v>-19.5778694152832</v>
      </c>
      <c r="K508" s="11">
        <v>-2.0</v>
      </c>
      <c r="L508" s="11" t="s">
        <v>1390</v>
      </c>
      <c r="M508" s="11">
        <v>-2.0</v>
      </c>
      <c r="N508" s="11" t="s">
        <v>2412</v>
      </c>
    </row>
    <row r="509">
      <c r="A509" s="11">
        <v>-26.3327369689941</v>
      </c>
      <c r="B509" s="11">
        <v>17.2002868652343</v>
      </c>
      <c r="C509" s="11">
        <v>0.0</v>
      </c>
      <c r="D509" s="11" t="s">
        <v>1515</v>
      </c>
      <c r="E509" s="11">
        <v>0.0</v>
      </c>
      <c r="F509" s="11" t="s">
        <v>1696</v>
      </c>
      <c r="I509" s="11">
        <v>-40.3102684020996</v>
      </c>
      <c r="J509" s="11">
        <v>-18.4733428955078</v>
      </c>
      <c r="K509" s="11">
        <v>-2.0</v>
      </c>
      <c r="L509" s="11" t="s">
        <v>1390</v>
      </c>
      <c r="M509" s="11">
        <v>-2.0</v>
      </c>
      <c r="N509" s="11" t="s">
        <v>2415</v>
      </c>
    </row>
    <row r="510">
      <c r="A510" s="11">
        <v>13.554368019104</v>
      </c>
      <c r="B510" s="11">
        <v>-21.8753795623779</v>
      </c>
      <c r="C510" s="11">
        <v>0.0</v>
      </c>
      <c r="D510" s="11" t="s">
        <v>1515</v>
      </c>
      <c r="E510" s="11">
        <v>0.0</v>
      </c>
      <c r="F510" s="11" t="s">
        <v>1698</v>
      </c>
      <c r="I510" s="11">
        <v>-42.0237503051757</v>
      </c>
      <c r="J510" s="11">
        <v>-18.8699226379394</v>
      </c>
      <c r="K510" s="11">
        <v>-1.0</v>
      </c>
      <c r="L510" s="11" t="s">
        <v>1390</v>
      </c>
      <c r="M510" s="11">
        <v>-1.0</v>
      </c>
      <c r="N510" s="11" t="s">
        <v>2416</v>
      </c>
    </row>
    <row r="511">
      <c r="A511" s="11">
        <v>-9.33000659942627</v>
      </c>
      <c r="B511" s="11">
        <v>-50.6454963684082</v>
      </c>
      <c r="C511" s="11">
        <v>0.0</v>
      </c>
      <c r="D511" s="11" t="s">
        <v>1515</v>
      </c>
      <c r="E511" s="11">
        <v>0.0</v>
      </c>
      <c r="F511" s="11" t="s">
        <v>1700</v>
      </c>
      <c r="I511" s="11">
        <v>-42.7454490661621</v>
      </c>
      <c r="J511" s="11">
        <v>-19.3419723510742</v>
      </c>
      <c r="K511" s="11">
        <v>-2.0</v>
      </c>
      <c r="L511" s="11" t="s">
        <v>1390</v>
      </c>
      <c r="M511" s="11">
        <v>-2.0</v>
      </c>
      <c r="N511" s="11" t="s">
        <v>2418</v>
      </c>
    </row>
    <row r="512">
      <c r="A512" s="11">
        <v>-18.9323291778564</v>
      </c>
      <c r="B512" s="11">
        <v>10.338713645935</v>
      </c>
      <c r="C512" s="11">
        <v>0.0</v>
      </c>
      <c r="D512" s="11" t="s">
        <v>1515</v>
      </c>
      <c r="E512" s="11">
        <v>0.0</v>
      </c>
      <c r="F512" s="11" t="s">
        <v>2422</v>
      </c>
      <c r="I512" s="11">
        <v>-42.5242958068847</v>
      </c>
      <c r="J512" s="11">
        <v>-20.4729957580566</v>
      </c>
      <c r="K512" s="11">
        <v>-2.0</v>
      </c>
      <c r="L512" s="11" t="s">
        <v>1390</v>
      </c>
      <c r="M512" s="11">
        <v>-2.0</v>
      </c>
      <c r="N512" s="11" t="s">
        <v>2420</v>
      </c>
    </row>
    <row r="513">
      <c r="A513" s="11">
        <v>28.6765346527099</v>
      </c>
      <c r="B513" s="11">
        <v>-16.8219299316406</v>
      </c>
      <c r="C513" s="11">
        <v>0.0</v>
      </c>
      <c r="D513" s="11" t="s">
        <v>1515</v>
      </c>
      <c r="E513" s="11">
        <v>0.0</v>
      </c>
      <c r="F513" s="11" t="s">
        <v>1702</v>
      </c>
      <c r="I513" s="11">
        <v>-41.86763381958</v>
      </c>
      <c r="J513" s="11">
        <v>-17.6934776306152</v>
      </c>
      <c r="K513" s="11">
        <v>-2.0</v>
      </c>
      <c r="L513" s="11" t="s">
        <v>1390</v>
      </c>
      <c r="M513" s="11">
        <v>-2.0</v>
      </c>
      <c r="N513" s="11" t="s">
        <v>2423</v>
      </c>
    </row>
    <row r="514">
      <c r="A514" s="11">
        <v>35.5181884765625</v>
      </c>
      <c r="B514" s="11">
        <v>19.0673828125</v>
      </c>
      <c r="C514" s="11">
        <v>0.0</v>
      </c>
      <c r="D514" s="11" t="s">
        <v>1515</v>
      </c>
      <c r="E514" s="11">
        <v>0.0</v>
      </c>
      <c r="F514" s="11" t="s">
        <v>1704</v>
      </c>
      <c r="I514" s="11">
        <v>-42.9153938293457</v>
      </c>
      <c r="J514" s="11">
        <v>-16.510305404663</v>
      </c>
      <c r="K514" s="11">
        <v>-2.0</v>
      </c>
      <c r="L514" s="11" t="s">
        <v>1390</v>
      </c>
      <c r="M514" s="11">
        <v>-2.0</v>
      </c>
      <c r="N514" s="11" t="s">
        <v>2426</v>
      </c>
    </row>
    <row r="515">
      <c r="A515" s="11">
        <v>-6.5946831703186</v>
      </c>
      <c r="B515" s="11">
        <v>-50.4697303771972</v>
      </c>
      <c r="C515" s="11">
        <v>0.0</v>
      </c>
      <c r="D515" s="11" t="s">
        <v>1515</v>
      </c>
      <c r="E515" s="11">
        <v>0.0</v>
      </c>
      <c r="F515" s="11" t="s">
        <v>1706</v>
      </c>
      <c r="I515" s="11">
        <v>-42.5242958068847</v>
      </c>
      <c r="J515" s="11">
        <v>-20.4729957580566</v>
      </c>
      <c r="K515" s="11">
        <v>-1.0</v>
      </c>
      <c r="L515" s="11" t="s">
        <v>1390</v>
      </c>
      <c r="M515" s="11">
        <v>-1.0</v>
      </c>
      <c r="N515" s="11" t="s">
        <v>2428</v>
      </c>
    </row>
    <row r="516">
      <c r="A516" s="11">
        <v>-6.56017684936523</v>
      </c>
      <c r="B516" s="11">
        <v>-16.1517448425292</v>
      </c>
      <c r="C516" s="11">
        <v>0.0</v>
      </c>
      <c r="D516" s="11" t="s">
        <v>1515</v>
      </c>
      <c r="E516" s="11">
        <v>0.0</v>
      </c>
      <c r="F516" s="11" t="s">
        <v>1708</v>
      </c>
      <c r="I516" s="11">
        <v>-40.5361518859863</v>
      </c>
      <c r="J516" s="11">
        <v>-19.5830364227294</v>
      </c>
      <c r="K516" s="11">
        <v>-2.0</v>
      </c>
      <c r="L516" s="11" t="s">
        <v>1390</v>
      </c>
      <c r="M516" s="11">
        <v>-2.0</v>
      </c>
      <c r="N516" s="11" t="s">
        <v>2430</v>
      </c>
    </row>
    <row r="517">
      <c r="A517" s="11">
        <v>-14.2833976745605</v>
      </c>
      <c r="B517" s="11">
        <v>6.5618839263916</v>
      </c>
      <c r="C517" s="11">
        <v>0.0</v>
      </c>
      <c r="D517" s="11" t="s">
        <v>1515</v>
      </c>
      <c r="E517" s="11">
        <v>0.0</v>
      </c>
      <c r="F517" s="11" t="s">
        <v>1710</v>
      </c>
      <c r="I517" s="11">
        <v>-41.7230415344238</v>
      </c>
      <c r="J517" s="11">
        <v>-16.6712284088134</v>
      </c>
      <c r="K517" s="11">
        <v>0.0</v>
      </c>
      <c r="L517" s="11" t="s">
        <v>1390</v>
      </c>
      <c r="M517" s="11">
        <v>0.0</v>
      </c>
      <c r="N517" s="11" t="s">
        <v>2432</v>
      </c>
    </row>
    <row r="518">
      <c r="A518" s="11">
        <v>42.0538330078125</v>
      </c>
      <c r="B518" s="11">
        <v>-13.7073240280151</v>
      </c>
      <c r="C518" s="11">
        <v>0.0</v>
      </c>
      <c r="D518" s="11" t="s">
        <v>1515</v>
      </c>
      <c r="E518" s="11">
        <v>0.0</v>
      </c>
      <c r="F518" s="11" t="s">
        <v>1712</v>
      </c>
      <c r="I518" s="11">
        <v>-41.2656593322753</v>
      </c>
      <c r="J518" s="11">
        <v>-18.4598407745361</v>
      </c>
      <c r="K518" s="11">
        <v>0.0</v>
      </c>
      <c r="L518" s="11" t="s">
        <v>1390</v>
      </c>
      <c r="M518" s="11">
        <v>0.0</v>
      </c>
      <c r="N518" s="11" t="s">
        <v>2434</v>
      </c>
    </row>
    <row r="519">
      <c r="A519" s="11">
        <v>-21.5413627624511</v>
      </c>
      <c r="B519" s="11">
        <v>23.7805042266845</v>
      </c>
      <c r="C519" s="11">
        <v>0.0</v>
      </c>
      <c r="D519" s="11" t="s">
        <v>1515</v>
      </c>
      <c r="E519" s="11">
        <v>0.0</v>
      </c>
      <c r="F519" s="11" t="s">
        <v>1714</v>
      </c>
      <c r="I519" s="11">
        <v>-42.8646812438964</v>
      </c>
      <c r="J519" s="11">
        <v>-17.4426937103271</v>
      </c>
      <c r="K519" s="11">
        <v>0.0</v>
      </c>
      <c r="L519" s="11" t="s">
        <v>1390</v>
      </c>
      <c r="M519" s="11">
        <v>0.0</v>
      </c>
      <c r="N519" s="11" t="s">
        <v>2436</v>
      </c>
    </row>
    <row r="520">
      <c r="A520" s="11">
        <v>1.68366515636444</v>
      </c>
      <c r="B520" s="11">
        <v>-16.5649814605712</v>
      </c>
      <c r="C520" s="11">
        <v>0.0</v>
      </c>
      <c r="D520" s="11" t="s">
        <v>1515</v>
      </c>
      <c r="E520" s="11">
        <v>0.0</v>
      </c>
      <c r="F520" s="11" t="s">
        <v>1716</v>
      </c>
      <c r="I520" s="11">
        <v>-45.2265510559082</v>
      </c>
      <c r="J520" s="11">
        <v>-17.2133560180664</v>
      </c>
      <c r="K520" s="11">
        <v>0.0</v>
      </c>
      <c r="L520" s="11" t="s">
        <v>1390</v>
      </c>
      <c r="M520" s="11">
        <v>0.0</v>
      </c>
      <c r="N520" s="11" t="s">
        <v>2437</v>
      </c>
    </row>
    <row r="521">
      <c r="A521" s="11">
        <v>-12.9399538040161</v>
      </c>
      <c r="B521" s="11">
        <v>5.08335590362548</v>
      </c>
      <c r="C521" s="11">
        <v>0.0</v>
      </c>
      <c r="D521" s="11" t="s">
        <v>1515</v>
      </c>
      <c r="E521" s="11">
        <v>0.0</v>
      </c>
      <c r="F521" s="11" t="s">
        <v>1718</v>
      </c>
      <c r="I521" s="11">
        <v>-44.9113960266113</v>
      </c>
      <c r="J521" s="11">
        <v>-20.2501983642578</v>
      </c>
      <c r="K521" s="11">
        <v>2.0</v>
      </c>
      <c r="L521" s="11" t="s">
        <v>1390</v>
      </c>
      <c r="M521" s="11">
        <v>2.0</v>
      </c>
      <c r="N521" s="11" t="s">
        <v>2438</v>
      </c>
    </row>
    <row r="522">
      <c r="A522" s="11">
        <v>8.92829799652099</v>
      </c>
      <c r="B522" s="11">
        <v>-1.27464747428894</v>
      </c>
      <c r="C522" s="11">
        <v>0.0</v>
      </c>
      <c r="D522" s="11" t="s">
        <v>1515</v>
      </c>
      <c r="E522" s="11">
        <v>0.0</v>
      </c>
      <c r="F522" s="11" t="s">
        <v>1720</v>
      </c>
      <c r="I522" s="11">
        <v>-44.3854637145996</v>
      </c>
      <c r="J522" s="11">
        <v>-18.5805110931396</v>
      </c>
      <c r="K522" s="11">
        <v>1.0</v>
      </c>
      <c r="L522" s="11" t="s">
        <v>1390</v>
      </c>
      <c r="M522" s="11">
        <v>1.0</v>
      </c>
      <c r="N522" s="11" t="s">
        <v>2439</v>
      </c>
    </row>
    <row r="523">
      <c r="A523" s="11">
        <v>-5.61145830154418</v>
      </c>
      <c r="B523" s="11">
        <v>-6.54923677444458</v>
      </c>
      <c r="C523" s="11">
        <v>0.0</v>
      </c>
      <c r="D523" s="11" t="s">
        <v>1515</v>
      </c>
      <c r="E523" s="11">
        <v>0.0</v>
      </c>
      <c r="F523" s="11" t="s">
        <v>1723</v>
      </c>
      <c r="I523" s="11">
        <v>-45.2265510559082</v>
      </c>
      <c r="J523" s="11">
        <v>-17.2133560180664</v>
      </c>
      <c r="K523" s="11">
        <v>0.0</v>
      </c>
      <c r="L523" s="11" t="s">
        <v>1390</v>
      </c>
      <c r="M523" s="11">
        <v>0.0</v>
      </c>
      <c r="N523" s="11" t="s">
        <v>2440</v>
      </c>
    </row>
    <row r="524">
      <c r="A524" s="11">
        <v>17.8282356262207</v>
      </c>
      <c r="B524" s="11">
        <v>-31.6989002227783</v>
      </c>
      <c r="C524" s="11">
        <v>0.0</v>
      </c>
      <c r="D524" s="11" t="s">
        <v>1515</v>
      </c>
      <c r="E524" s="11">
        <v>0.0</v>
      </c>
      <c r="F524" s="11" t="s">
        <v>1725</v>
      </c>
      <c r="I524" s="11">
        <v>-46.1545486450195</v>
      </c>
      <c r="J524" s="11">
        <v>-18.7833137512207</v>
      </c>
      <c r="K524" s="11">
        <v>0.0</v>
      </c>
      <c r="L524" s="11" t="s">
        <v>1390</v>
      </c>
      <c r="M524" s="11">
        <v>0.0</v>
      </c>
      <c r="N524" s="11" t="s">
        <v>2441</v>
      </c>
    </row>
    <row r="525">
      <c r="A525" s="11">
        <v>-34.9410667419433</v>
      </c>
      <c r="B525" s="11">
        <v>8.3822660446167</v>
      </c>
      <c r="C525" s="11">
        <v>0.0</v>
      </c>
      <c r="D525" s="11" t="s">
        <v>1515</v>
      </c>
      <c r="E525" s="11">
        <v>0.0</v>
      </c>
      <c r="F525" s="11" t="s">
        <v>1728</v>
      </c>
      <c r="I525" s="11">
        <v>-44.9113960266113</v>
      </c>
      <c r="J525" s="11">
        <v>-20.2501983642578</v>
      </c>
      <c r="K525" s="11">
        <v>-2.0</v>
      </c>
      <c r="L525" s="11" t="s">
        <v>1390</v>
      </c>
      <c r="M525" s="11">
        <v>-2.0</v>
      </c>
      <c r="N525" s="11" t="s">
        <v>2442</v>
      </c>
    </row>
    <row r="526">
      <c r="A526" s="11">
        <v>21.8260097503662</v>
      </c>
      <c r="B526" s="11">
        <v>-7.08052110671997</v>
      </c>
      <c r="C526" s="11">
        <v>0.0</v>
      </c>
      <c r="D526" s="11" t="s">
        <v>1515</v>
      </c>
      <c r="E526" s="11">
        <v>0.0</v>
      </c>
      <c r="F526" s="11" t="s">
        <v>1730</v>
      </c>
      <c r="I526" s="11">
        <v>-46.1545486450195</v>
      </c>
      <c r="J526" s="11">
        <v>-18.7833137512207</v>
      </c>
      <c r="K526" s="11">
        <v>-2.0</v>
      </c>
      <c r="L526" s="11" t="s">
        <v>1390</v>
      </c>
      <c r="M526" s="11">
        <v>-2.0</v>
      </c>
      <c r="N526" s="11" t="s">
        <v>2443</v>
      </c>
    </row>
    <row r="527">
      <c r="A527" s="11">
        <v>1.53909373283386</v>
      </c>
      <c r="B527" s="11">
        <v>-15.5905504226684</v>
      </c>
      <c r="C527" s="11">
        <v>0.0</v>
      </c>
      <c r="D527" s="11" t="s">
        <v>1515</v>
      </c>
      <c r="E527" s="11">
        <v>0.0</v>
      </c>
      <c r="F527" s="11" t="s">
        <v>1731</v>
      </c>
      <c r="I527" s="11">
        <v>-46.1545486450195</v>
      </c>
      <c r="J527" s="11">
        <v>-18.7833137512207</v>
      </c>
      <c r="K527" s="11">
        <v>-2.0</v>
      </c>
      <c r="L527" s="11" t="s">
        <v>1390</v>
      </c>
      <c r="M527" s="11">
        <v>-2.0</v>
      </c>
      <c r="N527" s="11" t="s">
        <v>2444</v>
      </c>
    </row>
    <row r="528">
      <c r="A528" s="11">
        <v>-17.3904991149902</v>
      </c>
      <c r="B528" s="11">
        <v>11.4583587646484</v>
      </c>
      <c r="C528" s="11">
        <v>0.0</v>
      </c>
      <c r="D528" s="11" t="s">
        <v>1515</v>
      </c>
      <c r="E528" s="11">
        <v>0.0</v>
      </c>
      <c r="F528" s="11" t="s">
        <v>1733</v>
      </c>
      <c r="I528" s="11">
        <v>-46.1545486450195</v>
      </c>
      <c r="J528" s="11">
        <v>-18.7833137512207</v>
      </c>
      <c r="K528" s="11">
        <v>0.0</v>
      </c>
      <c r="L528" s="11" t="s">
        <v>1879</v>
      </c>
      <c r="M528" s="11">
        <v>0.0</v>
      </c>
      <c r="N528" s="11" t="s">
        <v>2445</v>
      </c>
    </row>
    <row r="529">
      <c r="A529" s="11">
        <v>31.6109619140625</v>
      </c>
      <c r="B529" s="11">
        <v>-15.906753540039</v>
      </c>
      <c r="C529" s="11">
        <v>0.0</v>
      </c>
      <c r="D529" s="11" t="s">
        <v>1515</v>
      </c>
      <c r="E529" s="11">
        <v>0.0</v>
      </c>
      <c r="F529" s="11" t="s">
        <v>1735</v>
      </c>
      <c r="I529" s="11">
        <v>-44.9113960266113</v>
      </c>
      <c r="J529" s="11">
        <v>-20.2501983642578</v>
      </c>
      <c r="K529" s="11">
        <v>0.0</v>
      </c>
      <c r="L529" s="11" t="s">
        <v>1879</v>
      </c>
      <c r="M529" s="11">
        <v>0.0</v>
      </c>
      <c r="N529" s="11" t="s">
        <v>2446</v>
      </c>
    </row>
    <row r="530">
      <c r="A530" s="11">
        <v>-7.84646034240722</v>
      </c>
      <c r="B530" s="11">
        <v>-50.3042335510253</v>
      </c>
      <c r="C530" s="11">
        <v>0.0</v>
      </c>
      <c r="D530" s="11" t="s">
        <v>1515</v>
      </c>
      <c r="E530" s="11">
        <v>0.0</v>
      </c>
      <c r="F530" s="11" t="s">
        <v>1737</v>
      </c>
      <c r="I530" s="11">
        <v>-45.2265510559082</v>
      </c>
      <c r="J530" s="11">
        <v>-17.2133560180664</v>
      </c>
      <c r="K530" s="11">
        <v>0.0</v>
      </c>
      <c r="L530" s="11" t="s">
        <v>1390</v>
      </c>
      <c r="M530" s="11">
        <v>0.0</v>
      </c>
      <c r="N530" s="11" t="s">
        <v>2447</v>
      </c>
    </row>
    <row r="531">
      <c r="A531" s="11">
        <v>-18.9466342926025</v>
      </c>
      <c r="B531" s="11">
        <v>14.5022983551025</v>
      </c>
      <c r="C531" s="11">
        <v>0.0</v>
      </c>
      <c r="D531" s="11" t="s">
        <v>1515</v>
      </c>
      <c r="E531" s="11">
        <v>0.0</v>
      </c>
      <c r="F531" s="11" t="s">
        <v>1738</v>
      </c>
      <c r="I531" s="11">
        <v>-44.9113960266113</v>
      </c>
      <c r="J531" s="11">
        <v>-20.2501983642578</v>
      </c>
      <c r="K531" s="11">
        <v>-1.0</v>
      </c>
      <c r="L531" s="11" t="s">
        <v>1390</v>
      </c>
      <c r="M531" s="11">
        <v>-1.0</v>
      </c>
      <c r="N531" s="11" t="s">
        <v>2448</v>
      </c>
    </row>
    <row r="532">
      <c r="A532" s="11">
        <v>-20.7098579406738</v>
      </c>
      <c r="B532" s="11">
        <v>-15.0053043365478</v>
      </c>
      <c r="C532" s="11">
        <v>0.0</v>
      </c>
      <c r="D532" s="11" t="s">
        <v>1515</v>
      </c>
      <c r="E532" s="11">
        <v>0.0</v>
      </c>
      <c r="F532" s="11" t="s">
        <v>1740</v>
      </c>
      <c r="I532" s="11">
        <v>-44.9113960266113</v>
      </c>
      <c r="J532" s="11">
        <v>-20.2501983642578</v>
      </c>
      <c r="K532" s="11">
        <v>0.0</v>
      </c>
      <c r="L532" s="11" t="s">
        <v>1390</v>
      </c>
      <c r="M532" s="11">
        <v>0.0</v>
      </c>
      <c r="N532" s="11" t="s">
        <v>2449</v>
      </c>
    </row>
    <row r="533">
      <c r="A533" s="11">
        <v>8.92829799652099</v>
      </c>
      <c r="B533" s="11">
        <v>-1.27464747428894</v>
      </c>
      <c r="C533" s="11">
        <v>0.0</v>
      </c>
      <c r="D533" s="11" t="s">
        <v>1515</v>
      </c>
      <c r="E533" s="11">
        <v>0.0</v>
      </c>
      <c r="F533" s="11" t="s">
        <v>1742</v>
      </c>
      <c r="I533" s="11">
        <v>-44.3854637145996</v>
      </c>
      <c r="J533" s="11">
        <v>-18.5805110931396</v>
      </c>
      <c r="K533" s="11">
        <v>-1.0</v>
      </c>
      <c r="L533" s="11" t="s">
        <v>1390</v>
      </c>
      <c r="M533" s="11">
        <v>-1.0</v>
      </c>
      <c r="N533" s="11" t="s">
        <v>2450</v>
      </c>
    </row>
    <row r="534">
      <c r="A534" s="11">
        <v>40.1156578063964</v>
      </c>
      <c r="B534" s="11">
        <v>-12.788851737976</v>
      </c>
      <c r="C534" s="11">
        <v>0.0</v>
      </c>
      <c r="D534" s="11" t="s">
        <v>1515</v>
      </c>
      <c r="E534" s="11">
        <v>0.0</v>
      </c>
      <c r="F534" s="11" t="s">
        <v>1744</v>
      </c>
      <c r="I534" s="11">
        <v>-44.3854637145996</v>
      </c>
      <c r="J534" s="11">
        <v>-18.5805110931396</v>
      </c>
      <c r="K534" s="11">
        <v>0.0</v>
      </c>
      <c r="L534" s="11" t="s">
        <v>1390</v>
      </c>
      <c r="M534" s="11">
        <v>0.0</v>
      </c>
      <c r="N534" s="11" t="s">
        <v>2451</v>
      </c>
    </row>
    <row r="535">
      <c r="A535" s="11">
        <v>31.5652923583984</v>
      </c>
      <c r="B535" s="11">
        <v>22.631399154663</v>
      </c>
      <c r="C535" s="11">
        <v>2.0</v>
      </c>
      <c r="D535" s="11" t="s">
        <v>1515</v>
      </c>
      <c r="E535" s="11">
        <v>2.0</v>
      </c>
      <c r="F535" s="11" t="s">
        <v>2453</v>
      </c>
      <c r="I535" s="11">
        <v>-44.3854637145996</v>
      </c>
      <c r="J535" s="11">
        <v>-18.5805110931396</v>
      </c>
      <c r="K535" s="11">
        <v>0.0</v>
      </c>
      <c r="L535" s="11" t="s">
        <v>1390</v>
      </c>
      <c r="M535" s="11">
        <v>0.0</v>
      </c>
      <c r="N535" s="11" t="s">
        <v>2452</v>
      </c>
    </row>
    <row r="536">
      <c r="A536" s="11">
        <v>-31.0505142211914</v>
      </c>
      <c r="B536" s="11">
        <v>-13.3131465911865</v>
      </c>
      <c r="C536" s="11">
        <v>0.0</v>
      </c>
      <c r="D536" s="11" t="s">
        <v>1515</v>
      </c>
      <c r="E536" s="11">
        <v>0.0</v>
      </c>
      <c r="F536" s="11" t="s">
        <v>1746</v>
      </c>
      <c r="I536" s="11">
        <v>-48.2143325805664</v>
      </c>
      <c r="J536" s="11">
        <v>-5.42116451263427</v>
      </c>
      <c r="K536" s="11">
        <v>0.0</v>
      </c>
      <c r="L536" s="11" t="s">
        <v>1390</v>
      </c>
      <c r="M536" s="11">
        <v>0.0</v>
      </c>
      <c r="N536" s="11" t="s">
        <v>2454</v>
      </c>
    </row>
    <row r="537">
      <c r="A537" s="11">
        <v>3.04400205612182</v>
      </c>
      <c r="B537" s="11">
        <v>-25.205919265747</v>
      </c>
      <c r="C537" s="11">
        <v>0.0</v>
      </c>
      <c r="D537" s="11" t="s">
        <v>1515</v>
      </c>
      <c r="E537" s="11">
        <v>0.0</v>
      </c>
      <c r="F537" s="11" t="s">
        <v>1748</v>
      </c>
      <c r="I537" s="11">
        <v>-49.8174934387207</v>
      </c>
      <c r="J537" s="11">
        <v>-6.57986640930175</v>
      </c>
      <c r="K537" s="11">
        <v>0.0</v>
      </c>
      <c r="L537" s="11" t="s">
        <v>1390</v>
      </c>
      <c r="M537" s="11">
        <v>0.0</v>
      </c>
      <c r="N537" s="11" t="s">
        <v>2455</v>
      </c>
    </row>
    <row r="538">
      <c r="A538" s="11">
        <v>-32.0630226135253</v>
      </c>
      <c r="B538" s="11">
        <v>-3.96919417381286</v>
      </c>
      <c r="C538" s="11">
        <v>0.0</v>
      </c>
      <c r="D538" s="11" t="s">
        <v>1515</v>
      </c>
      <c r="E538" s="11">
        <v>0.0</v>
      </c>
      <c r="F538" s="11" t="s">
        <v>1750</v>
      </c>
      <c r="I538" s="11">
        <v>-50.1113014221191</v>
      </c>
      <c r="J538" s="11">
        <v>-4.91058206558227</v>
      </c>
      <c r="K538" s="11">
        <v>0.0</v>
      </c>
      <c r="L538" s="11" t="s">
        <v>1390</v>
      </c>
      <c r="M538" s="11">
        <v>0.0</v>
      </c>
      <c r="N538" s="11" t="s">
        <v>2456</v>
      </c>
    </row>
    <row r="539">
      <c r="A539" s="11">
        <v>-15.0845136642456</v>
      </c>
      <c r="B539" s="11">
        <v>5.68182182312011</v>
      </c>
      <c r="C539" s="11">
        <v>0.0</v>
      </c>
      <c r="D539" s="11" t="s">
        <v>1515</v>
      </c>
      <c r="E539" s="11">
        <v>0.0</v>
      </c>
      <c r="F539" s="11" t="s">
        <v>1752</v>
      </c>
      <c r="I539" s="11">
        <v>-46.8105850219726</v>
      </c>
      <c r="J539" s="11">
        <v>-4.13173675537109</v>
      </c>
      <c r="K539" s="11">
        <v>0.0</v>
      </c>
      <c r="L539" s="11" t="s">
        <v>1390</v>
      </c>
      <c r="M539" s="11">
        <v>0.0</v>
      </c>
      <c r="N539" s="11" t="s">
        <v>2457</v>
      </c>
    </row>
    <row r="540">
      <c r="A540" s="11">
        <v>-31.7784385681152</v>
      </c>
      <c r="B540" s="11">
        <v>25.8609161376953</v>
      </c>
      <c r="C540" s="11">
        <v>-1.0</v>
      </c>
      <c r="D540" s="11" t="s">
        <v>1515</v>
      </c>
      <c r="E540" s="11">
        <v>-1.0</v>
      </c>
      <c r="F540" s="11" t="s">
        <v>1754</v>
      </c>
      <c r="I540" s="11">
        <v>-50.1113014221191</v>
      </c>
      <c r="J540" s="11">
        <v>-4.91058206558227</v>
      </c>
      <c r="K540" s="11">
        <v>0.0</v>
      </c>
      <c r="L540" s="11" t="s">
        <v>1390</v>
      </c>
      <c r="M540" s="11">
        <v>0.0</v>
      </c>
      <c r="N540" s="11" t="s">
        <v>2458</v>
      </c>
    </row>
    <row r="541">
      <c r="A541" s="11">
        <v>-27.7682952880859</v>
      </c>
      <c r="B541" s="11">
        <v>25.8551368713378</v>
      </c>
      <c r="C541" s="11">
        <v>-1.0</v>
      </c>
      <c r="D541" s="11" t="s">
        <v>1515</v>
      </c>
      <c r="E541" s="11">
        <v>-1.0</v>
      </c>
      <c r="F541" s="11" t="s">
        <v>1757</v>
      </c>
      <c r="I541" s="11">
        <v>-50.1113014221191</v>
      </c>
      <c r="J541" s="11">
        <v>-4.91058206558227</v>
      </c>
      <c r="K541" s="11">
        <v>0.0</v>
      </c>
      <c r="L541" s="11" t="s">
        <v>1390</v>
      </c>
      <c r="M541" s="11">
        <v>0.0</v>
      </c>
      <c r="N541" s="11" t="s">
        <v>2459</v>
      </c>
    </row>
    <row r="542">
      <c r="A542" s="11">
        <v>-7.01640844345092</v>
      </c>
      <c r="B542" s="11">
        <v>-13.8923206329345</v>
      </c>
      <c r="C542" s="11">
        <v>0.0</v>
      </c>
      <c r="D542" s="11" t="s">
        <v>1515</v>
      </c>
      <c r="E542" s="11">
        <v>0.0</v>
      </c>
      <c r="F542" s="11" t="s">
        <v>1759</v>
      </c>
      <c r="I542" s="11">
        <v>-46.5397758483886</v>
      </c>
      <c r="J542" s="11">
        <v>-5.86481809616088</v>
      </c>
      <c r="K542" s="11">
        <v>0.0</v>
      </c>
      <c r="L542" s="11" t="s">
        <v>1390</v>
      </c>
      <c r="M542" s="11">
        <v>0.0</v>
      </c>
      <c r="N542" s="11" t="s">
        <v>2460</v>
      </c>
    </row>
    <row r="543">
      <c r="A543" s="11">
        <v>-34.0467948913574</v>
      </c>
      <c r="B543" s="11">
        <v>-18.0333652496337</v>
      </c>
      <c r="C543" s="11">
        <v>0.0</v>
      </c>
      <c r="D543" s="11" t="s">
        <v>1515</v>
      </c>
      <c r="E543" s="11">
        <v>0.0</v>
      </c>
      <c r="F543" s="11" t="s">
        <v>1760</v>
      </c>
      <c r="I543" s="11">
        <v>-46.8105850219726</v>
      </c>
      <c r="J543" s="11">
        <v>-4.13173675537109</v>
      </c>
      <c r="K543" s="11">
        <v>0.0</v>
      </c>
      <c r="L543" s="11" t="s">
        <v>1390</v>
      </c>
      <c r="M543" s="11">
        <v>0.0</v>
      </c>
      <c r="N543" s="11" t="s">
        <v>2461</v>
      </c>
    </row>
    <row r="544">
      <c r="A544" s="11">
        <v>-21.330358505249</v>
      </c>
      <c r="B544" s="11">
        <v>-14.5496368408203</v>
      </c>
      <c r="C544" s="11">
        <v>0.0</v>
      </c>
      <c r="D544" s="11" t="s">
        <v>1515</v>
      </c>
      <c r="E544" s="11">
        <v>0.0</v>
      </c>
      <c r="F544" s="11" t="s">
        <v>1763</v>
      </c>
      <c r="I544" s="11">
        <v>-48.2143325805664</v>
      </c>
      <c r="J544" s="11">
        <v>-5.42116451263427</v>
      </c>
      <c r="K544" s="11">
        <v>0.0</v>
      </c>
      <c r="L544" s="11" t="s">
        <v>1390</v>
      </c>
      <c r="M544" s="11">
        <v>0.0</v>
      </c>
      <c r="N544" s="11" t="s">
        <v>2462</v>
      </c>
    </row>
    <row r="545">
      <c r="A545" s="11">
        <v>35.9723625183105</v>
      </c>
      <c r="B545" s="11">
        <v>-15.8769798278808</v>
      </c>
      <c r="C545" s="11">
        <v>0.0</v>
      </c>
      <c r="D545" s="11" t="s">
        <v>1515</v>
      </c>
      <c r="E545" s="11">
        <v>0.0</v>
      </c>
      <c r="F545" s="11" t="s">
        <v>1765</v>
      </c>
      <c r="I545" s="11">
        <v>-48.2143325805664</v>
      </c>
      <c r="J545" s="11">
        <v>-5.42116451263427</v>
      </c>
      <c r="K545" s="11">
        <v>0.0</v>
      </c>
      <c r="L545" s="11" t="s">
        <v>1390</v>
      </c>
      <c r="M545" s="11">
        <v>0.0</v>
      </c>
      <c r="N545" s="11" t="s">
        <v>2463</v>
      </c>
    </row>
    <row r="546">
      <c r="A546" s="11">
        <v>-35.5933799743652</v>
      </c>
      <c r="B546" s="11">
        <v>-14.0199289321899</v>
      </c>
      <c r="C546" s="11">
        <v>0.0</v>
      </c>
      <c r="D546" s="11" t="s">
        <v>1515</v>
      </c>
      <c r="E546" s="11">
        <v>0.0</v>
      </c>
      <c r="F546" s="11" t="s">
        <v>1767</v>
      </c>
      <c r="I546" s="11">
        <v>-50.1113014221191</v>
      </c>
      <c r="J546" s="11">
        <v>-4.91058206558227</v>
      </c>
      <c r="K546" s="11">
        <v>-1.0</v>
      </c>
      <c r="L546" s="11" t="s">
        <v>1390</v>
      </c>
      <c r="M546" s="11">
        <v>-1.0</v>
      </c>
      <c r="N546" s="11" t="s">
        <v>2464</v>
      </c>
    </row>
    <row r="547">
      <c r="A547" s="11">
        <v>-13.9979553222656</v>
      </c>
      <c r="B547" s="11">
        <v>-14.0650339126586</v>
      </c>
      <c r="C547" s="11">
        <v>0.0</v>
      </c>
      <c r="D547" s="11" t="s">
        <v>1515</v>
      </c>
      <c r="E547" s="11">
        <v>0.0</v>
      </c>
      <c r="F547" s="11" t="s">
        <v>1769</v>
      </c>
      <c r="I547" s="11">
        <v>-50.1113014221191</v>
      </c>
      <c r="J547" s="11">
        <v>-4.91058206558227</v>
      </c>
      <c r="K547" s="11">
        <v>0.0</v>
      </c>
      <c r="L547" s="11" t="s">
        <v>1390</v>
      </c>
      <c r="M547" s="11">
        <v>0.0</v>
      </c>
      <c r="N547" s="11" t="s">
        <v>2465</v>
      </c>
    </row>
    <row r="548">
      <c r="A548" s="11">
        <v>12.5110483169555</v>
      </c>
      <c r="B548" s="11">
        <v>-13.9360704421997</v>
      </c>
      <c r="C548" s="11">
        <v>0.0</v>
      </c>
      <c r="D548" s="11" t="s">
        <v>1515</v>
      </c>
      <c r="E548" s="11">
        <v>0.0</v>
      </c>
      <c r="F548" s="11" t="s">
        <v>1771</v>
      </c>
      <c r="I548" s="11">
        <v>-48.2143325805664</v>
      </c>
      <c r="J548" s="11">
        <v>-5.42116451263427</v>
      </c>
      <c r="K548" s="11">
        <v>0.0</v>
      </c>
      <c r="L548" s="11" t="s">
        <v>1390</v>
      </c>
      <c r="M548" s="11">
        <v>0.0</v>
      </c>
      <c r="N548" s="11" t="s">
        <v>2466</v>
      </c>
    </row>
    <row r="549">
      <c r="A549" s="11">
        <v>-21.1220645904541</v>
      </c>
      <c r="B549" s="11">
        <v>-15.2527742385864</v>
      </c>
      <c r="C549" s="11">
        <v>0.0</v>
      </c>
      <c r="D549" s="11" t="s">
        <v>1515</v>
      </c>
      <c r="E549" s="11">
        <v>0.0</v>
      </c>
      <c r="F549" s="11" t="s">
        <v>1773</v>
      </c>
      <c r="I549" s="11">
        <v>-48.3989219665527</v>
      </c>
      <c r="J549" s="11">
        <v>-3.75315260887146</v>
      </c>
      <c r="K549" s="11">
        <v>0.0</v>
      </c>
      <c r="L549" s="11" t="s">
        <v>1390</v>
      </c>
      <c r="M549" s="11">
        <v>0.0</v>
      </c>
      <c r="N549" s="11" t="s">
        <v>2467</v>
      </c>
    </row>
    <row r="550">
      <c r="A550" s="11">
        <v>25.5349044799804</v>
      </c>
      <c r="B550" s="11">
        <v>36.4285736083984</v>
      </c>
      <c r="C550" s="11">
        <v>2.0</v>
      </c>
      <c r="D550" s="11" t="s">
        <v>1515</v>
      </c>
      <c r="E550" s="11">
        <v>2.0</v>
      </c>
      <c r="F550" s="11" t="s">
        <v>2469</v>
      </c>
      <c r="I550" s="11">
        <v>-48.3989219665527</v>
      </c>
      <c r="J550" s="11">
        <v>-3.75315260887146</v>
      </c>
      <c r="K550" s="11">
        <v>0.0</v>
      </c>
      <c r="L550" s="11" t="s">
        <v>1390</v>
      </c>
      <c r="M550" s="11">
        <v>0.0</v>
      </c>
      <c r="N550" s="11" t="s">
        <v>2468</v>
      </c>
    </row>
    <row r="551">
      <c r="A551" s="11">
        <v>-20.3890018463134</v>
      </c>
      <c r="B551" s="11">
        <v>-11.9387865066528</v>
      </c>
      <c r="C551" s="11">
        <v>0.0</v>
      </c>
      <c r="D551" s="11" t="s">
        <v>1515</v>
      </c>
      <c r="E551" s="11">
        <v>0.0</v>
      </c>
      <c r="F551" s="11" t="s">
        <v>1776</v>
      </c>
      <c r="I551" s="11">
        <v>-48.2143325805664</v>
      </c>
      <c r="J551" s="11">
        <v>-5.42116451263427</v>
      </c>
      <c r="K551" s="11">
        <v>-1.0</v>
      </c>
      <c r="L551" s="11" t="s">
        <v>1390</v>
      </c>
      <c r="M551" s="11">
        <v>-1.0</v>
      </c>
      <c r="N551" s="11" t="s">
        <v>2470</v>
      </c>
    </row>
    <row r="552">
      <c r="A552" s="11">
        <v>42.8158950805664</v>
      </c>
      <c r="B552" s="11">
        <v>-4.46055889129638</v>
      </c>
      <c r="C552" s="11">
        <v>1.0</v>
      </c>
      <c r="D552" s="11" t="s">
        <v>1515</v>
      </c>
      <c r="E552" s="11">
        <v>1.0</v>
      </c>
      <c r="F552" s="11" t="s">
        <v>1778</v>
      </c>
      <c r="I552" s="11">
        <v>-46.8105850219726</v>
      </c>
      <c r="J552" s="11">
        <v>-4.13173675537109</v>
      </c>
      <c r="K552" s="11">
        <v>-2.0</v>
      </c>
      <c r="L552" s="11" t="s">
        <v>1879</v>
      </c>
      <c r="M552" s="11">
        <v>-2.0</v>
      </c>
      <c r="N552" s="11" t="s">
        <v>2471</v>
      </c>
    </row>
    <row r="553">
      <c r="A553" s="11">
        <v>27.7990951538085</v>
      </c>
      <c r="B553" s="11">
        <v>31.5857105255126</v>
      </c>
      <c r="C553" s="11">
        <v>2.0</v>
      </c>
      <c r="D553" s="11" t="s">
        <v>1515</v>
      </c>
      <c r="E553" s="11">
        <v>2.0</v>
      </c>
      <c r="F553" s="11" t="s">
        <v>2473</v>
      </c>
      <c r="I553" s="11">
        <v>-49.6790046691894</v>
      </c>
      <c r="J553" s="11">
        <v>-3.16576266288757</v>
      </c>
      <c r="K553" s="11">
        <v>-2.0</v>
      </c>
      <c r="L553" s="11" t="s">
        <v>1879</v>
      </c>
      <c r="M553" s="11">
        <v>-2.0</v>
      </c>
      <c r="N553" s="11" t="s">
        <v>2472</v>
      </c>
    </row>
    <row r="554">
      <c r="A554" s="11">
        <v>-31.9643497467041</v>
      </c>
      <c r="B554" s="11">
        <v>27.3935089111328</v>
      </c>
      <c r="C554" s="11">
        <v>-1.0</v>
      </c>
      <c r="D554" s="11" t="s">
        <v>1515</v>
      </c>
      <c r="E554" s="11">
        <v>-1.0</v>
      </c>
      <c r="F554" s="11" t="s">
        <v>1780</v>
      </c>
      <c r="I554" s="11">
        <v>-49.6790046691894</v>
      </c>
      <c r="J554" s="11">
        <v>-3.16576266288757</v>
      </c>
      <c r="K554" s="11">
        <v>-2.0</v>
      </c>
      <c r="L554" s="11" t="s">
        <v>1879</v>
      </c>
      <c r="M554" s="11">
        <v>-2.0</v>
      </c>
      <c r="N554" s="11" t="s">
        <v>2474</v>
      </c>
    </row>
    <row r="555">
      <c r="A555" s="11">
        <v>32.3994903564453</v>
      </c>
      <c r="B555" s="11">
        <v>25.1738147735595</v>
      </c>
      <c r="C555" s="11">
        <v>2.0</v>
      </c>
      <c r="D555" s="11" t="s">
        <v>1515</v>
      </c>
      <c r="E555" s="11">
        <v>2.0</v>
      </c>
      <c r="F555" s="11" t="s">
        <v>2476</v>
      </c>
      <c r="I555" s="11">
        <v>-48.2143325805664</v>
      </c>
      <c r="J555" s="11">
        <v>-5.42116451263427</v>
      </c>
      <c r="K555" s="11">
        <v>-2.0</v>
      </c>
      <c r="L555" s="11" t="s">
        <v>1879</v>
      </c>
      <c r="M555" s="11">
        <v>-2.0</v>
      </c>
      <c r="N555" s="11" t="s">
        <v>2475</v>
      </c>
    </row>
    <row r="556">
      <c r="A556" s="11">
        <v>35.5153656005859</v>
      </c>
      <c r="B556" s="11">
        <v>21.1774425506591</v>
      </c>
      <c r="C556" s="11">
        <v>2.0</v>
      </c>
      <c r="D556" s="11" t="s">
        <v>1515</v>
      </c>
      <c r="E556" s="11">
        <v>2.0</v>
      </c>
      <c r="F556" s="11" t="s">
        <v>1783</v>
      </c>
      <c r="I556" s="11">
        <v>-49.6790046691894</v>
      </c>
      <c r="J556" s="11">
        <v>-3.16576266288757</v>
      </c>
      <c r="K556" s="11">
        <v>-2.0</v>
      </c>
      <c r="L556" s="11" t="s">
        <v>1879</v>
      </c>
      <c r="M556" s="11">
        <v>-2.0</v>
      </c>
      <c r="N556" s="11" t="s">
        <v>2477</v>
      </c>
    </row>
    <row r="557">
      <c r="A557" s="11">
        <v>-17.8596820831298</v>
      </c>
      <c r="B557" s="11">
        <v>20.6403045654296</v>
      </c>
      <c r="C557" s="11">
        <v>0.0</v>
      </c>
      <c r="D557" s="11" t="s">
        <v>1515</v>
      </c>
      <c r="E557" s="11">
        <v>0.0</v>
      </c>
      <c r="F557" s="11" t="s">
        <v>1786</v>
      </c>
      <c r="I557" s="11">
        <v>-48.5284080505371</v>
      </c>
      <c r="J557" s="11">
        <v>-7.06977558135986</v>
      </c>
      <c r="K557" s="11">
        <v>-2.0</v>
      </c>
      <c r="L557" s="11" t="s">
        <v>1879</v>
      </c>
      <c r="M557" s="11">
        <v>-2.0</v>
      </c>
      <c r="N557" s="11" t="s">
        <v>2478</v>
      </c>
    </row>
    <row r="558">
      <c r="A558" s="11">
        <v>-23.6071720123291</v>
      </c>
      <c r="B558" s="11">
        <v>17.1378517150878</v>
      </c>
      <c r="C558" s="11">
        <v>0.0</v>
      </c>
      <c r="D558" s="11" t="s">
        <v>1515</v>
      </c>
      <c r="E558" s="11">
        <v>0.0</v>
      </c>
      <c r="F558" s="11" t="s">
        <v>1788</v>
      </c>
      <c r="I558" s="11">
        <v>-48.2143325805664</v>
      </c>
      <c r="J558" s="11">
        <v>-5.42116451263427</v>
      </c>
      <c r="K558" s="11">
        <v>-2.0</v>
      </c>
      <c r="L558" s="11" t="s">
        <v>1879</v>
      </c>
      <c r="M558" s="11">
        <v>-2.0</v>
      </c>
      <c r="N558" s="11" t="s">
        <v>2479</v>
      </c>
    </row>
    <row r="559">
      <c r="A559" s="11">
        <v>16.4182090759277</v>
      </c>
      <c r="B559" s="11">
        <v>-20.7253398895263</v>
      </c>
      <c r="C559" s="11">
        <v>0.0</v>
      </c>
      <c r="D559" s="11" t="s">
        <v>1515</v>
      </c>
      <c r="E559" s="11">
        <v>0.0</v>
      </c>
      <c r="F559" s="11" t="s">
        <v>1790</v>
      </c>
    </row>
    <row r="560">
      <c r="A560" s="11">
        <v>33.6784400939941</v>
      </c>
      <c r="B560" s="11">
        <v>-17.3348217010498</v>
      </c>
      <c r="C560" s="11">
        <v>0.0</v>
      </c>
      <c r="D560" s="11" t="s">
        <v>1515</v>
      </c>
      <c r="E560" s="11">
        <v>0.0</v>
      </c>
      <c r="F560" s="11" t="s">
        <v>1792</v>
      </c>
    </row>
    <row r="561">
      <c r="A561" s="11">
        <v>-8.47388744354248</v>
      </c>
      <c r="B561" s="11">
        <v>-17.1942443847656</v>
      </c>
      <c r="C561" s="11">
        <v>0.0</v>
      </c>
      <c r="D561" s="11" t="s">
        <v>1515</v>
      </c>
      <c r="E561" s="11">
        <v>0.0</v>
      </c>
      <c r="F561" s="11" t="s">
        <v>1793</v>
      </c>
    </row>
    <row r="562">
      <c r="A562" s="11">
        <v>17.7672309875488</v>
      </c>
      <c r="B562" s="11">
        <v>-21.3905601501464</v>
      </c>
      <c r="C562" s="11">
        <v>0.0</v>
      </c>
      <c r="D562" s="11" t="s">
        <v>1515</v>
      </c>
      <c r="E562" s="11">
        <v>0.0</v>
      </c>
      <c r="F562" s="11" t="s">
        <v>1796</v>
      </c>
    </row>
    <row r="563">
      <c r="A563" s="11">
        <v>16.425703048706</v>
      </c>
      <c r="B563" s="11">
        <v>-19.5194702148437</v>
      </c>
      <c r="C563" s="11">
        <v>0.0</v>
      </c>
      <c r="D563" s="11" t="s">
        <v>1515</v>
      </c>
      <c r="E563" s="11">
        <v>0.0</v>
      </c>
      <c r="F563" s="11" t="s">
        <v>1798</v>
      </c>
    </row>
    <row r="564">
      <c r="A564" s="11">
        <v>18.3455905914306</v>
      </c>
      <c r="B564" s="11">
        <v>-22.9497489929199</v>
      </c>
      <c r="C564" s="11">
        <v>0.0</v>
      </c>
      <c r="D564" s="11" t="s">
        <v>1515</v>
      </c>
      <c r="E564" s="11">
        <v>0.0</v>
      </c>
      <c r="F564" s="11" t="s">
        <v>1801</v>
      </c>
    </row>
    <row r="565">
      <c r="A565" s="11">
        <v>-3.71128988265991</v>
      </c>
      <c r="B565" s="11">
        <v>-8.33908176422119</v>
      </c>
      <c r="C565" s="11">
        <v>0.0</v>
      </c>
      <c r="D565" s="11" t="s">
        <v>1515</v>
      </c>
      <c r="E565" s="11">
        <v>0.0</v>
      </c>
      <c r="F565" s="11" t="s">
        <v>1804</v>
      </c>
    </row>
    <row r="566">
      <c r="A566" s="11">
        <v>-29.8945064544677</v>
      </c>
      <c r="B566" s="11">
        <v>15.0616722106933</v>
      </c>
      <c r="C566" s="11">
        <v>0.0</v>
      </c>
      <c r="D566" s="11" t="s">
        <v>1515</v>
      </c>
      <c r="E566" s="11">
        <v>0.0</v>
      </c>
      <c r="F566" s="11" t="s">
        <v>1806</v>
      </c>
    </row>
    <row r="567">
      <c r="A567" s="11">
        <v>40.7879028320312</v>
      </c>
      <c r="B567" s="11">
        <v>-9.71600151062011</v>
      </c>
      <c r="C567" s="11">
        <v>0.0</v>
      </c>
      <c r="D567" s="11" t="s">
        <v>1515</v>
      </c>
      <c r="E567" s="11">
        <v>0.0</v>
      </c>
      <c r="F567" s="11" t="s">
        <v>1808</v>
      </c>
    </row>
    <row r="568">
      <c r="A568" s="11">
        <v>-12.538402557373</v>
      </c>
      <c r="B568" s="11">
        <v>14.0823574066162</v>
      </c>
      <c r="C568" s="11">
        <v>0.0</v>
      </c>
      <c r="D568" s="11" t="s">
        <v>1515</v>
      </c>
      <c r="E568" s="11">
        <v>0.0</v>
      </c>
      <c r="F568" s="11" t="s">
        <v>1810</v>
      </c>
    </row>
    <row r="569">
      <c r="A569" s="11">
        <v>29.5449333190917</v>
      </c>
      <c r="B569" s="11">
        <v>-26.1693649291992</v>
      </c>
      <c r="C569" s="11">
        <v>1.0</v>
      </c>
      <c r="D569" s="11" t="s">
        <v>1515</v>
      </c>
      <c r="E569" s="11">
        <v>1.0</v>
      </c>
      <c r="F569" s="11" t="s">
        <v>1812</v>
      </c>
    </row>
    <row r="570">
      <c r="A570" s="11">
        <v>30.0325679779052</v>
      </c>
      <c r="B570" s="11">
        <v>-15.6286249160766</v>
      </c>
      <c r="C570" s="11">
        <v>0.0</v>
      </c>
      <c r="D570" s="11" t="s">
        <v>1515</v>
      </c>
      <c r="E570" s="11">
        <v>0.0</v>
      </c>
      <c r="F570" s="11" t="s">
        <v>1814</v>
      </c>
    </row>
    <row r="571">
      <c r="A571" s="11">
        <v>-15.2401733398437</v>
      </c>
      <c r="B571" s="11">
        <v>19.2988948822021</v>
      </c>
      <c r="C571" s="11">
        <v>0.0</v>
      </c>
      <c r="D571" s="11" t="s">
        <v>1515</v>
      </c>
      <c r="E571" s="11">
        <v>0.0</v>
      </c>
      <c r="F571" s="11" t="s">
        <v>2480</v>
      </c>
    </row>
    <row r="572">
      <c r="A572" s="11">
        <v>42.0538330078125</v>
      </c>
      <c r="B572" s="11">
        <v>-13.7073240280151</v>
      </c>
      <c r="C572" s="11">
        <v>0.0</v>
      </c>
      <c r="D572" s="11" t="s">
        <v>1515</v>
      </c>
      <c r="E572" s="11">
        <v>0.0</v>
      </c>
      <c r="F572" s="11" t="s">
        <v>1816</v>
      </c>
    </row>
    <row r="573">
      <c r="A573" s="11">
        <v>-18.4791088104248</v>
      </c>
      <c r="B573" s="11">
        <v>19.7644958496093</v>
      </c>
      <c r="C573" s="11">
        <v>0.0</v>
      </c>
      <c r="D573" s="11" t="s">
        <v>1515</v>
      </c>
      <c r="E573" s="11">
        <v>0.0</v>
      </c>
      <c r="F573" s="11" t="s">
        <v>1818</v>
      </c>
    </row>
    <row r="574">
      <c r="A574" s="11">
        <v>9.21266269683837</v>
      </c>
      <c r="B574" s="11">
        <v>-28.6911125183105</v>
      </c>
      <c r="C574" s="11">
        <v>0.0</v>
      </c>
      <c r="D574" s="11" t="s">
        <v>1515</v>
      </c>
      <c r="E574" s="11">
        <v>0.0</v>
      </c>
      <c r="F574" s="11" t="s">
        <v>1820</v>
      </c>
    </row>
    <row r="575">
      <c r="A575" s="11">
        <v>36.9539909362793</v>
      </c>
      <c r="B575" s="11">
        <v>14.3473300933837</v>
      </c>
      <c r="C575" s="11">
        <v>2.0</v>
      </c>
      <c r="D575" s="11" t="s">
        <v>1515</v>
      </c>
      <c r="E575" s="11">
        <v>2.0</v>
      </c>
      <c r="F575" s="11" t="s">
        <v>1822</v>
      </c>
    </row>
    <row r="576">
      <c r="A576" s="11">
        <v>-4.67205715179443</v>
      </c>
      <c r="B576" s="11">
        <v>-9.2777624130249</v>
      </c>
      <c r="C576" s="11">
        <v>0.0</v>
      </c>
      <c r="D576" s="11" t="s">
        <v>1515</v>
      </c>
      <c r="E576" s="11">
        <v>0.0</v>
      </c>
      <c r="F576" s="11" t="s">
        <v>1824</v>
      </c>
    </row>
    <row r="577">
      <c r="A577" s="11">
        <v>11.2614526748657</v>
      </c>
      <c r="B577" s="11">
        <v>-30.2952423095703</v>
      </c>
      <c r="C577" s="11">
        <v>0.0</v>
      </c>
      <c r="D577" s="11" t="s">
        <v>1515</v>
      </c>
      <c r="E577" s="11">
        <v>0.0</v>
      </c>
      <c r="F577" s="11" t="s">
        <v>1826</v>
      </c>
    </row>
    <row r="578">
      <c r="A578" s="11">
        <v>6.54026985168457</v>
      </c>
      <c r="B578" s="11">
        <v>-20.0159854888916</v>
      </c>
      <c r="C578" s="11">
        <v>0.0</v>
      </c>
      <c r="D578" s="11" t="s">
        <v>1515</v>
      </c>
      <c r="E578" s="11">
        <v>0.0</v>
      </c>
      <c r="F578" s="11" t="s">
        <v>1828</v>
      </c>
    </row>
    <row r="579">
      <c r="A579" s="11">
        <v>-32.0304298400878</v>
      </c>
      <c r="B579" s="11">
        <v>-4.03765106201171</v>
      </c>
      <c r="C579" s="11">
        <v>0.0</v>
      </c>
      <c r="D579" s="11" t="s">
        <v>1515</v>
      </c>
      <c r="E579" s="11">
        <v>0.0</v>
      </c>
      <c r="F579" s="11" t="s">
        <v>1830</v>
      </c>
    </row>
    <row r="580">
      <c r="A580" s="11">
        <v>26.2098655700683</v>
      </c>
      <c r="B580" s="11">
        <v>35.8882904052734</v>
      </c>
      <c r="C580" s="11">
        <v>2.0</v>
      </c>
      <c r="D580" s="11" t="s">
        <v>1515</v>
      </c>
      <c r="E580" s="11">
        <v>2.0</v>
      </c>
      <c r="F580" s="11" t="s">
        <v>2481</v>
      </c>
    </row>
    <row r="581">
      <c r="A581" s="11">
        <v>38.9584999084472</v>
      </c>
      <c r="B581" s="11">
        <v>-13.2758808135986</v>
      </c>
      <c r="C581" s="11">
        <v>0.0</v>
      </c>
      <c r="D581" s="11" t="s">
        <v>1515</v>
      </c>
      <c r="E581" s="11">
        <v>0.0</v>
      </c>
      <c r="F581" s="11" t="s">
        <v>1832</v>
      </c>
    </row>
    <row r="582">
      <c r="A582" s="11">
        <v>-35.7440719604492</v>
      </c>
      <c r="B582" s="11">
        <v>-16.6079330444335</v>
      </c>
      <c r="C582" s="11">
        <v>0.0</v>
      </c>
      <c r="D582" s="11" t="s">
        <v>1515</v>
      </c>
      <c r="E582" s="11">
        <v>0.0</v>
      </c>
      <c r="F582" s="11" t="s">
        <v>1834</v>
      </c>
    </row>
    <row r="583">
      <c r="A583" s="11">
        <v>-17.4702587127685</v>
      </c>
      <c r="B583" s="11">
        <v>19.2127876281738</v>
      </c>
      <c r="C583" s="11">
        <v>0.0</v>
      </c>
      <c r="D583" s="11" t="s">
        <v>1515</v>
      </c>
      <c r="E583" s="11">
        <v>0.0</v>
      </c>
      <c r="F583" s="11" t="s">
        <v>2482</v>
      </c>
    </row>
    <row r="584">
      <c r="A584" s="11">
        <v>-4.80015325546264</v>
      </c>
      <c r="B584" s="11">
        <v>-15.7727422714233</v>
      </c>
      <c r="C584" s="11">
        <v>0.0</v>
      </c>
      <c r="D584" s="11" t="s">
        <v>1515</v>
      </c>
      <c r="E584" s="11">
        <v>0.0</v>
      </c>
      <c r="F584" s="11" t="s">
        <v>1836</v>
      </c>
    </row>
    <row r="585">
      <c r="A585" s="11">
        <v>-14.3114891052246</v>
      </c>
      <c r="B585" s="11">
        <v>7.89362716674804</v>
      </c>
      <c r="C585" s="11">
        <v>0.0</v>
      </c>
      <c r="D585" s="11" t="s">
        <v>1515</v>
      </c>
      <c r="E585" s="11">
        <v>0.0</v>
      </c>
      <c r="F585" s="11" t="s">
        <v>1838</v>
      </c>
    </row>
    <row r="586">
      <c r="A586" s="11">
        <v>-4.06361579895019</v>
      </c>
      <c r="B586" s="11">
        <v>-8.38625335693359</v>
      </c>
      <c r="C586" s="11">
        <v>0.0</v>
      </c>
      <c r="D586" s="11" t="s">
        <v>1515</v>
      </c>
      <c r="E586" s="11">
        <v>0.0</v>
      </c>
      <c r="F586" s="11" t="s">
        <v>1840</v>
      </c>
    </row>
    <row r="587">
      <c r="A587" s="11">
        <v>-15.1498880386352</v>
      </c>
      <c r="B587" s="11">
        <v>-14.3714380264282</v>
      </c>
      <c r="C587" s="11">
        <v>0.0</v>
      </c>
      <c r="D587" s="11" t="s">
        <v>1515</v>
      </c>
      <c r="E587" s="11">
        <v>0.0</v>
      </c>
      <c r="F587" s="11" t="s">
        <v>1843</v>
      </c>
    </row>
    <row r="588">
      <c r="A588" s="11">
        <v>35.7957763671875</v>
      </c>
      <c r="B588" s="11">
        <v>16.7753601074218</v>
      </c>
      <c r="C588" s="11">
        <v>2.0</v>
      </c>
      <c r="D588" s="11" t="s">
        <v>1515</v>
      </c>
      <c r="E588" s="11">
        <v>2.0</v>
      </c>
      <c r="F588" s="11" t="s">
        <v>2483</v>
      </c>
    </row>
    <row r="589">
      <c r="A589" s="11">
        <v>-31.227912902832</v>
      </c>
      <c r="B589" s="11">
        <v>26.1367092132568</v>
      </c>
      <c r="C589" s="11">
        <v>-1.0</v>
      </c>
      <c r="D589" s="11" t="s">
        <v>1515</v>
      </c>
      <c r="E589" s="11">
        <v>-1.0</v>
      </c>
      <c r="F589" s="11" t="s">
        <v>1845</v>
      </c>
    </row>
    <row r="590">
      <c r="A590" s="11">
        <v>-15.0110731124877</v>
      </c>
      <c r="B590" s="11">
        <v>12.7320575714111</v>
      </c>
      <c r="C590" s="11">
        <v>0.0</v>
      </c>
      <c r="D590" s="11" t="s">
        <v>1515</v>
      </c>
      <c r="E590" s="11">
        <v>0.0</v>
      </c>
      <c r="F590" s="11" t="s">
        <v>2484</v>
      </c>
    </row>
    <row r="591">
      <c r="A591" s="11">
        <v>-30.0845642089843</v>
      </c>
      <c r="B591" s="11">
        <v>13.6434307098388</v>
      </c>
      <c r="C591" s="11">
        <v>0.0</v>
      </c>
      <c r="D591" s="11" t="s">
        <v>1515</v>
      </c>
      <c r="E591" s="11">
        <v>0.0</v>
      </c>
      <c r="F591" s="11" t="s">
        <v>1848</v>
      </c>
    </row>
    <row r="592">
      <c r="A592" s="11">
        <v>-22.5008602142334</v>
      </c>
      <c r="B592" s="11">
        <v>13.2425365447998</v>
      </c>
      <c r="C592" s="11">
        <v>0.0</v>
      </c>
      <c r="D592" s="11" t="s">
        <v>1515</v>
      </c>
      <c r="E592" s="11">
        <v>0.0</v>
      </c>
      <c r="F592" s="11" t="s">
        <v>1850</v>
      </c>
    </row>
    <row r="593">
      <c r="A593" s="11">
        <v>-19.4068775177001</v>
      </c>
      <c r="B593" s="11">
        <v>-12.0481586456298</v>
      </c>
      <c r="C593" s="11">
        <v>0.0</v>
      </c>
      <c r="D593" s="11" t="s">
        <v>1515</v>
      </c>
      <c r="E593" s="11">
        <v>0.0</v>
      </c>
      <c r="F593" s="11" t="s">
        <v>1853</v>
      </c>
    </row>
    <row r="594">
      <c r="A594" s="11">
        <v>-14.3114891052246</v>
      </c>
      <c r="B594" s="11">
        <v>7.89362716674804</v>
      </c>
      <c r="C594" s="11">
        <v>0.0</v>
      </c>
      <c r="D594" s="11" t="s">
        <v>1515</v>
      </c>
      <c r="E594" s="11">
        <v>0.0</v>
      </c>
      <c r="F594" s="11" t="s">
        <v>1856</v>
      </c>
    </row>
    <row r="595">
      <c r="A595" s="11">
        <v>38.9584999084472</v>
      </c>
      <c r="B595" s="11">
        <v>-13.2758808135986</v>
      </c>
      <c r="C595" s="11">
        <v>0.0</v>
      </c>
      <c r="D595" s="11" t="s">
        <v>1515</v>
      </c>
      <c r="E595" s="11">
        <v>0.0</v>
      </c>
      <c r="F595" s="11" t="s">
        <v>1858</v>
      </c>
    </row>
    <row r="596">
      <c r="A596" s="11">
        <v>-1.97678637504577</v>
      </c>
      <c r="B596" s="11">
        <v>-20.8301448822021</v>
      </c>
      <c r="C596" s="11">
        <v>0.0</v>
      </c>
      <c r="D596" s="11" t="s">
        <v>1515</v>
      </c>
      <c r="E596" s="11">
        <v>0.0</v>
      </c>
      <c r="F596" s="11" t="s">
        <v>2485</v>
      </c>
    </row>
    <row r="597">
      <c r="A597" s="11">
        <v>32.7336044311523</v>
      </c>
      <c r="B597" s="11">
        <v>26.7125797271728</v>
      </c>
      <c r="C597" s="11">
        <v>2.0</v>
      </c>
      <c r="D597" s="11" t="s">
        <v>1515</v>
      </c>
      <c r="E597" s="11">
        <v>2.0</v>
      </c>
      <c r="F597" s="11" t="s">
        <v>2486</v>
      </c>
    </row>
    <row r="598">
      <c r="A598" s="11">
        <v>-34.6913833618164</v>
      </c>
      <c r="B598" s="11">
        <v>19.2739086151123</v>
      </c>
      <c r="C598" s="11">
        <v>0.0</v>
      </c>
      <c r="D598" s="11" t="s">
        <v>1515</v>
      </c>
      <c r="E598" s="11">
        <v>0.0</v>
      </c>
      <c r="F598" s="11" t="s">
        <v>2487</v>
      </c>
    </row>
    <row r="599">
      <c r="A599" s="11">
        <v>8.94939708709716</v>
      </c>
      <c r="B599" s="11">
        <v>-20.4689121246337</v>
      </c>
      <c r="C599" s="11">
        <v>0.0</v>
      </c>
      <c r="D599" s="11" t="s">
        <v>1515</v>
      </c>
      <c r="E599" s="11">
        <v>0.0</v>
      </c>
      <c r="F599" s="11" t="s">
        <v>1860</v>
      </c>
    </row>
    <row r="600">
      <c r="A600" s="11">
        <v>13.8414125442504</v>
      </c>
      <c r="B600" s="11">
        <v>-14.4189224243164</v>
      </c>
      <c r="C600" s="11">
        <v>0.0</v>
      </c>
      <c r="D600" s="11" t="s">
        <v>1515</v>
      </c>
      <c r="E600" s="11">
        <v>0.0</v>
      </c>
      <c r="F600" s="11" t="s">
        <v>1862</v>
      </c>
    </row>
    <row r="601">
      <c r="A601" s="11">
        <v>-31.2899589538574</v>
      </c>
      <c r="B601" s="11">
        <v>25.6722793579101</v>
      </c>
      <c r="C601" s="11">
        <v>-1.0</v>
      </c>
      <c r="D601" s="11" t="s">
        <v>1515</v>
      </c>
      <c r="E601" s="11">
        <v>-1.0</v>
      </c>
      <c r="F601" s="11" t="s">
        <v>1864</v>
      </c>
    </row>
    <row r="602">
      <c r="A602" s="11">
        <v>-26.513219833374</v>
      </c>
      <c r="B602" s="11">
        <v>17.3237476348876</v>
      </c>
      <c r="C602" s="11">
        <v>0.0</v>
      </c>
      <c r="D602" s="11" t="s">
        <v>1515</v>
      </c>
      <c r="E602" s="11">
        <v>0.0</v>
      </c>
      <c r="F602" s="11" t="s">
        <v>1866</v>
      </c>
    </row>
    <row r="603">
      <c r="A603" s="11">
        <v>31.6102027893066</v>
      </c>
      <c r="B603" s="11">
        <v>-15.9059514999389</v>
      </c>
      <c r="C603" s="11">
        <v>0.0</v>
      </c>
      <c r="D603" s="11" t="s">
        <v>1515</v>
      </c>
      <c r="E603" s="11">
        <v>0.0</v>
      </c>
      <c r="F603" s="11" t="s">
        <v>1868</v>
      </c>
    </row>
    <row r="604">
      <c r="A604" s="11">
        <v>-30.8015041351318</v>
      </c>
      <c r="B604" s="11">
        <v>19.8304996490478</v>
      </c>
      <c r="C604" s="11">
        <v>0.0</v>
      </c>
      <c r="D604" s="11" t="s">
        <v>1515</v>
      </c>
      <c r="E604" s="11">
        <v>0.0</v>
      </c>
      <c r="F604" s="11" t="s">
        <v>1870</v>
      </c>
    </row>
    <row r="605">
      <c r="A605" s="11">
        <v>-21.2831401824951</v>
      </c>
      <c r="B605" s="11">
        <v>-14.7467222213745</v>
      </c>
      <c r="C605" s="11">
        <v>0.0</v>
      </c>
      <c r="D605" s="11" t="s">
        <v>1515</v>
      </c>
      <c r="E605" s="11">
        <v>0.0</v>
      </c>
      <c r="F605" s="11" t="s">
        <v>1872</v>
      </c>
    </row>
    <row r="606">
      <c r="A606" s="11">
        <v>29.5255508422851</v>
      </c>
      <c r="B606" s="11">
        <v>-26.1711597442626</v>
      </c>
      <c r="C606" s="11">
        <v>1.0</v>
      </c>
      <c r="D606" s="11" t="s">
        <v>1515</v>
      </c>
      <c r="E606" s="11">
        <v>1.0</v>
      </c>
      <c r="F606" s="11" t="s">
        <v>1875</v>
      </c>
    </row>
    <row r="607">
      <c r="A607" s="11">
        <v>-37.4885864257812</v>
      </c>
      <c r="B607" s="11">
        <v>37.6602134704589</v>
      </c>
      <c r="C607" s="11">
        <v>-2.0</v>
      </c>
      <c r="D607" s="11" t="s">
        <v>1515</v>
      </c>
      <c r="E607" s="11">
        <v>-2.0</v>
      </c>
      <c r="F607" s="11" t="s">
        <v>1877</v>
      </c>
    </row>
    <row r="608">
      <c r="A608" s="11">
        <v>17.1785373687744</v>
      </c>
      <c r="B608" s="11">
        <v>-15.1759786605834</v>
      </c>
      <c r="C608" s="11">
        <v>0.0</v>
      </c>
      <c r="D608" s="11" t="s">
        <v>1515</v>
      </c>
      <c r="E608" s="11">
        <v>0.0</v>
      </c>
      <c r="F608" s="11" t="s">
        <v>1881</v>
      </c>
    </row>
    <row r="609">
      <c r="A609" s="11">
        <v>-8.30073928833007</v>
      </c>
      <c r="B609" s="11">
        <v>-48.1007766723632</v>
      </c>
      <c r="C609" s="11">
        <v>0.0</v>
      </c>
      <c r="D609" s="11" t="s">
        <v>1515</v>
      </c>
      <c r="E609" s="11">
        <v>0.0</v>
      </c>
      <c r="F609" s="11" t="s">
        <v>1883</v>
      </c>
    </row>
    <row r="610">
      <c r="A610" s="11">
        <v>-17.6193923950195</v>
      </c>
      <c r="B610" s="11">
        <v>20.1485157012939</v>
      </c>
      <c r="C610" s="11">
        <v>0.0</v>
      </c>
      <c r="D610" s="11" t="s">
        <v>1515</v>
      </c>
      <c r="E610" s="11">
        <v>0.0</v>
      </c>
      <c r="F610" s="11" t="s">
        <v>1885</v>
      </c>
    </row>
    <row r="611">
      <c r="A611" s="11">
        <v>42.2459182739257</v>
      </c>
      <c r="B611" s="11">
        <v>-13.3311929702758</v>
      </c>
      <c r="C611" s="11">
        <v>0.0</v>
      </c>
      <c r="D611" s="11" t="s">
        <v>1515</v>
      </c>
      <c r="E611" s="11">
        <v>0.0</v>
      </c>
      <c r="F611" s="11" t="s">
        <v>1887</v>
      </c>
    </row>
    <row r="612">
      <c r="A612" s="11">
        <v>39.1393890380859</v>
      </c>
      <c r="B612" s="11">
        <v>-11.9808320999145</v>
      </c>
      <c r="C612" s="11">
        <v>0.0</v>
      </c>
      <c r="D612" s="11" t="s">
        <v>1515</v>
      </c>
      <c r="E612" s="11">
        <v>0.0</v>
      </c>
      <c r="F612" s="11" t="s">
        <v>1889</v>
      </c>
    </row>
    <row r="613">
      <c r="A613" s="11">
        <v>18.0952854156494</v>
      </c>
      <c r="B613" s="11">
        <v>-20.966983795166</v>
      </c>
      <c r="C613" s="11">
        <v>0.0</v>
      </c>
      <c r="D613" s="11" t="s">
        <v>1515</v>
      </c>
      <c r="E613" s="11">
        <v>0.0</v>
      </c>
      <c r="F613" s="11" t="s">
        <v>1891</v>
      </c>
    </row>
    <row r="614">
      <c r="A614" s="11">
        <v>-3.70959329605102</v>
      </c>
      <c r="B614" s="11">
        <v>-19.0828342437744</v>
      </c>
      <c r="C614" s="11">
        <v>0.0</v>
      </c>
      <c r="D614" s="11" t="s">
        <v>1515</v>
      </c>
      <c r="E614" s="11">
        <v>0.0</v>
      </c>
      <c r="F614" s="11" t="s">
        <v>1893</v>
      </c>
    </row>
    <row r="615">
      <c r="A615" s="11">
        <v>12.1599578857421</v>
      </c>
      <c r="B615" s="11">
        <v>-31.0000667572021</v>
      </c>
      <c r="C615" s="11">
        <v>0.0</v>
      </c>
      <c r="D615" s="11" t="s">
        <v>1515</v>
      </c>
      <c r="E615" s="11">
        <v>0.0</v>
      </c>
      <c r="F615" s="11" t="s">
        <v>2488</v>
      </c>
    </row>
    <row r="616">
      <c r="A616" s="11">
        <v>-30.9402446746826</v>
      </c>
      <c r="B616" s="11">
        <v>19.242052078247</v>
      </c>
      <c r="C616" s="11">
        <v>0.0</v>
      </c>
      <c r="D616" s="11" t="s">
        <v>1515</v>
      </c>
      <c r="E616" s="11">
        <v>0.0</v>
      </c>
      <c r="F616" s="11" t="s">
        <v>1895</v>
      </c>
    </row>
    <row r="617">
      <c r="A617" s="11">
        <v>-16.0381107330322</v>
      </c>
      <c r="B617" s="11">
        <v>-7.42641448974609</v>
      </c>
      <c r="C617" s="11">
        <v>0.0</v>
      </c>
      <c r="D617" s="11" t="s">
        <v>1515</v>
      </c>
      <c r="E617" s="11">
        <v>0.0</v>
      </c>
      <c r="F617" s="11" t="s">
        <v>1897</v>
      </c>
    </row>
    <row r="618">
      <c r="A618" s="11">
        <v>9.46039867401123</v>
      </c>
      <c r="B618" s="11">
        <v>-17.4082584381103</v>
      </c>
      <c r="C618" s="11">
        <v>0.0</v>
      </c>
      <c r="D618" s="11" t="s">
        <v>1515</v>
      </c>
      <c r="E618" s="11">
        <v>0.0</v>
      </c>
      <c r="F618" s="11" t="s">
        <v>1899</v>
      </c>
    </row>
    <row r="619">
      <c r="A619" s="11">
        <v>-15.7818412780761</v>
      </c>
      <c r="B619" s="11">
        <v>14.8290376663208</v>
      </c>
      <c r="C619" s="11">
        <v>0.0</v>
      </c>
      <c r="D619" s="11" t="s">
        <v>1515</v>
      </c>
      <c r="E619" s="11">
        <v>0.0</v>
      </c>
      <c r="F619" s="11" t="s">
        <v>1901</v>
      </c>
    </row>
    <row r="620">
      <c r="A620" s="11">
        <v>-29.5244102478027</v>
      </c>
      <c r="B620" s="11">
        <v>16.543472290039</v>
      </c>
      <c r="C620" s="11">
        <v>0.0</v>
      </c>
      <c r="D620" s="11" t="s">
        <v>1515</v>
      </c>
      <c r="E620" s="11">
        <v>0.0</v>
      </c>
      <c r="F620" s="11" t="s">
        <v>1903</v>
      </c>
    </row>
    <row r="621">
      <c r="A621" s="11">
        <v>-1.53262603282928</v>
      </c>
      <c r="B621" s="11">
        <v>-18.2477092742919</v>
      </c>
      <c r="C621" s="11">
        <v>0.0</v>
      </c>
      <c r="D621" s="11" t="s">
        <v>1515</v>
      </c>
      <c r="E621" s="11">
        <v>0.0</v>
      </c>
      <c r="F621" s="11" t="s">
        <v>1906</v>
      </c>
    </row>
    <row r="622">
      <c r="A622" s="11">
        <v>-31.9643497467041</v>
      </c>
      <c r="B622" s="11">
        <v>27.3935089111328</v>
      </c>
      <c r="C622" s="11">
        <v>-1.0</v>
      </c>
      <c r="D622" s="11" t="s">
        <v>1515</v>
      </c>
      <c r="E622" s="11">
        <v>-1.0</v>
      </c>
      <c r="F622" s="11" t="s">
        <v>1908</v>
      </c>
    </row>
    <row r="623">
      <c r="A623" s="11">
        <v>-13.3860349655151</v>
      </c>
      <c r="B623" s="11">
        <v>5.73350858688354</v>
      </c>
      <c r="C623" s="11">
        <v>0.0</v>
      </c>
      <c r="D623" s="11" t="s">
        <v>1515</v>
      </c>
      <c r="E623" s="11">
        <v>0.0</v>
      </c>
      <c r="F623" s="11" t="s">
        <v>1909</v>
      </c>
    </row>
    <row r="624">
      <c r="A624" s="11">
        <v>-29.5274600982666</v>
      </c>
      <c r="B624" s="11">
        <v>16.544132232666</v>
      </c>
      <c r="C624" s="11">
        <v>0.0</v>
      </c>
      <c r="D624" s="11" t="s">
        <v>1515</v>
      </c>
      <c r="E624" s="11">
        <v>0.0</v>
      </c>
      <c r="F624" s="11" t="s">
        <v>1912</v>
      </c>
    </row>
    <row r="625">
      <c r="A625" s="11">
        <v>-20.7262802124023</v>
      </c>
      <c r="B625" s="11">
        <v>-14.4959754943847</v>
      </c>
      <c r="C625" s="11">
        <v>0.0</v>
      </c>
      <c r="D625" s="11" t="s">
        <v>1515</v>
      </c>
      <c r="E625" s="11">
        <v>0.0</v>
      </c>
      <c r="F625" s="11" t="s">
        <v>1913</v>
      </c>
    </row>
    <row r="626">
      <c r="A626" s="11">
        <v>15.9831523895263</v>
      </c>
      <c r="B626" s="11">
        <v>-21.2014904022216</v>
      </c>
      <c r="C626" s="11">
        <v>0.0</v>
      </c>
      <c r="D626" s="11" t="s">
        <v>1515</v>
      </c>
      <c r="E626" s="11">
        <v>0.0</v>
      </c>
      <c r="F626" s="11" t="s">
        <v>1915</v>
      </c>
    </row>
    <row r="627">
      <c r="A627" s="11">
        <v>40.1156578063964</v>
      </c>
      <c r="B627" s="11">
        <v>-12.788851737976</v>
      </c>
      <c r="C627" s="11">
        <v>0.0</v>
      </c>
      <c r="D627" s="11" t="s">
        <v>1515</v>
      </c>
      <c r="E627" s="11">
        <v>0.0</v>
      </c>
      <c r="F627" s="11" t="s">
        <v>1917</v>
      </c>
    </row>
    <row r="628">
      <c r="A628" s="11">
        <v>-14.0979824066162</v>
      </c>
      <c r="B628" s="11">
        <v>7.70920181274414</v>
      </c>
      <c r="C628" s="11">
        <v>0.0</v>
      </c>
      <c r="D628" s="11" t="s">
        <v>1515</v>
      </c>
      <c r="E628" s="11">
        <v>0.0</v>
      </c>
      <c r="F628" s="11" t="s">
        <v>1919</v>
      </c>
    </row>
    <row r="629">
      <c r="A629" s="11">
        <v>-23.8286514282226</v>
      </c>
      <c r="B629" s="11">
        <v>1.22304916381835</v>
      </c>
      <c r="C629" s="11">
        <v>0.0</v>
      </c>
      <c r="D629" s="11" t="s">
        <v>1515</v>
      </c>
      <c r="E629" s="11">
        <v>0.0</v>
      </c>
      <c r="F629" s="11" t="s">
        <v>1921</v>
      </c>
    </row>
    <row r="630">
      <c r="A630" s="11">
        <v>8.47932338714599</v>
      </c>
      <c r="B630" s="11">
        <v>-18.3210296630859</v>
      </c>
      <c r="C630" s="11">
        <v>0.0</v>
      </c>
      <c r="D630" s="11" t="s">
        <v>1515</v>
      </c>
      <c r="E630" s="11">
        <v>0.0</v>
      </c>
      <c r="F630" s="11" t="s">
        <v>1923</v>
      </c>
    </row>
    <row r="631">
      <c r="A631" s="11">
        <v>42.8158950805664</v>
      </c>
      <c r="B631" s="11">
        <v>-4.46055889129638</v>
      </c>
      <c r="C631" s="11">
        <v>1.0</v>
      </c>
      <c r="D631" s="11" t="s">
        <v>1515</v>
      </c>
      <c r="E631" s="11">
        <v>1.0</v>
      </c>
      <c r="F631" s="11" t="s">
        <v>1926</v>
      </c>
    </row>
    <row r="632">
      <c r="A632" s="11">
        <v>11.7720527648925</v>
      </c>
      <c r="B632" s="11">
        <v>-29.9547004699707</v>
      </c>
      <c r="C632" s="11">
        <v>0.0</v>
      </c>
      <c r="D632" s="11" t="s">
        <v>1515</v>
      </c>
      <c r="E632" s="11">
        <v>0.0</v>
      </c>
      <c r="F632" s="11" t="s">
        <v>1928</v>
      </c>
    </row>
    <row r="633">
      <c r="A633" s="11">
        <v>-34.2847061157226</v>
      </c>
      <c r="B633" s="11">
        <v>-14.592209815979</v>
      </c>
      <c r="C633" s="11">
        <v>0.0</v>
      </c>
      <c r="D633" s="11" t="s">
        <v>1515</v>
      </c>
      <c r="E633" s="11">
        <v>0.0</v>
      </c>
      <c r="F633" s="11" t="s">
        <v>1930</v>
      </c>
    </row>
    <row r="634">
      <c r="A634" s="11">
        <v>-14.9890747070312</v>
      </c>
      <c r="B634" s="11">
        <v>-14.3223466873168</v>
      </c>
      <c r="C634" s="11">
        <v>0.0</v>
      </c>
      <c r="D634" s="11" t="s">
        <v>1515</v>
      </c>
      <c r="E634" s="11">
        <v>0.0</v>
      </c>
      <c r="F634" s="11" t="s">
        <v>1932</v>
      </c>
    </row>
    <row r="635">
      <c r="A635" s="11">
        <v>39.3779373168945</v>
      </c>
      <c r="B635" s="11">
        <v>-10.6935853958129</v>
      </c>
      <c r="C635" s="11">
        <v>0.0</v>
      </c>
      <c r="D635" s="11" t="s">
        <v>1515</v>
      </c>
      <c r="E635" s="11">
        <v>0.0</v>
      </c>
      <c r="F635" s="11" t="s">
        <v>1934</v>
      </c>
    </row>
    <row r="636">
      <c r="A636" s="11">
        <v>12.282151222229</v>
      </c>
      <c r="B636" s="11">
        <v>-14.0684690475463</v>
      </c>
      <c r="C636" s="11">
        <v>0.0</v>
      </c>
      <c r="D636" s="11" t="s">
        <v>1515</v>
      </c>
      <c r="E636" s="11">
        <v>0.0</v>
      </c>
      <c r="F636" s="11" t="s">
        <v>1937</v>
      </c>
    </row>
    <row r="637">
      <c r="A637" s="11">
        <v>39.9476470947265</v>
      </c>
      <c r="B637" s="11">
        <v>-5.0112018585205</v>
      </c>
      <c r="C637" s="11">
        <v>1.0</v>
      </c>
      <c r="D637" s="11" t="s">
        <v>1515</v>
      </c>
      <c r="E637" s="11">
        <v>1.0</v>
      </c>
      <c r="F637" s="11" t="s">
        <v>1939</v>
      </c>
    </row>
    <row r="638">
      <c r="A638" s="11">
        <v>17.2705383300781</v>
      </c>
      <c r="B638" s="11">
        <v>-21.4907989501953</v>
      </c>
      <c r="C638" s="11">
        <v>0.0</v>
      </c>
      <c r="D638" s="11" t="s">
        <v>1515</v>
      </c>
      <c r="E638" s="11">
        <v>0.0</v>
      </c>
      <c r="F638" s="11" t="s">
        <v>2489</v>
      </c>
    </row>
    <row r="639">
      <c r="A639" s="11">
        <v>-7.65400886535644</v>
      </c>
      <c r="B639" s="11">
        <v>-51.1897811889648</v>
      </c>
      <c r="C639" s="11">
        <v>0.0</v>
      </c>
      <c r="D639" s="11" t="s">
        <v>1515</v>
      </c>
      <c r="E639" s="11">
        <v>0.0</v>
      </c>
      <c r="F639" s="11" t="s">
        <v>1941</v>
      </c>
    </row>
    <row r="640">
      <c r="A640" s="11">
        <v>-21.2042179107666</v>
      </c>
      <c r="B640" s="11">
        <v>-9.35010814666748</v>
      </c>
      <c r="C640" s="11">
        <v>0.0</v>
      </c>
      <c r="D640" s="11" t="s">
        <v>1515</v>
      </c>
      <c r="E640" s="11">
        <v>0.0</v>
      </c>
      <c r="F640" s="11" t="s">
        <v>1943</v>
      </c>
    </row>
    <row r="641">
      <c r="A641" s="11">
        <v>34.0101089477539</v>
      </c>
      <c r="B641" s="11">
        <v>17.4702987670898</v>
      </c>
      <c r="C641" s="11">
        <v>2.0</v>
      </c>
      <c r="D641" s="11" t="s">
        <v>1515</v>
      </c>
      <c r="E641" s="11">
        <v>2.0</v>
      </c>
      <c r="F641" s="11" t="s">
        <v>1945</v>
      </c>
    </row>
    <row r="642">
      <c r="A642" s="11">
        <v>-34.8626747131347</v>
      </c>
      <c r="B642" s="11">
        <v>-14.0706663131713</v>
      </c>
      <c r="C642" s="11">
        <v>0.0</v>
      </c>
      <c r="D642" s="11" t="s">
        <v>1515</v>
      </c>
      <c r="E642" s="11">
        <v>0.0</v>
      </c>
      <c r="F642" s="11" t="s">
        <v>1947</v>
      </c>
    </row>
    <row r="643">
      <c r="A643" s="11">
        <v>-6.30563306808471</v>
      </c>
      <c r="B643" s="11">
        <v>-49.6954269409179</v>
      </c>
      <c r="C643" s="11">
        <v>0.0</v>
      </c>
      <c r="D643" s="11" t="s">
        <v>1515</v>
      </c>
      <c r="E643" s="11">
        <v>0.0</v>
      </c>
      <c r="F643" s="11" t="s">
        <v>1950</v>
      </c>
    </row>
    <row r="644">
      <c r="A644" s="11">
        <v>-9.52026462554931</v>
      </c>
      <c r="B644" s="11">
        <v>-13.9366836547851</v>
      </c>
      <c r="C644" s="11">
        <v>0.0</v>
      </c>
      <c r="D644" s="11" t="s">
        <v>1515</v>
      </c>
      <c r="E644" s="11">
        <v>0.0</v>
      </c>
      <c r="F644" s="11" t="s">
        <v>1952</v>
      </c>
    </row>
    <row r="645">
      <c r="A645" s="11">
        <v>15.672550201416</v>
      </c>
      <c r="B645" s="11">
        <v>-17.9192562103271</v>
      </c>
      <c r="C645" s="11">
        <v>0.0</v>
      </c>
      <c r="D645" s="11" t="s">
        <v>1515</v>
      </c>
      <c r="E645" s="11">
        <v>0.0</v>
      </c>
      <c r="F645" s="11" t="s">
        <v>1954</v>
      </c>
    </row>
    <row r="646">
      <c r="A646" s="11">
        <v>19.4687137603759</v>
      </c>
      <c r="B646" s="11">
        <v>-21.8793659210205</v>
      </c>
      <c r="C646" s="11">
        <v>0.0</v>
      </c>
      <c r="D646" s="11" t="s">
        <v>1515</v>
      </c>
      <c r="E646" s="11">
        <v>0.0</v>
      </c>
      <c r="F646" s="11" t="s">
        <v>1956</v>
      </c>
    </row>
    <row r="647">
      <c r="A647" s="11">
        <v>38.2952079772949</v>
      </c>
      <c r="B647" s="11">
        <v>-12.6940441131591</v>
      </c>
      <c r="C647" s="11">
        <v>0.0</v>
      </c>
      <c r="D647" s="11" t="s">
        <v>1515</v>
      </c>
      <c r="E647" s="11">
        <v>0.0</v>
      </c>
      <c r="F647" s="11" t="s">
        <v>1958</v>
      </c>
    </row>
    <row r="648">
      <c r="A648" s="11">
        <v>-18.3037204742431</v>
      </c>
      <c r="B648" s="11">
        <v>12.179931640625</v>
      </c>
      <c r="C648" s="11">
        <v>0.0</v>
      </c>
      <c r="D648" s="11" t="s">
        <v>1515</v>
      </c>
      <c r="E648" s="11">
        <v>0.0</v>
      </c>
      <c r="F648" s="11" t="s">
        <v>2490</v>
      </c>
    </row>
    <row r="649">
      <c r="A649" s="11">
        <v>5.37529563903808</v>
      </c>
      <c r="B649" s="11">
        <v>-16.4219532012939</v>
      </c>
      <c r="C649" s="11">
        <v>0.0</v>
      </c>
      <c r="D649" s="11" t="s">
        <v>1515</v>
      </c>
      <c r="E649" s="11">
        <v>0.0</v>
      </c>
      <c r="F649" s="11" t="s">
        <v>1960</v>
      </c>
    </row>
    <row r="650">
      <c r="A650" s="11">
        <v>13.8403759002685</v>
      </c>
      <c r="B650" s="11">
        <v>-14.4187622070312</v>
      </c>
      <c r="C650" s="11">
        <v>0.0</v>
      </c>
      <c r="D650" s="11" t="s">
        <v>1515</v>
      </c>
      <c r="E650" s="11">
        <v>0.0</v>
      </c>
      <c r="F650" s="11" t="s">
        <v>1962</v>
      </c>
    </row>
    <row r="651">
      <c r="A651" s="11">
        <v>-17.9366111755371</v>
      </c>
      <c r="B651" s="11">
        <v>-11.1724004745483</v>
      </c>
      <c r="C651" s="11">
        <v>0.0</v>
      </c>
      <c r="D651" s="11" t="s">
        <v>1515</v>
      </c>
      <c r="E651" s="11">
        <v>0.0</v>
      </c>
      <c r="F651" s="11" t="s">
        <v>1965</v>
      </c>
    </row>
    <row r="652">
      <c r="A652" s="11">
        <v>-5.21796369552612</v>
      </c>
      <c r="B652" s="11">
        <v>-13.6630201339721</v>
      </c>
      <c r="C652" s="11">
        <v>0.0</v>
      </c>
      <c r="D652" s="11" t="s">
        <v>1515</v>
      </c>
      <c r="E652" s="11">
        <v>0.0</v>
      </c>
      <c r="F652" s="11" t="s">
        <v>1967</v>
      </c>
    </row>
    <row r="653">
      <c r="A653" s="11">
        <v>35.2356567382812</v>
      </c>
      <c r="B653" s="11">
        <v>19.7909889221191</v>
      </c>
      <c r="C653" s="11">
        <v>2.0</v>
      </c>
      <c r="D653" s="11" t="s">
        <v>1515</v>
      </c>
      <c r="E653" s="11">
        <v>2.0</v>
      </c>
      <c r="F653" s="11" t="s">
        <v>1969</v>
      </c>
    </row>
    <row r="654">
      <c r="A654" s="11">
        <v>-10.2093620300292</v>
      </c>
      <c r="B654" s="11">
        <v>-17.1086750030517</v>
      </c>
      <c r="C654" s="11">
        <v>0.0</v>
      </c>
      <c r="D654" s="11" t="s">
        <v>1515</v>
      </c>
      <c r="E654" s="11">
        <v>0.0</v>
      </c>
      <c r="F654" s="11" t="s">
        <v>1973</v>
      </c>
    </row>
    <row r="655">
      <c r="A655" s="11">
        <v>-9.52037620544433</v>
      </c>
      <c r="B655" s="11">
        <v>-13.9366598129272</v>
      </c>
      <c r="C655" s="11">
        <v>0.0</v>
      </c>
      <c r="D655" s="11" t="s">
        <v>1515</v>
      </c>
      <c r="E655" s="11">
        <v>0.0</v>
      </c>
      <c r="F655" s="11" t="s">
        <v>1975</v>
      </c>
    </row>
    <row r="656">
      <c r="A656" s="11">
        <v>-4.51250791549682</v>
      </c>
      <c r="B656" s="11">
        <v>-9.98987388610839</v>
      </c>
      <c r="C656" s="11">
        <v>0.0</v>
      </c>
      <c r="D656" s="11" t="s">
        <v>1515</v>
      </c>
      <c r="E656" s="11">
        <v>0.0</v>
      </c>
      <c r="F656" s="11" t="s">
        <v>1977</v>
      </c>
    </row>
    <row r="657">
      <c r="A657" s="11">
        <v>8.47946071624755</v>
      </c>
      <c r="B657" s="11">
        <v>-18.3208389282226</v>
      </c>
      <c r="C657" s="11">
        <v>0.0</v>
      </c>
      <c r="D657" s="11" t="s">
        <v>1515</v>
      </c>
      <c r="E657" s="11">
        <v>0.0</v>
      </c>
      <c r="F657" s="11" t="s">
        <v>1980</v>
      </c>
    </row>
    <row r="658">
      <c r="A658" s="11">
        <v>2.20184659957885</v>
      </c>
      <c r="B658" s="11">
        <v>0.472646296024322</v>
      </c>
      <c r="C658" s="11">
        <v>0.0</v>
      </c>
      <c r="D658" s="11" t="s">
        <v>1515</v>
      </c>
      <c r="E658" s="11">
        <v>0.0</v>
      </c>
      <c r="F658" s="11" t="s">
        <v>1982</v>
      </c>
    </row>
    <row r="659">
      <c r="A659" s="11">
        <v>-17.8299446105957</v>
      </c>
      <c r="B659" s="11">
        <v>-11.5197820663452</v>
      </c>
      <c r="C659" s="11">
        <v>0.0</v>
      </c>
      <c r="D659" s="11" t="s">
        <v>1515</v>
      </c>
      <c r="E659" s="11">
        <v>0.0</v>
      </c>
      <c r="F659" s="11" t="s">
        <v>1985</v>
      </c>
    </row>
    <row r="660">
      <c r="A660" s="11">
        <v>18.0384674072265</v>
      </c>
      <c r="B660" s="11">
        <v>-22.2771816253662</v>
      </c>
      <c r="C660" s="11">
        <v>0.0</v>
      </c>
      <c r="D660" s="11" t="s">
        <v>1515</v>
      </c>
      <c r="E660" s="11">
        <v>0.0</v>
      </c>
      <c r="F660" s="11" t="s">
        <v>1987</v>
      </c>
    </row>
    <row r="661">
      <c r="A661" s="11">
        <v>18.5179100036621</v>
      </c>
      <c r="B661" s="11">
        <v>-18.7749137878417</v>
      </c>
      <c r="C661" s="11">
        <v>0.0</v>
      </c>
      <c r="D661" s="11" t="s">
        <v>1515</v>
      </c>
      <c r="E661" s="11">
        <v>0.0</v>
      </c>
      <c r="F661" s="11" t="s">
        <v>1990</v>
      </c>
    </row>
    <row r="662">
      <c r="A662" s="11">
        <v>-8.30073928833007</v>
      </c>
      <c r="B662" s="11">
        <v>-48.1007766723632</v>
      </c>
      <c r="C662" s="11">
        <v>0.0</v>
      </c>
      <c r="D662" s="11" t="s">
        <v>1515</v>
      </c>
      <c r="E662" s="11">
        <v>0.0</v>
      </c>
      <c r="F662" s="11" t="s">
        <v>1992</v>
      </c>
    </row>
    <row r="663">
      <c r="A663" s="11">
        <v>40.1156578063964</v>
      </c>
      <c r="B663" s="11">
        <v>-12.788851737976</v>
      </c>
      <c r="C663" s="11">
        <v>0.0</v>
      </c>
      <c r="D663" s="11" t="s">
        <v>1515</v>
      </c>
      <c r="E663" s="11">
        <v>0.0</v>
      </c>
      <c r="F663" s="11" t="s">
        <v>1994</v>
      </c>
    </row>
    <row r="664">
      <c r="A664" s="11">
        <v>32.9276428222656</v>
      </c>
      <c r="B664" s="11">
        <v>-18.330373764038</v>
      </c>
      <c r="C664" s="11">
        <v>0.0</v>
      </c>
      <c r="D664" s="11" t="s">
        <v>1515</v>
      </c>
      <c r="E664" s="11">
        <v>0.0</v>
      </c>
      <c r="F664" s="11" t="s">
        <v>1996</v>
      </c>
    </row>
    <row r="665">
      <c r="A665" s="11">
        <v>31.1293220520019</v>
      </c>
      <c r="B665" s="11">
        <v>27.1926956176757</v>
      </c>
      <c r="C665" s="11">
        <v>2.0</v>
      </c>
      <c r="D665" s="11" t="s">
        <v>1515</v>
      </c>
      <c r="E665" s="11">
        <v>2.0</v>
      </c>
      <c r="F665" s="11" t="s">
        <v>2491</v>
      </c>
    </row>
    <row r="666">
      <c r="A666" s="11">
        <v>1.65452432632446</v>
      </c>
      <c r="B666" s="11">
        <v>-15.7747011184692</v>
      </c>
      <c r="C666" s="11">
        <v>0.0</v>
      </c>
      <c r="D666" s="11" t="s">
        <v>1515</v>
      </c>
      <c r="E666" s="11">
        <v>0.0</v>
      </c>
      <c r="F666" s="11" t="s">
        <v>1998</v>
      </c>
    </row>
    <row r="667">
      <c r="A667" s="11">
        <v>38.779857635498</v>
      </c>
      <c r="B667" s="11">
        <v>-12.2205648422241</v>
      </c>
      <c r="C667" s="11">
        <v>0.0</v>
      </c>
      <c r="D667" s="11" t="s">
        <v>1515</v>
      </c>
      <c r="E667" s="11">
        <v>0.0</v>
      </c>
      <c r="F667" s="11" t="s">
        <v>2000</v>
      </c>
    </row>
    <row r="668">
      <c r="A668" s="11">
        <v>36.9539909362793</v>
      </c>
      <c r="B668" s="11">
        <v>14.3473300933837</v>
      </c>
      <c r="C668" s="11">
        <v>2.0</v>
      </c>
      <c r="D668" s="11" t="s">
        <v>1515</v>
      </c>
      <c r="E668" s="11">
        <v>2.0</v>
      </c>
      <c r="F668" s="11" t="s">
        <v>2002</v>
      </c>
    </row>
    <row r="669">
      <c r="A669" s="11">
        <v>-26.5133762359619</v>
      </c>
      <c r="B669" s="11">
        <v>17.3238220214843</v>
      </c>
      <c r="C669" s="11">
        <v>0.0</v>
      </c>
      <c r="D669" s="11" t="s">
        <v>1515</v>
      </c>
      <c r="E669" s="11">
        <v>0.0</v>
      </c>
      <c r="F669" s="11" t="s">
        <v>2004</v>
      </c>
    </row>
    <row r="670">
      <c r="A670" s="11">
        <v>35.8799133300781</v>
      </c>
      <c r="B670" s="11">
        <v>20.920503616333</v>
      </c>
      <c r="C670" s="11">
        <v>2.0</v>
      </c>
      <c r="D670" s="11" t="s">
        <v>1515</v>
      </c>
      <c r="E670" s="11">
        <v>2.0</v>
      </c>
      <c r="F670" s="11" t="s">
        <v>2006</v>
      </c>
    </row>
    <row r="671">
      <c r="A671" s="11">
        <v>27.8593635559082</v>
      </c>
      <c r="B671" s="11">
        <v>33.2595138549804</v>
      </c>
      <c r="C671" s="11">
        <v>2.0</v>
      </c>
      <c r="D671" s="11" t="s">
        <v>1515</v>
      </c>
      <c r="E671" s="11">
        <v>2.0</v>
      </c>
      <c r="F671" s="11" t="s">
        <v>2492</v>
      </c>
    </row>
    <row r="672">
      <c r="A672" s="11">
        <v>35.4669113159179</v>
      </c>
      <c r="B672" s="11">
        <v>20.2517051696777</v>
      </c>
      <c r="C672" s="11">
        <v>2.0</v>
      </c>
      <c r="D672" s="11" t="s">
        <v>1515</v>
      </c>
      <c r="E672" s="11">
        <v>2.0</v>
      </c>
      <c r="F672" s="11" t="s">
        <v>2008</v>
      </c>
    </row>
    <row r="673">
      <c r="A673" s="11">
        <v>34.3910331726074</v>
      </c>
      <c r="B673" s="11">
        <v>20.8474521636962</v>
      </c>
      <c r="C673" s="11">
        <v>2.0</v>
      </c>
      <c r="D673" s="11" t="s">
        <v>1515</v>
      </c>
      <c r="E673" s="11">
        <v>2.0</v>
      </c>
      <c r="F673" s="11" t="s">
        <v>2010</v>
      </c>
    </row>
    <row r="674">
      <c r="A674" s="11">
        <v>28.6765346527099</v>
      </c>
      <c r="B674" s="11">
        <v>-16.8219299316406</v>
      </c>
      <c r="C674" s="11">
        <v>0.0</v>
      </c>
      <c r="D674" s="11" t="s">
        <v>1515</v>
      </c>
      <c r="E674" s="11">
        <v>0.0</v>
      </c>
      <c r="F674" s="11" t="s">
        <v>2013</v>
      </c>
    </row>
    <row r="675">
      <c r="A675" s="11">
        <v>-7.79624366760253</v>
      </c>
      <c r="B675" s="11">
        <v>-52.1577491760253</v>
      </c>
      <c r="C675" s="11">
        <v>0.0</v>
      </c>
      <c r="D675" s="11" t="s">
        <v>1515</v>
      </c>
      <c r="E675" s="11">
        <v>0.0</v>
      </c>
      <c r="F675" s="11" t="s">
        <v>2015</v>
      </c>
    </row>
    <row r="676">
      <c r="A676" s="11">
        <v>42.7825584411621</v>
      </c>
      <c r="B676" s="11">
        <v>-4.59750795364379</v>
      </c>
      <c r="C676" s="11">
        <v>1.0</v>
      </c>
      <c r="D676" s="11" t="s">
        <v>1515</v>
      </c>
      <c r="E676" s="11">
        <v>1.0</v>
      </c>
      <c r="F676" s="11" t="s">
        <v>2017</v>
      </c>
    </row>
    <row r="677">
      <c r="A677" s="11">
        <v>29.5305366516113</v>
      </c>
      <c r="B677" s="11">
        <v>-26.1711330413818</v>
      </c>
      <c r="C677" s="11">
        <v>0.0</v>
      </c>
      <c r="D677" s="11" t="s">
        <v>1515</v>
      </c>
      <c r="E677" s="11">
        <v>0.0</v>
      </c>
      <c r="F677" s="11" t="s">
        <v>2019</v>
      </c>
    </row>
    <row r="678">
      <c r="A678" s="11">
        <v>16.2212409973144</v>
      </c>
      <c r="B678" s="11">
        <v>-22.0565433502197</v>
      </c>
      <c r="C678" s="11">
        <v>0.0</v>
      </c>
      <c r="D678" s="11" t="s">
        <v>1515</v>
      </c>
      <c r="E678" s="11">
        <v>0.0</v>
      </c>
      <c r="F678" s="11" t="s">
        <v>2021</v>
      </c>
    </row>
    <row r="679">
      <c r="A679" s="11">
        <v>29.5317039489746</v>
      </c>
      <c r="B679" s="11">
        <v>-26.1710739135742</v>
      </c>
      <c r="C679" s="11">
        <v>0.0</v>
      </c>
      <c r="D679" s="11" t="s">
        <v>1515</v>
      </c>
      <c r="E679" s="11">
        <v>0.0</v>
      </c>
      <c r="F679" s="11" t="s">
        <v>2023</v>
      </c>
    </row>
    <row r="680">
      <c r="A680" s="11">
        <v>28.6765346527099</v>
      </c>
      <c r="B680" s="11">
        <v>-16.8219299316406</v>
      </c>
      <c r="C680" s="11">
        <v>0.0</v>
      </c>
      <c r="D680" s="11" t="s">
        <v>1515</v>
      </c>
      <c r="E680" s="11">
        <v>0.0</v>
      </c>
      <c r="F680" s="11" t="s">
        <v>2025</v>
      </c>
    </row>
    <row r="681">
      <c r="A681" s="11">
        <v>-12.1310319900512</v>
      </c>
      <c r="B681" s="11">
        <v>-10.1420383453369</v>
      </c>
      <c r="C681" s="11">
        <v>0.0</v>
      </c>
      <c r="D681" s="11" t="s">
        <v>1515</v>
      </c>
      <c r="E681" s="11">
        <v>0.0</v>
      </c>
      <c r="F681" s="11" t="s">
        <v>2027</v>
      </c>
    </row>
    <row r="682">
      <c r="A682" s="11">
        <v>24.451072692871</v>
      </c>
      <c r="B682" s="11">
        <v>-1.30610382556915</v>
      </c>
      <c r="C682" s="11">
        <v>1.0</v>
      </c>
      <c r="D682" s="11" t="s">
        <v>1515</v>
      </c>
      <c r="E682" s="11">
        <v>1.0</v>
      </c>
      <c r="F682" s="11" t="s">
        <v>2029</v>
      </c>
    </row>
    <row r="683">
      <c r="A683" s="11">
        <v>42.6272468566894</v>
      </c>
      <c r="B683" s="11">
        <v>-11.0039558410644</v>
      </c>
      <c r="C683" s="11">
        <v>0.0</v>
      </c>
      <c r="D683" s="11" t="s">
        <v>1515</v>
      </c>
      <c r="E683" s="11">
        <v>0.0</v>
      </c>
      <c r="F683" s="11" t="s">
        <v>2032</v>
      </c>
    </row>
    <row r="684">
      <c r="A684" s="11">
        <v>-6.25176239013671</v>
      </c>
      <c r="B684" s="11">
        <v>-13.8686447143554</v>
      </c>
      <c r="C684" s="11">
        <v>0.0</v>
      </c>
      <c r="D684" s="11" t="s">
        <v>1515</v>
      </c>
      <c r="E684" s="11">
        <v>0.0</v>
      </c>
      <c r="F684" s="11" t="s">
        <v>2033</v>
      </c>
    </row>
    <row r="685">
      <c r="A685" s="11">
        <v>44.1468238830566</v>
      </c>
      <c r="B685" s="11">
        <v>-4.94119882583618</v>
      </c>
      <c r="C685" s="11">
        <v>1.0</v>
      </c>
      <c r="D685" s="11" t="s">
        <v>1515</v>
      </c>
      <c r="E685" s="11">
        <v>1.0</v>
      </c>
      <c r="F685" s="11" t="s">
        <v>2036</v>
      </c>
    </row>
    <row r="686">
      <c r="A686" s="11">
        <v>40.9489822387695</v>
      </c>
      <c r="B686" s="11">
        <v>-10.2827711105346</v>
      </c>
      <c r="C686" s="11">
        <v>0.0</v>
      </c>
      <c r="D686" s="11" t="s">
        <v>1515</v>
      </c>
      <c r="E686" s="11">
        <v>0.0</v>
      </c>
      <c r="F686" s="11" t="s">
        <v>2038</v>
      </c>
    </row>
    <row r="687">
      <c r="A687" s="11">
        <v>16.0973205566406</v>
      </c>
      <c r="B687" s="11">
        <v>-26.0240821838378</v>
      </c>
      <c r="C687" s="11">
        <v>0.0</v>
      </c>
      <c r="D687" s="11" t="s">
        <v>1515</v>
      </c>
      <c r="E687" s="11">
        <v>0.0</v>
      </c>
      <c r="F687" s="11" t="s">
        <v>2041</v>
      </c>
    </row>
    <row r="688">
      <c r="A688" s="11">
        <v>-33.2698936462402</v>
      </c>
      <c r="B688" s="11">
        <v>29.3441944122314</v>
      </c>
      <c r="C688" s="11">
        <v>-1.0</v>
      </c>
      <c r="D688" s="11" t="s">
        <v>1515</v>
      </c>
      <c r="E688" s="11">
        <v>-1.0</v>
      </c>
      <c r="F688" s="11" t="s">
        <v>2043</v>
      </c>
    </row>
    <row r="689">
      <c r="A689" s="11">
        <v>39.9059829711914</v>
      </c>
      <c r="B689" s="11">
        <v>-13.6930885314941</v>
      </c>
      <c r="C689" s="11">
        <v>0.0</v>
      </c>
      <c r="D689" s="11" t="s">
        <v>1515</v>
      </c>
      <c r="E689" s="11">
        <v>0.0</v>
      </c>
      <c r="F689" s="11" t="s">
        <v>2045</v>
      </c>
    </row>
    <row r="690">
      <c r="A690" s="11">
        <v>-15.061671257019</v>
      </c>
      <c r="B690" s="11">
        <v>14.6101570129394</v>
      </c>
      <c r="C690" s="11">
        <v>0.0</v>
      </c>
      <c r="D690" s="11" t="s">
        <v>1515</v>
      </c>
      <c r="E690" s="11">
        <v>0.0</v>
      </c>
      <c r="F690" s="11" t="s">
        <v>2493</v>
      </c>
    </row>
    <row r="691">
      <c r="A691" s="11">
        <v>26.1678581237792</v>
      </c>
      <c r="B691" s="11">
        <v>36.7607345581054</v>
      </c>
      <c r="C691" s="11">
        <v>2.0</v>
      </c>
      <c r="D691" s="11" t="s">
        <v>1515</v>
      </c>
      <c r="E691" s="11">
        <v>2.0</v>
      </c>
      <c r="F691" s="11" t="s">
        <v>2494</v>
      </c>
    </row>
    <row r="692">
      <c r="A692" s="11">
        <v>-35.5927124023437</v>
      </c>
      <c r="B692" s="11">
        <v>-14.0188827514648</v>
      </c>
      <c r="C692" s="11">
        <v>0.0</v>
      </c>
      <c r="D692" s="11" t="s">
        <v>1515</v>
      </c>
      <c r="E692" s="11">
        <v>0.0</v>
      </c>
      <c r="F692" s="11" t="s">
        <v>2048</v>
      </c>
    </row>
    <row r="693">
      <c r="A693" s="11">
        <v>-5.62918710708618</v>
      </c>
      <c r="B693" s="11">
        <v>-6.56977605819702</v>
      </c>
      <c r="C693" s="11">
        <v>0.0</v>
      </c>
      <c r="D693" s="11" t="s">
        <v>1515</v>
      </c>
      <c r="E693" s="11">
        <v>0.0</v>
      </c>
      <c r="F693" s="11" t="s">
        <v>2050</v>
      </c>
    </row>
    <row r="694">
      <c r="A694" s="11">
        <v>21.7728118896484</v>
      </c>
      <c r="B694" s="11">
        <v>-22.6496334075927</v>
      </c>
      <c r="C694" s="11">
        <v>0.0</v>
      </c>
      <c r="D694" s="11" t="s">
        <v>1515</v>
      </c>
      <c r="E694" s="11">
        <v>0.0</v>
      </c>
      <c r="F694" s="11" t="s">
        <v>2052</v>
      </c>
    </row>
    <row r="695">
      <c r="A695" s="11">
        <v>16.1056537628173</v>
      </c>
      <c r="B695" s="11">
        <v>-26.0336170196533</v>
      </c>
      <c r="C695" s="11">
        <v>0.0</v>
      </c>
      <c r="D695" s="11" t="s">
        <v>1515</v>
      </c>
      <c r="E695" s="11">
        <v>0.0</v>
      </c>
      <c r="F695" s="11" t="s">
        <v>2055</v>
      </c>
    </row>
    <row r="696">
      <c r="A696" s="11">
        <v>-8.72808933258056</v>
      </c>
      <c r="B696" s="11">
        <v>-51.0786361694335</v>
      </c>
      <c r="C696" s="11">
        <v>-1.0</v>
      </c>
      <c r="D696" s="11" t="s">
        <v>1515</v>
      </c>
      <c r="E696" s="11">
        <v>-1.0</v>
      </c>
      <c r="F696" s="11" t="s">
        <v>2057</v>
      </c>
    </row>
    <row r="697">
      <c r="A697" s="11">
        <v>-31.9218521118164</v>
      </c>
      <c r="B697" s="11">
        <v>27.2998485565185</v>
      </c>
      <c r="C697" s="11">
        <v>-1.0</v>
      </c>
      <c r="D697" s="11" t="s">
        <v>1515</v>
      </c>
      <c r="E697" s="11">
        <v>-1.0</v>
      </c>
      <c r="F697" s="11" t="s">
        <v>2059</v>
      </c>
    </row>
    <row r="698">
      <c r="A698" s="11">
        <v>-0.990767061710357</v>
      </c>
      <c r="B698" s="11">
        <v>-16.8683624267578</v>
      </c>
      <c r="C698" s="11">
        <v>0.0</v>
      </c>
      <c r="D698" s="11" t="s">
        <v>1515</v>
      </c>
      <c r="E698" s="11">
        <v>0.0</v>
      </c>
      <c r="F698" s="11" t="s">
        <v>2060</v>
      </c>
    </row>
    <row r="699">
      <c r="A699" s="11">
        <v>-29.7230396270751</v>
      </c>
      <c r="B699" s="11">
        <v>3.10485672950744</v>
      </c>
      <c r="C699" s="11">
        <v>0.0</v>
      </c>
      <c r="D699" s="11" t="s">
        <v>1515</v>
      </c>
      <c r="E699" s="11">
        <v>0.0</v>
      </c>
      <c r="F699" s="11" t="s">
        <v>2062</v>
      </c>
    </row>
    <row r="700">
      <c r="A700" s="11">
        <v>-29.8945064544677</v>
      </c>
      <c r="B700" s="11">
        <v>15.0616722106933</v>
      </c>
      <c r="C700" s="11">
        <v>0.0</v>
      </c>
      <c r="D700" s="11" t="s">
        <v>1515</v>
      </c>
      <c r="E700" s="11">
        <v>0.0</v>
      </c>
      <c r="F700" s="11" t="s">
        <v>2064</v>
      </c>
    </row>
    <row r="701">
      <c r="A701" s="11">
        <v>-23.8031196594238</v>
      </c>
      <c r="B701" s="11">
        <v>0.926806271076202</v>
      </c>
      <c r="C701" s="11">
        <v>0.0</v>
      </c>
      <c r="D701" s="11" t="s">
        <v>1515</v>
      </c>
      <c r="E701" s="11">
        <v>0.0</v>
      </c>
      <c r="F701" s="11" t="s">
        <v>2066</v>
      </c>
    </row>
    <row r="702">
      <c r="A702" s="11">
        <v>-31.1806850433349</v>
      </c>
      <c r="B702" s="11">
        <v>19.6187343597412</v>
      </c>
      <c r="C702" s="11">
        <v>-1.0</v>
      </c>
      <c r="D702" s="11" t="s">
        <v>1515</v>
      </c>
      <c r="E702" s="11">
        <v>-1.0</v>
      </c>
      <c r="F702" s="11" t="s">
        <v>2069</v>
      </c>
    </row>
    <row r="703">
      <c r="A703" s="11">
        <v>-32.8715705871582</v>
      </c>
      <c r="B703" s="11">
        <v>19.7849445343017</v>
      </c>
      <c r="C703" s="11">
        <v>0.0</v>
      </c>
      <c r="D703" s="11" t="s">
        <v>1515</v>
      </c>
      <c r="E703" s="11">
        <v>0.0</v>
      </c>
      <c r="F703" s="11" t="s">
        <v>2071</v>
      </c>
    </row>
    <row r="704">
      <c r="A704" s="11">
        <v>-9.13075542449951</v>
      </c>
      <c r="B704" s="11">
        <v>-49.9764823913574</v>
      </c>
      <c r="C704" s="11">
        <v>0.0</v>
      </c>
      <c r="D704" s="11" t="s">
        <v>1515</v>
      </c>
      <c r="E704" s="11">
        <v>0.0</v>
      </c>
      <c r="F704" s="11" t="s">
        <v>2073</v>
      </c>
    </row>
    <row r="705">
      <c r="A705" s="11">
        <v>-37.872272491455</v>
      </c>
      <c r="B705" s="11">
        <v>37.5611457824707</v>
      </c>
      <c r="C705" s="11">
        <v>-2.0</v>
      </c>
      <c r="D705" s="11" t="s">
        <v>1515</v>
      </c>
      <c r="E705" s="11">
        <v>-2.0</v>
      </c>
      <c r="F705" s="11" t="s">
        <v>2076</v>
      </c>
    </row>
    <row r="706">
      <c r="A706" s="11">
        <v>21.8260097503662</v>
      </c>
      <c r="B706" s="11">
        <v>-7.08052110671997</v>
      </c>
      <c r="C706" s="11">
        <v>0.0</v>
      </c>
      <c r="D706" s="11" t="s">
        <v>1515</v>
      </c>
      <c r="E706" s="11">
        <v>0.0</v>
      </c>
      <c r="F706" s="11" t="s">
        <v>2078</v>
      </c>
    </row>
    <row r="707">
      <c r="A707" s="11">
        <v>21.8275337219238</v>
      </c>
      <c r="B707" s="11">
        <v>-19.7970790863037</v>
      </c>
      <c r="C707" s="11">
        <v>0.0</v>
      </c>
      <c r="D707" s="11" t="s">
        <v>1515</v>
      </c>
      <c r="E707" s="11">
        <v>0.0</v>
      </c>
      <c r="F707" s="11" t="s">
        <v>2081</v>
      </c>
    </row>
    <row r="708">
      <c r="A708" s="11">
        <v>2.20182275772094</v>
      </c>
      <c r="B708" s="11">
        <v>0.471743106842041</v>
      </c>
      <c r="C708" s="11">
        <v>0.0</v>
      </c>
      <c r="D708" s="11" t="s">
        <v>1515</v>
      </c>
      <c r="E708" s="11">
        <v>0.0</v>
      </c>
      <c r="F708" s="11" t="s">
        <v>2083</v>
      </c>
    </row>
    <row r="709">
      <c r="A709" s="11">
        <v>4.40426445007324</v>
      </c>
      <c r="B709" s="11">
        <v>-24.8966522216796</v>
      </c>
      <c r="C709" s="11">
        <v>0.0</v>
      </c>
      <c r="D709" s="11" t="s">
        <v>1515</v>
      </c>
      <c r="E709" s="11">
        <v>0.0</v>
      </c>
      <c r="F709" s="11" t="s">
        <v>2085</v>
      </c>
    </row>
    <row r="710">
      <c r="A710" s="11">
        <v>20.2827911376953</v>
      </c>
      <c r="B710" s="11">
        <v>-20.7244472503662</v>
      </c>
      <c r="C710" s="11">
        <v>0.0</v>
      </c>
      <c r="D710" s="11" t="s">
        <v>1515</v>
      </c>
      <c r="E710" s="11">
        <v>0.0</v>
      </c>
      <c r="F710" s="11" t="s">
        <v>2088</v>
      </c>
    </row>
    <row r="711">
      <c r="A711" s="11">
        <v>-30.2400016784667</v>
      </c>
      <c r="B711" s="11">
        <v>19.4189872741699</v>
      </c>
      <c r="C711" s="11">
        <v>0.0</v>
      </c>
      <c r="D711" s="11" t="s">
        <v>1515</v>
      </c>
      <c r="E711" s="11">
        <v>0.0</v>
      </c>
      <c r="F711" s="11" t="s">
        <v>2090</v>
      </c>
    </row>
    <row r="712">
      <c r="A712" s="11">
        <v>19.3755378723144</v>
      </c>
      <c r="B712" s="11">
        <v>-20.1619319915771</v>
      </c>
      <c r="C712" s="11">
        <v>0.0</v>
      </c>
      <c r="D712" s="11" t="s">
        <v>1515</v>
      </c>
      <c r="E712" s="11">
        <v>0.0</v>
      </c>
      <c r="F712" s="11" t="s">
        <v>2093</v>
      </c>
    </row>
    <row r="713">
      <c r="A713" s="11">
        <v>-26.7214241027832</v>
      </c>
      <c r="B713" s="11">
        <v>-5.25985288619995</v>
      </c>
      <c r="C713" s="11">
        <v>0.0</v>
      </c>
      <c r="D713" s="11" t="s">
        <v>1515</v>
      </c>
      <c r="E713" s="11">
        <v>0.0</v>
      </c>
      <c r="F713" s="11" t="s">
        <v>2095</v>
      </c>
    </row>
    <row r="714">
      <c r="A714" s="11">
        <v>34.5570106506347</v>
      </c>
      <c r="B714" s="11">
        <v>19.6041412353515</v>
      </c>
      <c r="C714" s="11">
        <v>2.0</v>
      </c>
      <c r="D714" s="11" t="s">
        <v>1515</v>
      </c>
      <c r="E714" s="11">
        <v>2.0</v>
      </c>
      <c r="F714" s="11" t="s">
        <v>2096</v>
      </c>
    </row>
    <row r="715">
      <c r="A715" s="11">
        <v>44.1470336914062</v>
      </c>
      <c r="B715" s="11">
        <v>-4.94114017486572</v>
      </c>
      <c r="C715" s="11">
        <v>1.0</v>
      </c>
      <c r="D715" s="11" t="s">
        <v>1515</v>
      </c>
      <c r="E715" s="11">
        <v>1.0</v>
      </c>
      <c r="F715" s="11" t="s">
        <v>2098</v>
      </c>
    </row>
    <row r="716">
      <c r="A716" s="11">
        <v>-22.0853195190429</v>
      </c>
      <c r="B716" s="11">
        <v>-13.5391607284545</v>
      </c>
      <c r="C716" s="11">
        <v>0.0</v>
      </c>
      <c r="D716" s="11" t="s">
        <v>1515</v>
      </c>
      <c r="E716" s="11">
        <v>0.0</v>
      </c>
      <c r="F716" s="11" t="s">
        <v>2100</v>
      </c>
    </row>
    <row r="717">
      <c r="A717" s="11">
        <v>-29.2513351440429</v>
      </c>
      <c r="B717" s="11">
        <v>20.9365901947021</v>
      </c>
      <c r="C717" s="11">
        <v>0.0</v>
      </c>
      <c r="D717" s="11" t="s">
        <v>1515</v>
      </c>
      <c r="E717" s="11">
        <v>0.0</v>
      </c>
      <c r="F717" s="11" t="s">
        <v>2102</v>
      </c>
    </row>
    <row r="718">
      <c r="A718" s="11">
        <v>-6.69522905349731</v>
      </c>
      <c r="B718" s="11">
        <v>-52.0478935241699</v>
      </c>
      <c r="C718" s="11">
        <v>0.0</v>
      </c>
      <c r="D718" s="11" t="s">
        <v>1515</v>
      </c>
      <c r="E718" s="11">
        <v>0.0</v>
      </c>
      <c r="F718" s="11" t="s">
        <v>2104</v>
      </c>
    </row>
    <row r="719">
      <c r="A719" s="11">
        <v>0.112874716520309</v>
      </c>
      <c r="B719" s="11">
        <v>-16.6087036132812</v>
      </c>
      <c r="C719" s="11">
        <v>0.0</v>
      </c>
      <c r="D719" s="11" t="s">
        <v>1515</v>
      </c>
      <c r="E719" s="11">
        <v>0.0</v>
      </c>
      <c r="F719" s="11" t="s">
        <v>2106</v>
      </c>
    </row>
    <row r="720">
      <c r="A720" s="11">
        <v>13.3804168701171</v>
      </c>
      <c r="B720" s="11">
        <v>-20.4033412933349</v>
      </c>
      <c r="C720" s="11">
        <v>0.0</v>
      </c>
      <c r="D720" s="11" t="s">
        <v>1515</v>
      </c>
      <c r="E720" s="11">
        <v>0.0</v>
      </c>
      <c r="F720" s="11" t="s">
        <v>2108</v>
      </c>
    </row>
    <row r="721">
      <c r="A721" s="11">
        <v>-7.19455909729003</v>
      </c>
      <c r="B721" s="11">
        <v>-52.29829788208</v>
      </c>
      <c r="C721" s="11">
        <v>1.0</v>
      </c>
      <c r="D721" s="11" t="s">
        <v>1515</v>
      </c>
      <c r="E721" s="11">
        <v>1.0</v>
      </c>
      <c r="F721" s="11" t="s">
        <v>2111</v>
      </c>
    </row>
    <row r="722">
      <c r="A722" s="11">
        <v>-38.6675224304199</v>
      </c>
      <c r="B722" s="11">
        <v>-13.8844747543334</v>
      </c>
      <c r="C722" s="11">
        <v>0.0</v>
      </c>
      <c r="D722" s="11" t="s">
        <v>1515</v>
      </c>
      <c r="E722" s="11">
        <v>0.0</v>
      </c>
      <c r="F722" s="11" t="s">
        <v>2113</v>
      </c>
    </row>
    <row r="723">
      <c r="A723" s="11">
        <v>-33.2698936462402</v>
      </c>
      <c r="B723" s="11">
        <v>29.3441944122314</v>
      </c>
      <c r="C723" s="11">
        <v>-1.0</v>
      </c>
      <c r="D723" s="11" t="s">
        <v>1515</v>
      </c>
      <c r="E723" s="11">
        <v>-1.0</v>
      </c>
      <c r="F723" s="11" t="s">
        <v>2115</v>
      </c>
    </row>
    <row r="724">
      <c r="A724" s="11">
        <v>-30.0849609375</v>
      </c>
      <c r="B724" s="11">
        <v>13.6430349349975</v>
      </c>
      <c r="C724" s="11">
        <v>0.0</v>
      </c>
      <c r="D724" s="11" t="s">
        <v>1515</v>
      </c>
      <c r="E724" s="11">
        <v>0.0</v>
      </c>
      <c r="F724" s="11" t="s">
        <v>2118</v>
      </c>
    </row>
    <row r="725">
      <c r="A725" s="11">
        <v>-32.8886528015136</v>
      </c>
      <c r="B725" s="11">
        <v>29.581823348999</v>
      </c>
      <c r="C725" s="11">
        <v>-1.0</v>
      </c>
      <c r="D725" s="11" t="s">
        <v>1515</v>
      </c>
      <c r="E725" s="11">
        <v>-1.0</v>
      </c>
      <c r="F725" s="11" t="s">
        <v>2121</v>
      </c>
    </row>
    <row r="726">
      <c r="A726" s="11">
        <v>17.0160980224609</v>
      </c>
      <c r="B726" s="11">
        <v>-18.9880771636962</v>
      </c>
      <c r="C726" s="11">
        <v>0.0</v>
      </c>
      <c r="D726" s="11" t="s">
        <v>1515</v>
      </c>
      <c r="E726" s="11">
        <v>0.0</v>
      </c>
      <c r="F726" s="11" t="s">
        <v>2123</v>
      </c>
    </row>
    <row r="727">
      <c r="A727" s="11">
        <v>21.7728080749511</v>
      </c>
      <c r="B727" s="11">
        <v>-22.6496391296386</v>
      </c>
      <c r="C727" s="11">
        <v>0.0</v>
      </c>
      <c r="D727" s="11" t="s">
        <v>1515</v>
      </c>
      <c r="E727" s="11">
        <v>0.0</v>
      </c>
      <c r="F727" s="11" t="s">
        <v>2126</v>
      </c>
    </row>
    <row r="728">
      <c r="A728" s="11">
        <v>6.90085887908935</v>
      </c>
      <c r="B728" s="11">
        <v>-20.8497009277343</v>
      </c>
      <c r="C728" s="11">
        <v>0.0</v>
      </c>
      <c r="D728" s="11" t="s">
        <v>1515</v>
      </c>
      <c r="E728" s="11">
        <v>0.0</v>
      </c>
      <c r="F728" s="11" t="s">
        <v>2128</v>
      </c>
    </row>
    <row r="729">
      <c r="A729" s="11">
        <v>-8.63734626770019</v>
      </c>
      <c r="B729" s="11">
        <v>-50.2254257202148</v>
      </c>
      <c r="C729" s="11">
        <v>0.0</v>
      </c>
      <c r="D729" s="11" t="s">
        <v>1515</v>
      </c>
      <c r="E729" s="11">
        <v>0.0</v>
      </c>
      <c r="F729" s="11" t="s">
        <v>2130</v>
      </c>
    </row>
    <row r="730">
      <c r="A730" s="11">
        <v>11.4626932144165</v>
      </c>
      <c r="B730" s="11">
        <v>-30.2559452056884</v>
      </c>
      <c r="C730" s="11">
        <v>0.0</v>
      </c>
      <c r="D730" s="11" t="s">
        <v>1515</v>
      </c>
      <c r="E730" s="11">
        <v>0.0</v>
      </c>
      <c r="F730" s="11" t="s">
        <v>2132</v>
      </c>
    </row>
    <row r="731">
      <c r="A731" s="11">
        <v>-1.60523200035095</v>
      </c>
      <c r="B731" s="11">
        <v>-18.758975982666</v>
      </c>
      <c r="C731" s="11">
        <v>0.0</v>
      </c>
      <c r="D731" s="11" t="s">
        <v>1515</v>
      </c>
      <c r="E731" s="11">
        <v>0.0</v>
      </c>
      <c r="F731" s="11" t="s">
        <v>2134</v>
      </c>
    </row>
    <row r="732">
      <c r="A732" s="11">
        <v>-27.7311782836914</v>
      </c>
      <c r="B732" s="11">
        <v>25.8381309509277</v>
      </c>
      <c r="C732" s="11">
        <v>-1.0</v>
      </c>
      <c r="D732" s="11" t="s">
        <v>1515</v>
      </c>
      <c r="E732" s="11">
        <v>-1.0</v>
      </c>
      <c r="F732" s="11" t="s">
        <v>2136</v>
      </c>
    </row>
    <row r="733">
      <c r="A733" s="11">
        <v>-5.76266479492187</v>
      </c>
      <c r="B733" s="11">
        <v>-16.809118270874</v>
      </c>
      <c r="C733" s="11">
        <v>0.0</v>
      </c>
      <c r="D733" s="11" t="s">
        <v>1515</v>
      </c>
      <c r="E733" s="11">
        <v>0.0</v>
      </c>
      <c r="F733" s="11" t="s">
        <v>2137</v>
      </c>
    </row>
    <row r="734">
      <c r="A734" s="11">
        <v>17.4300918579101</v>
      </c>
      <c r="B734" s="11">
        <v>-20.5591773986816</v>
      </c>
      <c r="C734" s="11">
        <v>0.0</v>
      </c>
      <c r="D734" s="11" t="s">
        <v>1515</v>
      </c>
      <c r="E734" s="11">
        <v>0.0</v>
      </c>
      <c r="F734" s="11" t="s">
        <v>2139</v>
      </c>
    </row>
    <row r="735">
      <c r="A735" s="11">
        <v>24.9678153991699</v>
      </c>
      <c r="B735" s="11">
        <v>38.8276062011718</v>
      </c>
      <c r="C735" s="11">
        <v>2.0</v>
      </c>
      <c r="D735" s="11" t="s">
        <v>1515</v>
      </c>
      <c r="E735" s="11">
        <v>2.0</v>
      </c>
      <c r="F735" s="11" t="s">
        <v>2142</v>
      </c>
    </row>
    <row r="736">
      <c r="A736" s="11">
        <v>19.0289287567138</v>
      </c>
      <c r="B736" s="11">
        <v>-21.4037570953369</v>
      </c>
      <c r="C736" s="11">
        <v>0.0</v>
      </c>
      <c r="D736" s="11" t="s">
        <v>1515</v>
      </c>
      <c r="E736" s="11">
        <v>0.0</v>
      </c>
      <c r="F736" s="11" t="s">
        <v>2144</v>
      </c>
    </row>
    <row r="737">
      <c r="A737" s="11">
        <v>1.40075969696044</v>
      </c>
      <c r="B737" s="11">
        <v>-16.4661083221435</v>
      </c>
      <c r="C737" s="11">
        <v>0.0</v>
      </c>
      <c r="D737" s="11" t="s">
        <v>1515</v>
      </c>
      <c r="E737" s="11">
        <v>0.0</v>
      </c>
      <c r="F737" s="11" t="s">
        <v>2146</v>
      </c>
    </row>
    <row r="738">
      <c r="A738" s="11">
        <v>13.1258678436279</v>
      </c>
      <c r="B738" s="11">
        <v>-12.4315919876098</v>
      </c>
      <c r="C738" s="11">
        <v>0.0</v>
      </c>
      <c r="D738" s="11" t="s">
        <v>1515</v>
      </c>
      <c r="E738" s="11">
        <v>0.0</v>
      </c>
      <c r="F738" s="11" t="s">
        <v>2148</v>
      </c>
    </row>
    <row r="739">
      <c r="A739" s="11">
        <v>-15.1451454162597</v>
      </c>
      <c r="B739" s="11">
        <v>12.512300491333</v>
      </c>
      <c r="C739" s="11">
        <v>0.0</v>
      </c>
      <c r="D739" s="11" t="s">
        <v>1515</v>
      </c>
      <c r="E739" s="11">
        <v>0.0</v>
      </c>
      <c r="F739" s="11" t="s">
        <v>2495</v>
      </c>
    </row>
    <row r="740">
      <c r="A740" s="11">
        <v>-36.9391326904296</v>
      </c>
      <c r="B740" s="11">
        <v>-14.3588752746582</v>
      </c>
      <c r="C740" s="11">
        <v>0.0</v>
      </c>
      <c r="D740" s="11" t="s">
        <v>1515</v>
      </c>
      <c r="E740" s="11">
        <v>0.0</v>
      </c>
      <c r="F740" s="11" t="s">
        <v>2150</v>
      </c>
    </row>
    <row r="741">
      <c r="A741" s="11">
        <v>-21.050630569458</v>
      </c>
      <c r="B741" s="11">
        <v>18.9747886657714</v>
      </c>
      <c r="C741" s="11">
        <v>0.0</v>
      </c>
      <c r="D741" s="11" t="s">
        <v>1515</v>
      </c>
      <c r="E741" s="11">
        <v>0.0</v>
      </c>
      <c r="F741" s="11" t="s">
        <v>2151</v>
      </c>
    </row>
    <row r="742">
      <c r="A742" s="11">
        <v>-18.0202121734619</v>
      </c>
      <c r="B742" s="11">
        <v>-11.1356220245361</v>
      </c>
      <c r="C742" s="11">
        <v>0.0</v>
      </c>
      <c r="D742" s="11" t="s">
        <v>1515</v>
      </c>
      <c r="E742" s="11">
        <v>0.0</v>
      </c>
      <c r="F742" s="11" t="s">
        <v>2152</v>
      </c>
    </row>
    <row r="743">
      <c r="A743" s="11">
        <v>-18.4791088104248</v>
      </c>
      <c r="B743" s="11">
        <v>19.7644958496093</v>
      </c>
      <c r="C743" s="11">
        <v>0.0</v>
      </c>
      <c r="D743" s="11" t="s">
        <v>1515</v>
      </c>
      <c r="E743" s="11">
        <v>0.0</v>
      </c>
      <c r="F743" s="11" t="s">
        <v>2154</v>
      </c>
    </row>
    <row r="744">
      <c r="A744" s="11">
        <v>4.66825056076049</v>
      </c>
      <c r="B744" s="11">
        <v>-16.6636428833007</v>
      </c>
      <c r="C744" s="11">
        <v>0.0</v>
      </c>
      <c r="D744" s="11" t="s">
        <v>1515</v>
      </c>
      <c r="E744" s="11">
        <v>0.0</v>
      </c>
      <c r="F744" s="11" t="s">
        <v>2156</v>
      </c>
    </row>
    <row r="745">
      <c r="A745" s="11">
        <v>32.0050582885742</v>
      </c>
      <c r="B745" s="11">
        <v>26.8099670410156</v>
      </c>
      <c r="C745" s="11">
        <v>2.0</v>
      </c>
      <c r="D745" s="11" t="s">
        <v>1515</v>
      </c>
      <c r="E745" s="11">
        <v>2.0</v>
      </c>
      <c r="F745" s="11" t="s">
        <v>2496</v>
      </c>
    </row>
    <row r="746">
      <c r="A746" s="11">
        <v>4.40426445007324</v>
      </c>
      <c r="B746" s="11">
        <v>-24.8966522216796</v>
      </c>
      <c r="C746" s="11">
        <v>0.0</v>
      </c>
      <c r="D746" s="11" t="s">
        <v>1515</v>
      </c>
      <c r="E746" s="11">
        <v>0.0</v>
      </c>
      <c r="F746" s="11" t="s">
        <v>2157</v>
      </c>
    </row>
    <row r="747">
      <c r="A747" s="11">
        <v>-17.5667533874511</v>
      </c>
      <c r="B747" s="11">
        <v>20.5746307373046</v>
      </c>
      <c r="C747" s="11">
        <v>0.0</v>
      </c>
      <c r="D747" s="11" t="s">
        <v>1515</v>
      </c>
      <c r="E747" s="11">
        <v>0.0</v>
      </c>
      <c r="F747" s="11" t="s">
        <v>2159</v>
      </c>
    </row>
    <row r="748">
      <c r="A748" s="11">
        <v>-14.9889802932739</v>
      </c>
      <c r="B748" s="11">
        <v>-14.3223009109497</v>
      </c>
      <c r="C748" s="11">
        <v>0.0</v>
      </c>
      <c r="D748" s="11" t="s">
        <v>1515</v>
      </c>
      <c r="E748" s="11">
        <v>0.0</v>
      </c>
      <c r="F748" s="11" t="s">
        <v>2161</v>
      </c>
    </row>
    <row r="749">
      <c r="A749" s="11">
        <v>-12.1808404922485</v>
      </c>
      <c r="B749" s="11">
        <v>8.06522369384765</v>
      </c>
      <c r="C749" s="11">
        <v>0.0</v>
      </c>
      <c r="D749" s="11" t="s">
        <v>1515</v>
      </c>
      <c r="E749" s="11">
        <v>0.0</v>
      </c>
      <c r="F749" s="11" t="s">
        <v>2163</v>
      </c>
    </row>
    <row r="750">
      <c r="A750" s="11">
        <v>2.1193881034851</v>
      </c>
      <c r="B750" s="11">
        <v>0.459660500288009</v>
      </c>
      <c r="C750" s="11">
        <v>0.0</v>
      </c>
      <c r="D750" s="11" t="s">
        <v>1515</v>
      </c>
      <c r="E750" s="11">
        <v>0.0</v>
      </c>
      <c r="F750" s="11" t="s">
        <v>2165</v>
      </c>
    </row>
    <row r="751">
      <c r="A751" s="11">
        <v>21.5727882385253</v>
      </c>
      <c r="B751" s="11">
        <v>-7.18747377395629</v>
      </c>
      <c r="C751" s="11">
        <v>0.0</v>
      </c>
      <c r="D751" s="11" t="s">
        <v>1515</v>
      </c>
      <c r="E751" s="11">
        <v>0.0</v>
      </c>
      <c r="F751" s="11" t="s">
        <v>2167</v>
      </c>
    </row>
    <row r="752">
      <c r="A752" s="11">
        <v>-6.8191123008728</v>
      </c>
      <c r="B752" s="11">
        <v>-49.2540626525878</v>
      </c>
      <c r="C752" s="11">
        <v>0.0</v>
      </c>
      <c r="D752" s="11" t="s">
        <v>1515</v>
      </c>
      <c r="E752" s="11">
        <v>0.0</v>
      </c>
      <c r="F752" s="11" t="s">
        <v>2168</v>
      </c>
    </row>
    <row r="753">
      <c r="A753" s="11">
        <v>-8.1816349029541</v>
      </c>
      <c r="B753" s="11">
        <v>-50.7411308288574</v>
      </c>
      <c r="C753" s="11">
        <v>0.0</v>
      </c>
      <c r="D753" s="11" t="s">
        <v>1515</v>
      </c>
      <c r="E753" s="11">
        <v>0.0</v>
      </c>
      <c r="F753" s="11" t="s">
        <v>2170</v>
      </c>
    </row>
    <row r="754">
      <c r="A754" s="11">
        <v>-29.643081665039</v>
      </c>
      <c r="B754" s="11">
        <v>2.97301602363586</v>
      </c>
      <c r="C754" s="11">
        <v>0.0</v>
      </c>
      <c r="D754" s="11" t="s">
        <v>1515</v>
      </c>
      <c r="E754" s="11">
        <v>0.0</v>
      </c>
      <c r="F754" s="11" t="s">
        <v>2172</v>
      </c>
    </row>
    <row r="755">
      <c r="A755" s="11">
        <v>21.5727882385253</v>
      </c>
      <c r="B755" s="11">
        <v>-7.18747377395629</v>
      </c>
      <c r="C755" s="11">
        <v>0.0</v>
      </c>
      <c r="D755" s="11" t="s">
        <v>1515</v>
      </c>
      <c r="E755" s="11">
        <v>0.0</v>
      </c>
      <c r="F755" s="11" t="s">
        <v>2174</v>
      </c>
    </row>
    <row r="756">
      <c r="A756" s="11">
        <v>-19.8509330749511</v>
      </c>
      <c r="B756" s="11">
        <v>18.6913909912109</v>
      </c>
      <c r="C756" s="11">
        <v>0.0</v>
      </c>
      <c r="D756" s="11" t="s">
        <v>1515</v>
      </c>
      <c r="E756" s="11">
        <v>0.0</v>
      </c>
      <c r="F756" s="11" t="s">
        <v>2176</v>
      </c>
    </row>
    <row r="757">
      <c r="A757" s="11">
        <v>26.0302333831787</v>
      </c>
      <c r="B757" s="11">
        <v>34.9172134399414</v>
      </c>
      <c r="C757" s="11">
        <v>2.0</v>
      </c>
      <c r="D757" s="11" t="s">
        <v>1515</v>
      </c>
      <c r="E757" s="11">
        <v>2.0</v>
      </c>
      <c r="F757" s="11" t="s">
        <v>2497</v>
      </c>
    </row>
    <row r="758">
      <c r="A758" s="11">
        <v>28.1937770843505</v>
      </c>
      <c r="B758" s="11">
        <v>30.9767627716064</v>
      </c>
      <c r="C758" s="11">
        <v>2.0</v>
      </c>
      <c r="D758" s="11" t="s">
        <v>1515</v>
      </c>
      <c r="E758" s="11">
        <v>2.0</v>
      </c>
      <c r="F758" s="11" t="s">
        <v>2498</v>
      </c>
    </row>
    <row r="759">
      <c r="A759" s="11">
        <v>-19.5617294311523</v>
      </c>
      <c r="B759" s="11">
        <v>16.9491462707519</v>
      </c>
      <c r="C759" s="11">
        <v>0.0</v>
      </c>
      <c r="D759" s="11" t="s">
        <v>1515</v>
      </c>
      <c r="E759" s="11">
        <v>0.0</v>
      </c>
      <c r="F759" s="11" t="s">
        <v>2178</v>
      </c>
    </row>
    <row r="760">
      <c r="A760" s="11">
        <v>-33.4956283569335</v>
      </c>
      <c r="B760" s="11">
        <v>29.3388595581054</v>
      </c>
      <c r="C760" s="11">
        <v>-1.0</v>
      </c>
      <c r="D760" s="11" t="s">
        <v>1515</v>
      </c>
      <c r="E760" s="11">
        <v>-1.0</v>
      </c>
      <c r="F760" s="11" t="s">
        <v>2180</v>
      </c>
    </row>
    <row r="761">
      <c r="A761" s="11">
        <v>35.3735160827636</v>
      </c>
      <c r="B761" s="11">
        <v>-15.5422029495239</v>
      </c>
      <c r="C761" s="11">
        <v>0.0</v>
      </c>
      <c r="D761" s="11" t="s">
        <v>1515</v>
      </c>
      <c r="E761" s="11">
        <v>0.0</v>
      </c>
      <c r="F761" s="11" t="s">
        <v>2183</v>
      </c>
    </row>
    <row r="762">
      <c r="A762" s="11">
        <v>-7.85088062286376</v>
      </c>
      <c r="B762" s="11">
        <v>-15.7615346908569</v>
      </c>
      <c r="C762" s="11">
        <v>0.0</v>
      </c>
      <c r="D762" s="11" t="s">
        <v>1515</v>
      </c>
      <c r="E762" s="11">
        <v>0.0</v>
      </c>
      <c r="F762" s="11" t="s">
        <v>2185</v>
      </c>
    </row>
    <row r="763">
      <c r="A763" s="11">
        <v>33.3749771118164</v>
      </c>
      <c r="B763" s="11">
        <v>21.3107662200927</v>
      </c>
      <c r="C763" s="11">
        <v>2.0</v>
      </c>
      <c r="D763" s="11" t="s">
        <v>1515</v>
      </c>
      <c r="E763" s="11">
        <v>2.0</v>
      </c>
      <c r="F763" s="11" t="s">
        <v>2188</v>
      </c>
    </row>
    <row r="764">
      <c r="A764" s="11">
        <v>-21.1566696166992</v>
      </c>
      <c r="B764" s="11">
        <v>-8.74167251586914</v>
      </c>
      <c r="C764" s="11">
        <v>0.0</v>
      </c>
      <c r="D764" s="11" t="s">
        <v>1515</v>
      </c>
      <c r="E764" s="11">
        <v>0.0</v>
      </c>
      <c r="F764" s="11" t="s">
        <v>2190</v>
      </c>
    </row>
    <row r="765">
      <c r="A765" s="11">
        <v>-32.3053321838378</v>
      </c>
      <c r="B765" s="11">
        <v>21.0896549224853</v>
      </c>
      <c r="C765" s="11">
        <v>-1.0</v>
      </c>
      <c r="D765" s="11" t="s">
        <v>1515</v>
      </c>
      <c r="E765" s="11">
        <v>-1.0</v>
      </c>
      <c r="F765" s="11" t="s">
        <v>2192</v>
      </c>
    </row>
    <row r="766">
      <c r="A766" s="11">
        <v>15.9204530715942</v>
      </c>
      <c r="B766" s="11">
        <v>-25.878677368164</v>
      </c>
      <c r="C766" s="11">
        <v>0.0</v>
      </c>
      <c r="D766" s="11" t="s">
        <v>1515</v>
      </c>
      <c r="E766" s="11">
        <v>0.0</v>
      </c>
      <c r="F766" s="11" t="s">
        <v>2195</v>
      </c>
    </row>
    <row r="767">
      <c r="A767" s="11">
        <v>-21.1122322082519</v>
      </c>
      <c r="B767" s="11">
        <v>20.6320438385009</v>
      </c>
      <c r="C767" s="11">
        <v>0.0</v>
      </c>
      <c r="D767" s="11" t="s">
        <v>1515</v>
      </c>
      <c r="E767" s="11">
        <v>0.0</v>
      </c>
      <c r="F767" s="11" t="s">
        <v>2198</v>
      </c>
    </row>
    <row r="768">
      <c r="A768" s="11">
        <v>-34.8816299438476</v>
      </c>
      <c r="B768" s="11">
        <v>-14.2569332122802</v>
      </c>
      <c r="C768" s="11">
        <v>0.0</v>
      </c>
      <c r="D768" s="11" t="s">
        <v>1515</v>
      </c>
      <c r="E768" s="11">
        <v>0.0</v>
      </c>
      <c r="F768" s="11" t="s">
        <v>2201</v>
      </c>
    </row>
    <row r="769">
      <c r="A769" s="11">
        <v>-10.2827711105346</v>
      </c>
      <c r="B769" s="11">
        <v>-12.8124694824218</v>
      </c>
      <c r="C769" s="11">
        <v>0.0</v>
      </c>
      <c r="D769" s="11" t="s">
        <v>1515</v>
      </c>
      <c r="E769" s="11">
        <v>0.0</v>
      </c>
      <c r="F769" s="11" t="s">
        <v>2203</v>
      </c>
    </row>
    <row r="770">
      <c r="A770" s="11">
        <v>34.1172828674316</v>
      </c>
      <c r="B770" s="11">
        <v>20.5648727416992</v>
      </c>
      <c r="C770" s="11">
        <v>2.0</v>
      </c>
      <c r="D770" s="11" t="s">
        <v>1515</v>
      </c>
      <c r="E770" s="11">
        <v>2.0</v>
      </c>
      <c r="F770" s="11" t="s">
        <v>2205</v>
      </c>
    </row>
    <row r="771">
      <c r="A771" s="11">
        <v>-23.7651634216308</v>
      </c>
      <c r="B771" s="11">
        <v>0.966481924057006</v>
      </c>
      <c r="C771" s="11">
        <v>0.0</v>
      </c>
      <c r="D771" s="11" t="s">
        <v>1515</v>
      </c>
      <c r="E771" s="11">
        <v>0.0</v>
      </c>
      <c r="F771" s="11" t="s">
        <v>2207</v>
      </c>
    </row>
    <row r="772">
      <c r="A772" s="11">
        <v>-9.90986633300781</v>
      </c>
      <c r="B772" s="11">
        <v>-12.8994541168212</v>
      </c>
      <c r="C772" s="11">
        <v>0.0</v>
      </c>
      <c r="D772" s="11" t="s">
        <v>1515</v>
      </c>
      <c r="E772" s="11">
        <v>0.0</v>
      </c>
      <c r="F772" s="11" t="s">
        <v>2208</v>
      </c>
    </row>
    <row r="773">
      <c r="A773" s="11">
        <v>35.8062515258789</v>
      </c>
      <c r="B773" s="11">
        <v>22.6136951446533</v>
      </c>
      <c r="C773" s="11">
        <v>2.0</v>
      </c>
      <c r="D773" s="11" t="s">
        <v>1515</v>
      </c>
      <c r="E773" s="11">
        <v>2.0</v>
      </c>
      <c r="F773" s="11" t="s">
        <v>2499</v>
      </c>
    </row>
    <row r="774">
      <c r="A774" s="11">
        <v>-27.6090412139892</v>
      </c>
      <c r="B774" s="11">
        <v>15.7840204238891</v>
      </c>
      <c r="C774" s="11">
        <v>0.0</v>
      </c>
      <c r="D774" s="11" t="s">
        <v>1515</v>
      </c>
      <c r="E774" s="11">
        <v>0.0</v>
      </c>
      <c r="F774" s="11" t="s">
        <v>2210</v>
      </c>
    </row>
    <row r="775">
      <c r="A775" s="11">
        <v>31.8277568817138</v>
      </c>
      <c r="B775" s="11">
        <v>-19.0321254730224</v>
      </c>
      <c r="C775" s="11">
        <v>0.0</v>
      </c>
      <c r="D775" s="11" t="s">
        <v>1515</v>
      </c>
      <c r="E775" s="11">
        <v>0.0</v>
      </c>
      <c r="F775" s="11" t="s">
        <v>2212</v>
      </c>
    </row>
    <row r="776">
      <c r="A776" s="11">
        <v>-29.521125793457</v>
      </c>
      <c r="B776" s="11">
        <v>16.5431652069091</v>
      </c>
      <c r="C776" s="11">
        <v>0.0</v>
      </c>
      <c r="D776" s="11" t="s">
        <v>1515</v>
      </c>
      <c r="E776" s="11">
        <v>0.0</v>
      </c>
      <c r="F776" s="11" t="s">
        <v>2214</v>
      </c>
    </row>
    <row r="777">
      <c r="A777" s="11">
        <v>-35.4331283569335</v>
      </c>
      <c r="B777" s="11">
        <v>8.2977590560913</v>
      </c>
      <c r="C777" s="11">
        <v>0.0</v>
      </c>
      <c r="D777" s="11" t="s">
        <v>1515</v>
      </c>
      <c r="E777" s="11">
        <v>0.0</v>
      </c>
      <c r="F777" s="11" t="s">
        <v>2216</v>
      </c>
    </row>
    <row r="778">
      <c r="A778" s="11">
        <v>-21.1243305206298</v>
      </c>
      <c r="B778" s="11">
        <v>-8.63177585601806</v>
      </c>
      <c r="C778" s="11">
        <v>0.0</v>
      </c>
      <c r="D778" s="11" t="s">
        <v>1515</v>
      </c>
      <c r="E778" s="11">
        <v>0.0</v>
      </c>
      <c r="F778" s="11" t="s">
        <v>2218</v>
      </c>
    </row>
    <row r="779">
      <c r="A779" s="11">
        <v>11.2614526748657</v>
      </c>
      <c r="B779" s="11">
        <v>-30.2952423095703</v>
      </c>
      <c r="C779" s="11">
        <v>0.0</v>
      </c>
      <c r="D779" s="11" t="s">
        <v>1515</v>
      </c>
      <c r="E779" s="11">
        <v>0.0</v>
      </c>
      <c r="F779" s="11" t="s">
        <v>2220</v>
      </c>
    </row>
    <row r="780">
      <c r="A780" s="11">
        <v>40.9571113586425</v>
      </c>
      <c r="B780" s="11">
        <v>-11.3887548446655</v>
      </c>
      <c r="C780" s="11">
        <v>0.0</v>
      </c>
      <c r="D780" s="11" t="s">
        <v>1515</v>
      </c>
      <c r="E780" s="11">
        <v>0.0</v>
      </c>
      <c r="F780" s="11" t="s">
        <v>2222</v>
      </c>
    </row>
    <row r="781">
      <c r="A781" s="11">
        <v>29.9529685974121</v>
      </c>
      <c r="B781" s="11">
        <v>30.8742923736572</v>
      </c>
      <c r="C781" s="11">
        <v>2.0</v>
      </c>
      <c r="D781" s="11" t="s">
        <v>1515</v>
      </c>
      <c r="E781" s="11">
        <v>2.0</v>
      </c>
      <c r="F781" s="11" t="s">
        <v>2500</v>
      </c>
    </row>
    <row r="782">
      <c r="A782" s="11">
        <v>34.5432586669921</v>
      </c>
      <c r="B782" s="11">
        <v>-14.5943450927734</v>
      </c>
      <c r="C782" s="11">
        <v>0.0</v>
      </c>
      <c r="D782" s="11" t="s">
        <v>1515</v>
      </c>
      <c r="E782" s="11">
        <v>0.0</v>
      </c>
      <c r="F782" s="11" t="s">
        <v>2224</v>
      </c>
    </row>
    <row r="783">
      <c r="A783" s="11">
        <v>4.23147201538085</v>
      </c>
      <c r="B783" s="11">
        <v>-25.0859241485595</v>
      </c>
      <c r="C783" s="11">
        <v>0.0</v>
      </c>
      <c r="D783" s="11" t="s">
        <v>1515</v>
      </c>
      <c r="E783" s="11">
        <v>0.0</v>
      </c>
      <c r="F783" s="11" t="s">
        <v>2226</v>
      </c>
    </row>
    <row r="784">
      <c r="A784" s="11">
        <v>34.8659362792968</v>
      </c>
      <c r="B784" s="11">
        <v>20.2217483520507</v>
      </c>
      <c r="C784" s="11">
        <v>2.0</v>
      </c>
      <c r="D784" s="11" t="s">
        <v>1515</v>
      </c>
      <c r="E784" s="11">
        <v>2.0</v>
      </c>
      <c r="F784" s="11" t="s">
        <v>2228</v>
      </c>
    </row>
    <row r="785">
      <c r="A785" s="11">
        <v>-34.703441619873</v>
      </c>
      <c r="B785" s="11">
        <v>19.2963275909423</v>
      </c>
      <c r="C785" s="11">
        <v>0.0</v>
      </c>
      <c r="D785" s="11" t="s">
        <v>1515</v>
      </c>
      <c r="E785" s="11">
        <v>0.0</v>
      </c>
      <c r="F785" s="11" t="s">
        <v>2501</v>
      </c>
    </row>
    <row r="786">
      <c r="A786" s="11">
        <v>-17.8596820831298</v>
      </c>
      <c r="B786" s="11">
        <v>20.6403045654296</v>
      </c>
      <c r="C786" s="11">
        <v>0.0</v>
      </c>
      <c r="D786" s="11" t="s">
        <v>1515</v>
      </c>
      <c r="E786" s="11">
        <v>0.0</v>
      </c>
      <c r="F786" s="11" t="s">
        <v>2230</v>
      </c>
    </row>
    <row r="787">
      <c r="A787" s="11">
        <v>43.7345085144043</v>
      </c>
      <c r="B787" s="11">
        <v>-7.85714673995971</v>
      </c>
      <c r="C787" s="11">
        <v>0.0</v>
      </c>
      <c r="D787" s="11" t="s">
        <v>1515</v>
      </c>
      <c r="E787" s="11">
        <v>0.0</v>
      </c>
      <c r="F787" s="11" t="s">
        <v>2232</v>
      </c>
    </row>
    <row r="788">
      <c r="A788" s="11">
        <v>-13.707480430603</v>
      </c>
      <c r="B788" s="11">
        <v>9.30401229858398</v>
      </c>
      <c r="C788" s="11">
        <v>0.0</v>
      </c>
      <c r="D788" s="11" t="s">
        <v>1515</v>
      </c>
      <c r="E788" s="11">
        <v>0.0</v>
      </c>
      <c r="F788" s="11" t="s">
        <v>2233</v>
      </c>
    </row>
    <row r="789">
      <c r="A789" s="11">
        <v>-17.9376468658447</v>
      </c>
      <c r="B789" s="11">
        <v>-11.1695575714111</v>
      </c>
      <c r="C789" s="11">
        <v>0.0</v>
      </c>
      <c r="D789" s="11" t="s">
        <v>1515</v>
      </c>
      <c r="E789" s="11">
        <v>0.0</v>
      </c>
      <c r="F789" s="11" t="s">
        <v>2235</v>
      </c>
    </row>
    <row r="790">
      <c r="A790" s="11">
        <v>-30.3205204010009</v>
      </c>
      <c r="B790" s="11">
        <v>19.2186470031738</v>
      </c>
      <c r="C790" s="11">
        <v>0.0</v>
      </c>
      <c r="D790" s="11" t="s">
        <v>1515</v>
      </c>
      <c r="E790" s="11">
        <v>0.0</v>
      </c>
      <c r="F790" s="11" t="s">
        <v>2238</v>
      </c>
    </row>
    <row r="791">
      <c r="A791" s="11">
        <v>33.8717079162597</v>
      </c>
      <c r="B791" s="11">
        <v>19.8135757446289</v>
      </c>
      <c r="C791" s="11">
        <v>2.0</v>
      </c>
      <c r="D791" s="11" t="s">
        <v>1515</v>
      </c>
      <c r="E791" s="11">
        <v>2.0</v>
      </c>
      <c r="F791" s="11" t="s">
        <v>2240</v>
      </c>
    </row>
    <row r="792">
      <c r="A792" s="11">
        <v>-29.7242469787597</v>
      </c>
      <c r="B792" s="11">
        <v>3.09617900848388</v>
      </c>
      <c r="C792" s="11">
        <v>0.0</v>
      </c>
      <c r="D792" s="11" t="s">
        <v>1515</v>
      </c>
      <c r="E792" s="11">
        <v>0.0</v>
      </c>
      <c r="F792" s="11" t="s">
        <v>2242</v>
      </c>
    </row>
    <row r="793">
      <c r="A793" s="11">
        <v>-19.4097270965576</v>
      </c>
      <c r="B793" s="11">
        <v>-12.0029172897338</v>
      </c>
      <c r="C793" s="11">
        <v>0.0</v>
      </c>
      <c r="D793" s="11" t="s">
        <v>1515</v>
      </c>
      <c r="E793" s="11">
        <v>0.0</v>
      </c>
      <c r="F793" s="11" t="s">
        <v>2244</v>
      </c>
    </row>
    <row r="794">
      <c r="A794" s="11">
        <v>27.6226940155029</v>
      </c>
      <c r="B794" s="11">
        <v>-17.106050491333</v>
      </c>
      <c r="C794" s="11">
        <v>0.0</v>
      </c>
      <c r="D794" s="11" t="s">
        <v>1515</v>
      </c>
      <c r="E794" s="11">
        <v>0.0</v>
      </c>
      <c r="F794" s="11" t="s">
        <v>2246</v>
      </c>
    </row>
    <row r="795">
      <c r="A795" s="11">
        <v>19.1806526184082</v>
      </c>
      <c r="B795" s="11">
        <v>-19.062385559082</v>
      </c>
      <c r="C795" s="11">
        <v>0.0</v>
      </c>
      <c r="D795" s="11" t="s">
        <v>1515</v>
      </c>
      <c r="E795" s="11">
        <v>0.0</v>
      </c>
      <c r="F795" s="11" t="s">
        <v>2249</v>
      </c>
    </row>
    <row r="796">
      <c r="A796" s="11">
        <v>-21.3000316619873</v>
      </c>
      <c r="B796" s="11">
        <v>-13.8380479812622</v>
      </c>
      <c r="C796" s="11">
        <v>0.0</v>
      </c>
      <c r="D796" s="11" t="s">
        <v>1515</v>
      </c>
      <c r="E796" s="11">
        <v>0.0</v>
      </c>
      <c r="F796" s="11" t="s">
        <v>2252</v>
      </c>
    </row>
    <row r="797">
      <c r="A797" s="11">
        <v>-8.92890071868896</v>
      </c>
      <c r="B797" s="11">
        <v>-48.5196990966796</v>
      </c>
      <c r="C797" s="11">
        <v>0.0</v>
      </c>
      <c r="D797" s="11" t="s">
        <v>1515</v>
      </c>
      <c r="E797" s="11">
        <v>0.0</v>
      </c>
      <c r="F797" s="11" t="s">
        <v>2254</v>
      </c>
    </row>
    <row r="798">
      <c r="A798" s="11">
        <v>-3.10872507095336</v>
      </c>
      <c r="B798" s="11">
        <v>-15.8180894851684</v>
      </c>
      <c r="C798" s="11">
        <v>0.0</v>
      </c>
      <c r="D798" s="11" t="s">
        <v>1515</v>
      </c>
      <c r="E798" s="11">
        <v>0.0</v>
      </c>
      <c r="F798" s="11" t="s">
        <v>2257</v>
      </c>
    </row>
    <row r="799">
      <c r="A799" s="11">
        <v>41.4544715881347</v>
      </c>
      <c r="B799" s="11">
        <v>1.8126915693283</v>
      </c>
      <c r="C799" s="11">
        <v>1.0</v>
      </c>
      <c r="D799" s="11" t="s">
        <v>1515</v>
      </c>
      <c r="E799" s="11">
        <v>1.0</v>
      </c>
      <c r="F799" s="11" t="s">
        <v>2260</v>
      </c>
    </row>
    <row r="800">
      <c r="A800" s="11">
        <v>25.4920234680175</v>
      </c>
      <c r="B800" s="11">
        <v>-22.6114692687988</v>
      </c>
      <c r="C800" s="11">
        <v>0.0</v>
      </c>
      <c r="D800" s="11" t="s">
        <v>1515</v>
      </c>
      <c r="E800" s="11">
        <v>0.0</v>
      </c>
      <c r="F800" s="11" t="s">
        <v>2502</v>
      </c>
    </row>
    <row r="801">
      <c r="A801" s="11">
        <v>-29.2113094329834</v>
      </c>
      <c r="B801" s="11">
        <v>20.9187469482421</v>
      </c>
      <c r="C801" s="11">
        <v>0.0</v>
      </c>
      <c r="D801" s="11" t="s">
        <v>1515</v>
      </c>
      <c r="E801" s="11">
        <v>0.0</v>
      </c>
      <c r="F801" s="11" t="s">
        <v>2262</v>
      </c>
    </row>
    <row r="802">
      <c r="A802" s="11">
        <v>-2.98568439483642</v>
      </c>
      <c r="B802" s="11">
        <v>-15.9748983383178</v>
      </c>
      <c r="C802" s="11">
        <v>0.0</v>
      </c>
      <c r="D802" s="11" t="s">
        <v>1515</v>
      </c>
      <c r="E802" s="11">
        <v>0.0</v>
      </c>
      <c r="F802" s="11" t="s">
        <v>2264</v>
      </c>
    </row>
    <row r="803">
      <c r="A803" s="11">
        <v>3.72869038581848</v>
      </c>
      <c r="B803" s="11">
        <v>-25.2985649108886</v>
      </c>
      <c r="C803" s="11">
        <v>0.0</v>
      </c>
      <c r="D803" s="11" t="s">
        <v>1515</v>
      </c>
      <c r="E803" s="11">
        <v>0.0</v>
      </c>
      <c r="F803" s="11" t="s">
        <v>2266</v>
      </c>
    </row>
    <row r="804">
      <c r="A804" s="11">
        <v>12.6853094100952</v>
      </c>
      <c r="B804" s="11">
        <v>-28.8050174713134</v>
      </c>
      <c r="C804" s="11">
        <v>0.0</v>
      </c>
      <c r="D804" s="11" t="s">
        <v>1515</v>
      </c>
      <c r="E804" s="11">
        <v>0.0</v>
      </c>
      <c r="F804" s="11" t="s">
        <v>2268</v>
      </c>
    </row>
    <row r="805">
      <c r="A805" s="11">
        <v>34.4075050354003</v>
      </c>
      <c r="B805" s="11">
        <v>20.1327686309814</v>
      </c>
      <c r="C805" s="11">
        <v>2.0</v>
      </c>
      <c r="D805" s="11" t="s">
        <v>1515</v>
      </c>
      <c r="E805" s="11">
        <v>2.0</v>
      </c>
      <c r="F805" s="11" t="s">
        <v>2271</v>
      </c>
    </row>
    <row r="806">
      <c r="A806" s="11">
        <v>-32.3053321838378</v>
      </c>
      <c r="B806" s="11">
        <v>21.0896549224853</v>
      </c>
      <c r="C806" s="11">
        <v>-1.0</v>
      </c>
      <c r="D806" s="11" t="s">
        <v>1515</v>
      </c>
      <c r="E806" s="11">
        <v>-1.0</v>
      </c>
      <c r="F806" s="11" t="s">
        <v>2273</v>
      </c>
    </row>
    <row r="807">
      <c r="A807" s="11">
        <v>31.4167957305908</v>
      </c>
      <c r="B807" s="11">
        <v>-16.1070747375488</v>
      </c>
      <c r="C807" s="11">
        <v>0.0</v>
      </c>
      <c r="D807" s="11" t="s">
        <v>1515</v>
      </c>
      <c r="E807" s="11">
        <v>0.0</v>
      </c>
      <c r="F807" s="11" t="s">
        <v>2275</v>
      </c>
    </row>
    <row r="808">
      <c r="A808" s="11">
        <v>36.160400390625</v>
      </c>
      <c r="B808" s="11">
        <v>-15.6434621810913</v>
      </c>
      <c r="C808" s="11">
        <v>0.0</v>
      </c>
      <c r="D808" s="11" t="s">
        <v>1515</v>
      </c>
      <c r="E808" s="11">
        <v>0.0</v>
      </c>
      <c r="F808" s="11" t="s">
        <v>2277</v>
      </c>
    </row>
    <row r="809">
      <c r="A809" s="11">
        <v>-37.6034812927246</v>
      </c>
      <c r="B809" s="11">
        <v>33.3392219543457</v>
      </c>
      <c r="C809" s="11">
        <v>-1.0</v>
      </c>
      <c r="D809" s="11" t="s">
        <v>1515</v>
      </c>
      <c r="E809" s="11">
        <v>-1.0</v>
      </c>
      <c r="F809" s="11" t="s">
        <v>2279</v>
      </c>
    </row>
    <row r="810">
      <c r="A810" s="11">
        <v>-32.8835639953613</v>
      </c>
      <c r="B810" s="11">
        <v>29.5119400024414</v>
      </c>
      <c r="C810" s="11">
        <v>-1.0</v>
      </c>
      <c r="D810" s="11" t="s">
        <v>1515</v>
      </c>
      <c r="E810" s="11">
        <v>-1.0</v>
      </c>
      <c r="F810" s="11" t="s">
        <v>2281</v>
      </c>
    </row>
    <row r="811">
      <c r="A811" s="11">
        <v>-21.1110038757324</v>
      </c>
      <c r="B811" s="11">
        <v>-12.532751083374</v>
      </c>
      <c r="C811" s="11">
        <v>0.0</v>
      </c>
      <c r="D811" s="11" t="s">
        <v>1515</v>
      </c>
      <c r="E811" s="11">
        <v>0.0</v>
      </c>
      <c r="F811" s="11" t="s">
        <v>2283</v>
      </c>
    </row>
    <row r="812">
      <c r="A812" s="11">
        <v>42.7825584411621</v>
      </c>
      <c r="B812" s="11">
        <v>-4.59750795364379</v>
      </c>
      <c r="C812" s="11">
        <v>1.0</v>
      </c>
      <c r="D812" s="11" t="s">
        <v>1515</v>
      </c>
      <c r="E812" s="11">
        <v>1.0</v>
      </c>
      <c r="F812" s="11" t="s">
        <v>2285</v>
      </c>
    </row>
    <row r="813">
      <c r="A813" s="11">
        <v>1.54095160961151</v>
      </c>
      <c r="B813" s="11">
        <v>-15.591040611267</v>
      </c>
      <c r="C813" s="11">
        <v>0.0</v>
      </c>
      <c r="D813" s="11" t="s">
        <v>1515</v>
      </c>
      <c r="E813" s="11">
        <v>0.0</v>
      </c>
      <c r="F813" s="11" t="s">
        <v>2287</v>
      </c>
    </row>
    <row r="814">
      <c r="A814" s="11">
        <v>-30.7945079803466</v>
      </c>
      <c r="B814" s="11">
        <v>-15.5761804580688</v>
      </c>
      <c r="C814" s="11">
        <v>0.0</v>
      </c>
      <c r="D814" s="11" t="s">
        <v>1515</v>
      </c>
      <c r="E814" s="11">
        <v>0.0</v>
      </c>
      <c r="F814" s="11" t="s">
        <v>2290</v>
      </c>
    </row>
    <row r="815">
      <c r="A815" s="11">
        <v>-14.0201559066772</v>
      </c>
      <c r="B815" s="11">
        <v>9.18200016021728</v>
      </c>
      <c r="C815" s="11">
        <v>0.0</v>
      </c>
      <c r="D815" s="11" t="s">
        <v>1515</v>
      </c>
      <c r="E815" s="11">
        <v>0.0</v>
      </c>
      <c r="F815" s="11" t="s">
        <v>2293</v>
      </c>
    </row>
    <row r="816">
      <c r="A816" s="11">
        <v>-37.5312156677246</v>
      </c>
      <c r="B816" s="11">
        <v>37.6945686340332</v>
      </c>
      <c r="C816" s="11">
        <v>-2.0</v>
      </c>
      <c r="D816" s="11" t="s">
        <v>1515</v>
      </c>
      <c r="E816" s="11">
        <v>-2.0</v>
      </c>
      <c r="F816" s="11" t="s">
        <v>2295</v>
      </c>
    </row>
    <row r="817">
      <c r="A817" s="11">
        <v>-13.0922346115112</v>
      </c>
      <c r="B817" s="11">
        <v>5.4817509651184</v>
      </c>
      <c r="C817" s="11">
        <v>0.0</v>
      </c>
      <c r="D817" s="11" t="s">
        <v>1515</v>
      </c>
      <c r="E817" s="11">
        <v>0.0</v>
      </c>
      <c r="F817" s="11" t="s">
        <v>2297</v>
      </c>
    </row>
    <row r="818">
      <c r="A818" s="11">
        <v>-30.7422332763671</v>
      </c>
      <c r="B818" s="11">
        <v>19.6573543548584</v>
      </c>
      <c r="C818" s="11">
        <v>0.0</v>
      </c>
      <c r="D818" s="11" t="s">
        <v>1515</v>
      </c>
      <c r="E818" s="11">
        <v>0.0</v>
      </c>
      <c r="F818" s="11" t="s">
        <v>2299</v>
      </c>
    </row>
    <row r="819">
      <c r="A819" s="11">
        <v>39.9184341430664</v>
      </c>
      <c r="B819" s="11">
        <v>-18.9603195190429</v>
      </c>
      <c r="C819" s="11">
        <v>0.0</v>
      </c>
      <c r="D819" s="11" t="s">
        <v>1515</v>
      </c>
      <c r="E819" s="11">
        <v>0.0</v>
      </c>
      <c r="F819" s="11" t="s">
        <v>2302</v>
      </c>
    </row>
    <row r="820">
      <c r="A820" s="11">
        <v>-8.30073928833007</v>
      </c>
      <c r="B820" s="11">
        <v>-48.1007766723632</v>
      </c>
      <c r="C820" s="11">
        <v>0.0</v>
      </c>
      <c r="D820" s="11" t="s">
        <v>1515</v>
      </c>
      <c r="E820" s="11">
        <v>0.0</v>
      </c>
      <c r="F820" s="11" t="s">
        <v>2304</v>
      </c>
    </row>
    <row r="821">
      <c r="A821" s="11">
        <v>-18.5754165649414</v>
      </c>
      <c r="B821" s="11">
        <v>20.1090908050537</v>
      </c>
      <c r="C821" s="11">
        <v>0.0</v>
      </c>
      <c r="D821" s="11" t="s">
        <v>1515</v>
      </c>
      <c r="E821" s="11">
        <v>0.0</v>
      </c>
      <c r="F821" s="11" t="s">
        <v>2308</v>
      </c>
    </row>
    <row r="822">
      <c r="A822" s="11">
        <v>13.5541639328002</v>
      </c>
      <c r="B822" s="11">
        <v>-21.8754291534423</v>
      </c>
      <c r="C822" s="11">
        <v>0.0</v>
      </c>
      <c r="D822" s="11" t="s">
        <v>1515</v>
      </c>
      <c r="E822" s="11">
        <v>0.0</v>
      </c>
      <c r="F822" s="11" t="s">
        <v>2310</v>
      </c>
    </row>
    <row r="823">
      <c r="A823" s="11">
        <v>18.8875827789306</v>
      </c>
      <c r="B823" s="11">
        <v>-19.7653045654296</v>
      </c>
      <c r="C823" s="11">
        <v>0.0</v>
      </c>
      <c r="D823" s="11" t="s">
        <v>1515</v>
      </c>
      <c r="E823" s="11">
        <v>0.0</v>
      </c>
      <c r="F823" s="11" t="s">
        <v>2313</v>
      </c>
    </row>
    <row r="824">
      <c r="A824" s="11">
        <v>4.65452861785888</v>
      </c>
      <c r="B824" s="11">
        <v>-24.9674205780029</v>
      </c>
      <c r="C824" s="11">
        <v>0.0</v>
      </c>
      <c r="D824" s="11" t="s">
        <v>1515</v>
      </c>
      <c r="E824" s="11">
        <v>0.0</v>
      </c>
      <c r="F824" s="11" t="s">
        <v>2314</v>
      </c>
    </row>
    <row r="825">
      <c r="A825" s="11">
        <v>2.55736517906188</v>
      </c>
      <c r="B825" s="11">
        <v>0.472836971282959</v>
      </c>
      <c r="C825" s="11">
        <v>0.0</v>
      </c>
      <c r="D825" s="11" t="s">
        <v>1515</v>
      </c>
      <c r="E825" s="11">
        <v>0.0</v>
      </c>
      <c r="F825" s="11" t="s">
        <v>2316</v>
      </c>
    </row>
    <row r="826">
      <c r="A826" s="11">
        <v>-35.4331283569335</v>
      </c>
      <c r="B826" s="11">
        <v>8.2977590560913</v>
      </c>
      <c r="C826" s="11">
        <v>0.0</v>
      </c>
      <c r="D826" s="11" t="s">
        <v>1515</v>
      </c>
      <c r="E826" s="11">
        <v>0.0</v>
      </c>
      <c r="F826" s="11" t="s">
        <v>2318</v>
      </c>
    </row>
    <row r="827">
      <c r="A827" s="11">
        <v>33.9111099243164</v>
      </c>
      <c r="B827" s="11">
        <v>22.0035991668701</v>
      </c>
      <c r="C827" s="11">
        <v>2.0</v>
      </c>
      <c r="D827" s="11" t="s">
        <v>1515</v>
      </c>
      <c r="E827" s="11">
        <v>2.0</v>
      </c>
      <c r="F827" s="11" t="s">
        <v>2320</v>
      </c>
    </row>
    <row r="828">
      <c r="A828" s="11">
        <v>15.9136886596679</v>
      </c>
      <c r="B828" s="11">
        <v>-25.8781566619873</v>
      </c>
      <c r="C828" s="11">
        <v>0.0</v>
      </c>
      <c r="D828" s="11" t="s">
        <v>1515</v>
      </c>
      <c r="E828" s="11">
        <v>0.0</v>
      </c>
      <c r="F828" s="11" t="s">
        <v>2323</v>
      </c>
    </row>
    <row r="829">
      <c r="A829" s="11">
        <v>20.8965415954589</v>
      </c>
      <c r="B829" s="11">
        <v>-18.2132663726806</v>
      </c>
      <c r="C829" s="11">
        <v>0.0</v>
      </c>
      <c r="D829" s="11" t="s">
        <v>1515</v>
      </c>
      <c r="E829" s="11">
        <v>0.0</v>
      </c>
      <c r="F829" s="11" t="s">
        <v>2325</v>
      </c>
    </row>
    <row r="830">
      <c r="A830" s="11">
        <v>-19.1047267913818</v>
      </c>
      <c r="B830" s="11">
        <v>-6.87671089172363</v>
      </c>
      <c r="C830" s="11">
        <v>0.0</v>
      </c>
      <c r="D830" s="11" t="s">
        <v>1515</v>
      </c>
      <c r="E830" s="11">
        <v>0.0</v>
      </c>
      <c r="F830" s="11" t="s">
        <v>2327</v>
      </c>
    </row>
    <row r="831">
      <c r="A831" s="11">
        <v>-23.813455581665</v>
      </c>
      <c r="B831" s="11">
        <v>0.919220745563507</v>
      </c>
      <c r="C831" s="11">
        <v>0.0</v>
      </c>
      <c r="D831" s="11" t="s">
        <v>1515</v>
      </c>
      <c r="E831" s="11">
        <v>0.0</v>
      </c>
      <c r="F831" s="11" t="s">
        <v>2329</v>
      </c>
    </row>
    <row r="832">
      <c r="A832" s="11">
        <v>5.39353322982788</v>
      </c>
      <c r="B832" s="11">
        <v>-16.0941181182861</v>
      </c>
      <c r="C832" s="11">
        <v>0.0</v>
      </c>
      <c r="D832" s="11" t="s">
        <v>1515</v>
      </c>
      <c r="E832" s="11">
        <v>0.0</v>
      </c>
      <c r="F832" s="11" t="s">
        <v>2332</v>
      </c>
    </row>
    <row r="833">
      <c r="A833" s="11">
        <v>16.1027545928955</v>
      </c>
      <c r="B833" s="11">
        <v>-26.04270362854</v>
      </c>
      <c r="C833" s="11">
        <v>0.0</v>
      </c>
      <c r="D833" s="11" t="s">
        <v>1515</v>
      </c>
      <c r="E833" s="11">
        <v>0.0</v>
      </c>
      <c r="F833" s="11" t="s">
        <v>2335</v>
      </c>
    </row>
    <row r="834">
      <c r="A834" s="11">
        <v>-8.30073928833007</v>
      </c>
      <c r="B834" s="11">
        <v>-48.1007766723632</v>
      </c>
      <c r="C834" s="11">
        <v>0.0</v>
      </c>
      <c r="D834" s="11" t="s">
        <v>1515</v>
      </c>
      <c r="E834" s="11">
        <v>0.0</v>
      </c>
      <c r="F834" s="11" t="s">
        <v>2337</v>
      </c>
    </row>
    <row r="835">
      <c r="A835" s="11">
        <v>-37.6036796569824</v>
      </c>
      <c r="B835" s="11">
        <v>33.3389892578125</v>
      </c>
      <c r="C835" s="11">
        <v>0.0</v>
      </c>
      <c r="D835" s="11" t="s">
        <v>1515</v>
      </c>
      <c r="E835" s="11">
        <v>0.0</v>
      </c>
      <c r="F835" s="11" t="s">
        <v>2339</v>
      </c>
    </row>
    <row r="836">
      <c r="A836" s="11">
        <v>13.0663394927978</v>
      </c>
      <c r="B836" s="11">
        <v>-12.1392984390258</v>
      </c>
      <c r="C836" s="11">
        <v>0.0</v>
      </c>
      <c r="D836" s="11" t="s">
        <v>1515</v>
      </c>
      <c r="E836" s="11">
        <v>0.0</v>
      </c>
      <c r="F836" s="11" t="s">
        <v>2341</v>
      </c>
    </row>
    <row r="837">
      <c r="A837" s="11">
        <v>-12.131194114685</v>
      </c>
      <c r="B837" s="11">
        <v>-10.1421365737915</v>
      </c>
      <c r="C837" s="11">
        <v>0.0</v>
      </c>
      <c r="D837" s="11" t="s">
        <v>1515</v>
      </c>
      <c r="E837" s="11">
        <v>0.0</v>
      </c>
      <c r="F837" s="11" t="s">
        <v>2344</v>
      </c>
    </row>
    <row r="838">
      <c r="A838" s="11">
        <v>-4.94922018051147</v>
      </c>
      <c r="B838" s="11">
        <v>-8.97262859344482</v>
      </c>
      <c r="C838" s="11">
        <v>0.0</v>
      </c>
      <c r="D838" s="11" t="s">
        <v>1515</v>
      </c>
      <c r="E838" s="11">
        <v>0.0</v>
      </c>
      <c r="F838" s="11" t="s">
        <v>2346</v>
      </c>
    </row>
    <row r="839">
      <c r="A839" s="11">
        <v>44.1197166442871</v>
      </c>
      <c r="B839" s="11">
        <v>-4.58196401596069</v>
      </c>
      <c r="C839" s="11">
        <v>1.0</v>
      </c>
      <c r="D839" s="11" t="s">
        <v>1515</v>
      </c>
      <c r="E839" s="11">
        <v>1.0</v>
      </c>
      <c r="F839" s="11" t="s">
        <v>2348</v>
      </c>
    </row>
    <row r="840">
      <c r="A840" s="11">
        <v>-19.5955486297607</v>
      </c>
      <c r="B840" s="11">
        <v>16.9114418029785</v>
      </c>
      <c r="C840" s="11">
        <v>0.0</v>
      </c>
      <c r="D840" s="11" t="s">
        <v>1515</v>
      </c>
      <c r="E840" s="11">
        <v>0.0</v>
      </c>
      <c r="F840" s="11" t="s">
        <v>2351</v>
      </c>
    </row>
    <row r="841">
      <c r="A841" s="11">
        <v>42.6278343200683</v>
      </c>
      <c r="B841" s="11">
        <v>-10.996389389038</v>
      </c>
      <c r="C841" s="11">
        <v>0.0</v>
      </c>
      <c r="D841" s="11" t="s">
        <v>1515</v>
      </c>
      <c r="E841" s="11">
        <v>0.0</v>
      </c>
      <c r="F841" s="11" t="s">
        <v>2353</v>
      </c>
    </row>
    <row r="842">
      <c r="A842" s="11">
        <v>-9.9093017578125</v>
      </c>
      <c r="B842" s="11">
        <v>-12.8977317810058</v>
      </c>
      <c r="C842" s="11">
        <v>0.0</v>
      </c>
      <c r="D842" s="11" t="s">
        <v>1515</v>
      </c>
      <c r="E842" s="11">
        <v>0.0</v>
      </c>
      <c r="F842" s="11" t="s">
        <v>2355</v>
      </c>
    </row>
    <row r="843">
      <c r="A843" s="11">
        <v>40.6956825256347</v>
      </c>
      <c r="B843" s="11">
        <v>-12.5688247680664</v>
      </c>
      <c r="C843" s="11">
        <v>0.0</v>
      </c>
      <c r="D843" s="11" t="s">
        <v>1515</v>
      </c>
      <c r="E843" s="11">
        <v>0.0</v>
      </c>
      <c r="F843" s="11" t="s">
        <v>2358</v>
      </c>
    </row>
    <row r="844">
      <c r="A844" s="11">
        <v>43.7888984680175</v>
      </c>
      <c r="B844" s="11">
        <v>-7.73876285552978</v>
      </c>
      <c r="C844" s="11">
        <v>0.0</v>
      </c>
      <c r="D844" s="11" t="s">
        <v>1515</v>
      </c>
      <c r="E844" s="11">
        <v>0.0</v>
      </c>
      <c r="F844" s="11" t="s">
        <v>2360</v>
      </c>
    </row>
    <row r="845">
      <c r="A845" s="11">
        <v>-1.31963598728179</v>
      </c>
      <c r="B845" s="11">
        <v>-19.6183795928955</v>
      </c>
      <c r="C845" s="11">
        <v>0.0</v>
      </c>
      <c r="D845" s="11" t="s">
        <v>1515</v>
      </c>
      <c r="E845" s="11">
        <v>0.0</v>
      </c>
      <c r="F845" s="11" t="s">
        <v>2362</v>
      </c>
    </row>
    <row r="846">
      <c r="A846" s="11">
        <v>-7.52184009552001</v>
      </c>
      <c r="B846" s="11">
        <v>-49.9041175842285</v>
      </c>
      <c r="C846" s="11">
        <v>-1.0</v>
      </c>
      <c r="D846" s="11" t="s">
        <v>1515</v>
      </c>
      <c r="E846" s="11">
        <v>-1.0</v>
      </c>
      <c r="F846" s="11" t="s">
        <v>2364</v>
      </c>
    </row>
    <row r="847">
      <c r="A847" s="11">
        <v>16.6608276367187</v>
      </c>
      <c r="B847" s="11">
        <v>-21.6359500885009</v>
      </c>
      <c r="C847" s="11">
        <v>0.0</v>
      </c>
      <c r="D847" s="11" t="s">
        <v>1515</v>
      </c>
      <c r="E847" s="11">
        <v>0.0</v>
      </c>
      <c r="F847" s="11" t="s">
        <v>2366</v>
      </c>
    </row>
    <row r="848">
      <c r="A848" s="11">
        <v>-17.2089385986328</v>
      </c>
      <c r="B848" s="11">
        <v>10.1174726486206</v>
      </c>
      <c r="C848" s="11">
        <v>0.0</v>
      </c>
      <c r="D848" s="11" t="s">
        <v>1515</v>
      </c>
      <c r="E848" s="11">
        <v>0.0</v>
      </c>
      <c r="F848" s="11" t="s">
        <v>2368</v>
      </c>
    </row>
    <row r="849">
      <c r="A849" s="11">
        <v>-21.2159538269042</v>
      </c>
      <c r="B849" s="11">
        <v>-9.68911743164062</v>
      </c>
      <c r="C849" s="11">
        <v>0.0</v>
      </c>
      <c r="D849" s="11" t="s">
        <v>1515</v>
      </c>
      <c r="E849" s="11">
        <v>0.0</v>
      </c>
      <c r="F849" s="11" t="s">
        <v>2370</v>
      </c>
    </row>
    <row r="850">
      <c r="A850" s="11">
        <v>28.6765346527099</v>
      </c>
      <c r="B850" s="11">
        <v>-16.8219299316406</v>
      </c>
      <c r="C850" s="11">
        <v>0.0</v>
      </c>
      <c r="D850" s="11" t="s">
        <v>1515</v>
      </c>
      <c r="E850" s="11">
        <v>0.0</v>
      </c>
      <c r="F850" s="11" t="s">
        <v>2372</v>
      </c>
    </row>
    <row r="851">
      <c r="A851" s="11">
        <v>-37.9157981872558</v>
      </c>
      <c r="B851" s="11">
        <v>31.8608741760253</v>
      </c>
      <c r="C851" s="11">
        <v>-1.0</v>
      </c>
      <c r="D851" s="11" t="s">
        <v>1515</v>
      </c>
      <c r="E851" s="11">
        <v>-1.0</v>
      </c>
      <c r="F851" s="11" t="s">
        <v>2503</v>
      </c>
    </row>
    <row r="852">
      <c r="A852" s="11">
        <v>34.0408287048339</v>
      </c>
      <c r="B852" s="11">
        <v>19.350435256958</v>
      </c>
      <c r="C852" s="11">
        <v>2.0</v>
      </c>
      <c r="D852" s="11" t="s">
        <v>1515</v>
      </c>
      <c r="E852" s="11">
        <v>2.0</v>
      </c>
      <c r="F852" s="11" t="s">
        <v>2374</v>
      </c>
    </row>
    <row r="853">
      <c r="A853" s="11">
        <v>-16.4922370910644</v>
      </c>
      <c r="B853" s="11">
        <v>-10.2921628952026</v>
      </c>
      <c r="C853" s="11">
        <v>0.0</v>
      </c>
      <c r="D853" s="11" t="s">
        <v>1515</v>
      </c>
      <c r="E853" s="11">
        <v>0.0</v>
      </c>
      <c r="F853" s="11" t="s">
        <v>2376</v>
      </c>
    </row>
    <row r="854">
      <c r="A854" s="11">
        <v>-10.8050775527954</v>
      </c>
      <c r="B854" s="11">
        <v>-2.56604433059692</v>
      </c>
      <c r="C854" s="11">
        <v>0.0</v>
      </c>
      <c r="D854" s="11" t="s">
        <v>1515</v>
      </c>
      <c r="E854" s="11">
        <v>0.0</v>
      </c>
      <c r="F854" s="11" t="s">
        <v>2379</v>
      </c>
    </row>
    <row r="855">
      <c r="A855" s="11">
        <v>-8.63198852539062</v>
      </c>
      <c r="B855" s="11">
        <v>-13.8616409301757</v>
      </c>
      <c r="C855" s="11">
        <v>0.0</v>
      </c>
      <c r="D855" s="11" t="s">
        <v>1515</v>
      </c>
      <c r="E855" s="11">
        <v>0.0</v>
      </c>
      <c r="F855" s="11" t="s">
        <v>2381</v>
      </c>
    </row>
    <row r="856">
      <c r="A856" s="11">
        <v>-33.5292129516601</v>
      </c>
      <c r="B856" s="11">
        <v>-18.1213970184326</v>
      </c>
      <c r="C856" s="11">
        <v>0.0</v>
      </c>
      <c r="D856" s="11" t="s">
        <v>1515</v>
      </c>
      <c r="E856" s="11">
        <v>0.0</v>
      </c>
      <c r="F856" s="11" t="s">
        <v>2383</v>
      </c>
    </row>
    <row r="857">
      <c r="A857" s="11">
        <v>-14.1383581161499</v>
      </c>
      <c r="B857" s="11">
        <v>6.47243738174438</v>
      </c>
      <c r="C857" s="11">
        <v>0.0</v>
      </c>
      <c r="D857" s="11" t="s">
        <v>1515</v>
      </c>
      <c r="E857" s="11">
        <v>0.0</v>
      </c>
      <c r="F857" s="11" t="s">
        <v>2385</v>
      </c>
    </row>
    <row r="858">
      <c r="A858" s="11">
        <v>-6.60761785507202</v>
      </c>
      <c r="B858" s="11">
        <v>-13.6289176940917</v>
      </c>
      <c r="C858" s="11">
        <v>0.0</v>
      </c>
      <c r="D858" s="11" t="s">
        <v>1515</v>
      </c>
      <c r="E858" s="11">
        <v>0.0</v>
      </c>
      <c r="F858" s="11" t="s">
        <v>2387</v>
      </c>
    </row>
    <row r="859">
      <c r="A859" s="11">
        <v>-12.6325674057006</v>
      </c>
      <c r="B859" s="11">
        <v>13.8515586853027</v>
      </c>
      <c r="C859" s="11">
        <v>0.0</v>
      </c>
      <c r="D859" s="11" t="s">
        <v>1515</v>
      </c>
      <c r="E859" s="11">
        <v>0.0</v>
      </c>
      <c r="F859" s="11" t="s">
        <v>2389</v>
      </c>
    </row>
    <row r="860">
      <c r="A860" s="11">
        <v>-34.0465011596679</v>
      </c>
      <c r="B860" s="11">
        <v>10.4527587890625</v>
      </c>
      <c r="C860" s="11">
        <v>0.0</v>
      </c>
      <c r="D860" s="11" t="s">
        <v>1515</v>
      </c>
      <c r="E860" s="11">
        <v>0.0</v>
      </c>
      <c r="F860" s="11" t="s">
        <v>2391</v>
      </c>
    </row>
    <row r="861">
      <c r="A861" s="11">
        <v>26.1739978790283</v>
      </c>
      <c r="B861" s="11">
        <v>36.7817687988281</v>
      </c>
      <c r="C861" s="11">
        <v>2.0</v>
      </c>
      <c r="D861" s="11" t="s">
        <v>1515</v>
      </c>
      <c r="E861" s="11">
        <v>2.0</v>
      </c>
      <c r="F861" s="11" t="s">
        <v>2504</v>
      </c>
    </row>
    <row r="862">
      <c r="A862" s="11">
        <v>-34.8816299438476</v>
      </c>
      <c r="B862" s="11">
        <v>-14.2569332122802</v>
      </c>
      <c r="C862" s="11">
        <v>0.0</v>
      </c>
      <c r="D862" s="11" t="s">
        <v>1515</v>
      </c>
      <c r="E862" s="11">
        <v>0.0</v>
      </c>
      <c r="F862" s="11" t="s">
        <v>2393</v>
      </c>
    </row>
    <row r="863">
      <c r="A863" s="11">
        <v>-21.2067165374755</v>
      </c>
      <c r="B863" s="11">
        <v>-9.35029029846191</v>
      </c>
      <c r="C863" s="11">
        <v>0.0</v>
      </c>
      <c r="D863" s="11" t="s">
        <v>1515</v>
      </c>
      <c r="E863" s="11">
        <v>0.0</v>
      </c>
      <c r="F863" s="11" t="s">
        <v>2394</v>
      </c>
    </row>
    <row r="864">
      <c r="A864" s="11">
        <v>-31.7715377807617</v>
      </c>
      <c r="B864" s="11">
        <v>25.8171195983886</v>
      </c>
      <c r="C864" s="11">
        <v>-1.0</v>
      </c>
      <c r="D864" s="11" t="s">
        <v>1515</v>
      </c>
      <c r="E864" s="11">
        <v>-1.0</v>
      </c>
      <c r="F864" s="11" t="s">
        <v>2396</v>
      </c>
    </row>
    <row r="865">
      <c r="A865" s="11">
        <v>40.5623321533203</v>
      </c>
      <c r="B865" s="11">
        <v>-10.7784452438354</v>
      </c>
      <c r="C865" s="11">
        <v>0.0</v>
      </c>
      <c r="D865" s="11" t="s">
        <v>1515</v>
      </c>
      <c r="E865" s="11">
        <v>0.0</v>
      </c>
      <c r="F865" s="11" t="s">
        <v>2397</v>
      </c>
    </row>
    <row r="866">
      <c r="A866" s="11">
        <v>-29.8945064544677</v>
      </c>
      <c r="B866" s="11">
        <v>15.0616722106933</v>
      </c>
      <c r="C866" s="11">
        <v>0.0</v>
      </c>
      <c r="D866" s="11" t="s">
        <v>1515</v>
      </c>
      <c r="E866" s="11">
        <v>0.0</v>
      </c>
      <c r="F866" s="11" t="s">
        <v>2399</v>
      </c>
    </row>
    <row r="867">
      <c r="A867" s="11">
        <v>-29.7584609985351</v>
      </c>
      <c r="B867" s="11">
        <v>13.6262922286987</v>
      </c>
      <c r="C867" s="11">
        <v>0.0</v>
      </c>
      <c r="D867" s="11" t="s">
        <v>1515</v>
      </c>
      <c r="E867" s="11">
        <v>0.0</v>
      </c>
      <c r="F867" s="11" t="s">
        <v>2402</v>
      </c>
    </row>
    <row r="868">
      <c r="A868" s="11">
        <v>-35.2386512756347</v>
      </c>
      <c r="B868" s="11">
        <v>8.79179286956787</v>
      </c>
      <c r="C868" s="11">
        <v>0.0</v>
      </c>
      <c r="D868" s="11" t="s">
        <v>1515</v>
      </c>
      <c r="E868" s="11">
        <v>0.0</v>
      </c>
      <c r="F868" s="11" t="s">
        <v>2404</v>
      </c>
    </row>
    <row r="869">
      <c r="A869" s="11">
        <v>43.7888984680175</v>
      </c>
      <c r="B869" s="11">
        <v>-7.73876285552978</v>
      </c>
      <c r="C869" s="11">
        <v>0.0</v>
      </c>
      <c r="D869" s="11" t="s">
        <v>1515</v>
      </c>
      <c r="E869" s="11">
        <v>0.0</v>
      </c>
      <c r="F869" s="11" t="s">
        <v>2406</v>
      </c>
    </row>
    <row r="870">
      <c r="A870" s="11">
        <v>34.9696998596191</v>
      </c>
      <c r="B870" s="11">
        <v>19.3864116668701</v>
      </c>
      <c r="C870" s="11">
        <v>2.0</v>
      </c>
      <c r="D870" s="11" t="s">
        <v>1515</v>
      </c>
      <c r="E870" s="11">
        <v>2.0</v>
      </c>
      <c r="F870" s="11" t="s">
        <v>2409</v>
      </c>
    </row>
    <row r="871">
      <c r="A871" s="11">
        <v>-7.12081861495971</v>
      </c>
      <c r="B871" s="11">
        <v>-50.1622428894043</v>
      </c>
      <c r="C871" s="11">
        <v>0.0</v>
      </c>
      <c r="D871" s="11" t="s">
        <v>1515</v>
      </c>
      <c r="E871" s="11">
        <v>0.0</v>
      </c>
      <c r="F871" s="11" t="s">
        <v>2411</v>
      </c>
    </row>
    <row r="872">
      <c r="A872" s="11">
        <v>-37.5312156677246</v>
      </c>
      <c r="B872" s="11">
        <v>37.6945686340332</v>
      </c>
      <c r="C872" s="11">
        <v>-2.0</v>
      </c>
      <c r="D872" s="11" t="s">
        <v>1515</v>
      </c>
      <c r="E872" s="11">
        <v>-2.0</v>
      </c>
      <c r="F872" s="11" t="s">
        <v>2414</v>
      </c>
    </row>
    <row r="873">
      <c r="A873" s="11">
        <v>2.20182275772094</v>
      </c>
      <c r="B873" s="11">
        <v>0.471743106842041</v>
      </c>
      <c r="C873" s="11">
        <v>0.0</v>
      </c>
      <c r="D873" s="11" t="s">
        <v>1515</v>
      </c>
      <c r="E873" s="11">
        <v>0.0</v>
      </c>
      <c r="F873" s="11" t="s">
        <v>2417</v>
      </c>
    </row>
    <row r="874">
      <c r="A874" s="11">
        <v>-21.1220645904541</v>
      </c>
      <c r="B874" s="11">
        <v>-15.2527742385864</v>
      </c>
      <c r="C874" s="11">
        <v>0.0</v>
      </c>
      <c r="D874" s="11" t="s">
        <v>1515</v>
      </c>
      <c r="E874" s="11">
        <v>0.0</v>
      </c>
      <c r="F874" s="11" t="s">
        <v>2419</v>
      </c>
    </row>
    <row r="875">
      <c r="A875" s="11">
        <v>-10.2322788238525</v>
      </c>
      <c r="B875" s="11">
        <v>-13.0890855789184</v>
      </c>
      <c r="C875" s="11">
        <v>0.0</v>
      </c>
      <c r="D875" s="11" t="s">
        <v>1515</v>
      </c>
      <c r="E875" s="11">
        <v>0.0</v>
      </c>
      <c r="F875" s="11" t="s">
        <v>2421</v>
      </c>
    </row>
    <row r="876">
      <c r="A876" s="11">
        <v>-20.5474643707275</v>
      </c>
      <c r="B876" s="11">
        <v>22.5510196685791</v>
      </c>
      <c r="C876" s="11">
        <v>0.0</v>
      </c>
      <c r="D876" s="11" t="s">
        <v>1515</v>
      </c>
      <c r="E876" s="11">
        <v>0.0</v>
      </c>
      <c r="F876" s="11" t="s">
        <v>2424</v>
      </c>
    </row>
    <row r="877">
      <c r="A877" s="11">
        <v>-35.2076950073242</v>
      </c>
      <c r="B877" s="11">
        <v>7.81937599182128</v>
      </c>
      <c r="C877" s="11">
        <v>0.0</v>
      </c>
      <c r="D877" s="11" t="s">
        <v>1515</v>
      </c>
      <c r="E877" s="11">
        <v>0.0</v>
      </c>
      <c r="F877" s="11" t="s">
        <v>2425</v>
      </c>
    </row>
    <row r="878">
      <c r="A878" s="11">
        <v>-37.8559608459472</v>
      </c>
      <c r="B878" s="11">
        <v>31.8074569702148</v>
      </c>
      <c r="C878" s="11">
        <v>-1.0</v>
      </c>
      <c r="D878" s="11" t="s">
        <v>1515</v>
      </c>
      <c r="E878" s="11">
        <v>-1.0</v>
      </c>
      <c r="F878" s="11" t="s">
        <v>2532</v>
      </c>
    </row>
    <row r="879">
      <c r="A879" s="11">
        <v>40.3057632446289</v>
      </c>
      <c r="B879" s="11">
        <v>-18.6778030395507</v>
      </c>
      <c r="C879" s="11">
        <v>1.0</v>
      </c>
      <c r="D879" s="11" t="s">
        <v>1515</v>
      </c>
      <c r="E879" s="11">
        <v>1.0</v>
      </c>
      <c r="F879" s="11" t="s">
        <v>2427</v>
      </c>
    </row>
    <row r="880">
      <c r="A880" s="11">
        <v>43.7345085144043</v>
      </c>
      <c r="B880" s="11">
        <v>-7.85714673995971</v>
      </c>
      <c r="C880" s="11">
        <v>0.0</v>
      </c>
      <c r="D880" s="11" t="s">
        <v>1515</v>
      </c>
      <c r="E880" s="11">
        <v>0.0</v>
      </c>
      <c r="F880" s="11" t="s">
        <v>2429</v>
      </c>
    </row>
    <row r="881">
      <c r="A881" s="11">
        <v>-30.3205204010009</v>
      </c>
      <c r="B881" s="11">
        <v>19.2186470031738</v>
      </c>
      <c r="C881" s="11">
        <v>0.0</v>
      </c>
      <c r="D881" s="11" t="s">
        <v>1515</v>
      </c>
      <c r="E881" s="11">
        <v>0.0</v>
      </c>
      <c r="F881" s="11" t="s">
        <v>2431</v>
      </c>
    </row>
    <row r="882">
      <c r="A882" s="11">
        <v>-13.6897563934326</v>
      </c>
      <c r="B882" s="11">
        <v>9.24763393402099</v>
      </c>
      <c r="C882" s="11">
        <v>0.0</v>
      </c>
      <c r="D882" s="11" t="s">
        <v>1515</v>
      </c>
      <c r="E882" s="11">
        <v>0.0</v>
      </c>
      <c r="F882" s="11" t="s">
        <v>2433</v>
      </c>
    </row>
    <row r="883">
      <c r="A883" s="11">
        <v>-23.8288288116455</v>
      </c>
      <c r="B883" s="11">
        <v>1.2231285572052</v>
      </c>
      <c r="C883" s="11">
        <v>0.0</v>
      </c>
      <c r="D883" s="11" t="s">
        <v>1515</v>
      </c>
      <c r="E883" s="11">
        <v>0.0</v>
      </c>
      <c r="F883" s="11" t="s">
        <v>2435</v>
      </c>
    </row>
    <row r="884">
      <c r="A884" s="11">
        <v>-37.3448791503906</v>
      </c>
      <c r="B884" s="11">
        <v>43.3434600830078</v>
      </c>
      <c r="C884" s="11">
        <v>-2.0</v>
      </c>
      <c r="D884" s="11" t="s">
        <v>2524</v>
      </c>
      <c r="E884" s="11">
        <v>-2.0</v>
      </c>
      <c r="F884" s="11" t="s">
        <v>2526</v>
      </c>
    </row>
    <row r="885">
      <c r="A885" s="11">
        <v>-37.3103408813476</v>
      </c>
      <c r="B885" s="11">
        <v>43.295783996582</v>
      </c>
      <c r="C885" s="11">
        <v>-2.0</v>
      </c>
      <c r="D885" s="11" t="s">
        <v>2524</v>
      </c>
      <c r="E885" s="11">
        <v>-2.0</v>
      </c>
      <c r="F885" s="11" t="s">
        <v>2530</v>
      </c>
    </row>
    <row r="886">
      <c r="A886" s="11">
        <v>-33.2917938232421</v>
      </c>
      <c r="B886" s="11">
        <v>41.9436874389648</v>
      </c>
      <c r="C886" s="11">
        <v>-2.0</v>
      </c>
      <c r="D886" s="11" t="s">
        <v>2524</v>
      </c>
      <c r="E886" s="11">
        <v>-2.0</v>
      </c>
      <c r="F886" s="11" t="s">
        <v>2534</v>
      </c>
    </row>
    <row r="887">
      <c r="A887" s="11">
        <v>41.9815559387207</v>
      </c>
      <c r="B887" s="11">
        <v>17.1583995819091</v>
      </c>
      <c r="C887" s="11">
        <v>2.0</v>
      </c>
      <c r="D887" s="11" t="s">
        <v>2524</v>
      </c>
      <c r="E887" s="11">
        <v>2.0</v>
      </c>
      <c r="F887" s="11" t="s">
        <v>2538</v>
      </c>
    </row>
    <row r="888">
      <c r="A888" s="11">
        <v>-36.1895790100097</v>
      </c>
      <c r="B888" s="11">
        <v>46.7244071960449</v>
      </c>
      <c r="C888" s="11">
        <v>-2.0</v>
      </c>
      <c r="D888" s="11" t="s">
        <v>2524</v>
      </c>
      <c r="E888" s="11">
        <v>-2.0</v>
      </c>
      <c r="F888" s="11" t="s">
        <v>2540</v>
      </c>
    </row>
    <row r="889">
      <c r="A889" s="11">
        <v>8.98216247558593</v>
      </c>
      <c r="B889" s="11">
        <v>-11.4626865386962</v>
      </c>
      <c r="C889" s="11">
        <v>0.0</v>
      </c>
      <c r="D889" s="11" t="s">
        <v>2524</v>
      </c>
      <c r="E889" s="11">
        <v>0.0</v>
      </c>
      <c r="F889" s="11" t="s">
        <v>2544</v>
      </c>
    </row>
    <row r="890">
      <c r="A890" s="11">
        <v>-37.5094146728515</v>
      </c>
      <c r="B890" s="11">
        <v>40.956485748291</v>
      </c>
      <c r="C890" s="11">
        <v>-2.0</v>
      </c>
      <c r="D890" s="11" t="s">
        <v>2524</v>
      </c>
      <c r="E890" s="11">
        <v>-2.0</v>
      </c>
      <c r="F890" s="11" t="s">
        <v>2547</v>
      </c>
    </row>
    <row r="891">
      <c r="A891" s="11">
        <v>-36.3369178771972</v>
      </c>
      <c r="B891" s="11">
        <v>46.8700065612793</v>
      </c>
      <c r="C891" s="11">
        <v>-2.0</v>
      </c>
      <c r="D891" s="11" t="s">
        <v>2524</v>
      </c>
      <c r="E891" s="11">
        <v>-2.0</v>
      </c>
      <c r="F891" s="11" t="s">
        <v>2551</v>
      </c>
    </row>
    <row r="892">
      <c r="A892" s="11">
        <v>-19.2937450408935</v>
      </c>
      <c r="B892" s="11">
        <v>22.0727462768554</v>
      </c>
      <c r="C892" s="11">
        <v>-1.0</v>
      </c>
      <c r="D892" s="11" t="s">
        <v>2524</v>
      </c>
      <c r="E892" s="11">
        <v>-1.0</v>
      </c>
      <c r="F892" s="11" t="s">
        <v>2555</v>
      </c>
    </row>
    <row r="893">
      <c r="A893" s="11">
        <v>38.2595977783203</v>
      </c>
      <c r="B893" s="11">
        <v>5.54732322692871</v>
      </c>
      <c r="C893" s="11">
        <v>1.0</v>
      </c>
      <c r="D893" s="11" t="s">
        <v>2524</v>
      </c>
      <c r="E893" s="11">
        <v>1.0</v>
      </c>
      <c r="F893" s="11" t="s">
        <v>2557</v>
      </c>
    </row>
    <row r="894">
      <c r="A894" s="11">
        <v>40.1166954040527</v>
      </c>
      <c r="B894" s="11">
        <v>7.79851102828979</v>
      </c>
      <c r="C894" s="11">
        <v>0.0</v>
      </c>
      <c r="D894" s="11" t="s">
        <v>2524</v>
      </c>
      <c r="E894" s="11">
        <v>0.0</v>
      </c>
      <c r="F894" s="11" t="s">
        <v>2558</v>
      </c>
    </row>
    <row r="895">
      <c r="A895" s="11">
        <v>-33.8585166931152</v>
      </c>
      <c r="B895" s="11">
        <v>43.5996475219726</v>
      </c>
      <c r="C895" s="11">
        <v>-2.0</v>
      </c>
      <c r="D895" s="11" t="s">
        <v>2524</v>
      </c>
      <c r="E895" s="11">
        <v>-2.0</v>
      </c>
      <c r="F895" s="11" t="s">
        <v>2559</v>
      </c>
    </row>
    <row r="896">
      <c r="A896" s="11">
        <v>-36.4503898620605</v>
      </c>
      <c r="B896" s="11">
        <v>46.0683364868164</v>
      </c>
      <c r="C896" s="11">
        <v>-2.0</v>
      </c>
      <c r="D896" s="11" t="s">
        <v>2524</v>
      </c>
      <c r="E896" s="11">
        <v>-2.0</v>
      </c>
      <c r="F896" s="11" t="s">
        <v>2560</v>
      </c>
    </row>
    <row r="897">
      <c r="A897" s="11">
        <v>-38.8995246887207</v>
      </c>
      <c r="B897" s="11">
        <v>38.2829322814941</v>
      </c>
      <c r="C897" s="11">
        <v>-2.0</v>
      </c>
      <c r="D897" s="11" t="s">
        <v>2524</v>
      </c>
      <c r="E897" s="11">
        <v>-2.0</v>
      </c>
      <c r="F897" s="11" t="s">
        <v>2561</v>
      </c>
    </row>
    <row r="898">
      <c r="A898" s="11">
        <v>-32.5095787048339</v>
      </c>
      <c r="B898" s="11">
        <v>39.8686637878418</v>
      </c>
      <c r="C898" s="11">
        <v>-1.0</v>
      </c>
      <c r="D898" s="11" t="s">
        <v>2524</v>
      </c>
      <c r="E898" s="11">
        <v>-1.0</v>
      </c>
      <c r="F898" s="11" t="s">
        <v>2562</v>
      </c>
    </row>
    <row r="899">
      <c r="A899" s="11">
        <v>-33.0545272827148</v>
      </c>
      <c r="B899" s="11">
        <v>42.4281425476074</v>
      </c>
      <c r="C899" s="11">
        <v>-2.0</v>
      </c>
      <c r="D899" s="11" t="s">
        <v>2524</v>
      </c>
      <c r="E899" s="11">
        <v>-2.0</v>
      </c>
      <c r="F899" s="11" t="s">
        <v>2563</v>
      </c>
    </row>
    <row r="900">
      <c r="A900" s="11">
        <v>-37.6600189208984</v>
      </c>
      <c r="B900" s="11">
        <v>47.3406982421875</v>
      </c>
      <c r="C900" s="11">
        <v>-2.0</v>
      </c>
      <c r="D900" s="11" t="s">
        <v>2524</v>
      </c>
      <c r="E900" s="11">
        <v>-2.0</v>
      </c>
      <c r="F900" s="11" t="s">
        <v>2564</v>
      </c>
    </row>
    <row r="901">
      <c r="A901" s="11">
        <v>-32.5253715515136</v>
      </c>
      <c r="B901" s="11">
        <v>39.9877090454101</v>
      </c>
      <c r="C901" s="11">
        <v>-2.0</v>
      </c>
      <c r="D901" s="11" t="s">
        <v>2524</v>
      </c>
      <c r="E901" s="11">
        <v>-2.0</v>
      </c>
      <c r="F901" s="11" t="s">
        <v>2565</v>
      </c>
    </row>
    <row r="902">
      <c r="A902" s="11">
        <v>41.8612899780273</v>
      </c>
      <c r="B902" s="11">
        <v>16.9308052062988</v>
      </c>
      <c r="C902" s="11">
        <v>1.0</v>
      </c>
      <c r="D902" s="11" t="s">
        <v>2524</v>
      </c>
      <c r="E902" s="11">
        <v>1.0</v>
      </c>
      <c r="F902" s="11" t="s">
        <v>2566</v>
      </c>
    </row>
    <row r="903">
      <c r="A903" s="11">
        <v>39.4042854309082</v>
      </c>
      <c r="B903" s="11">
        <v>6.00592756271362</v>
      </c>
      <c r="C903" s="11">
        <v>1.0</v>
      </c>
      <c r="D903" s="11" t="s">
        <v>2524</v>
      </c>
      <c r="E903" s="11">
        <v>1.0</v>
      </c>
      <c r="F903" s="11" t="s">
        <v>2567</v>
      </c>
    </row>
    <row r="904">
      <c r="A904" s="11">
        <v>-32.7596092224121</v>
      </c>
      <c r="B904" s="11">
        <v>39.5639190673828</v>
      </c>
      <c r="C904" s="11">
        <v>-1.0</v>
      </c>
      <c r="D904" s="11" t="s">
        <v>2524</v>
      </c>
      <c r="E904" s="11">
        <v>-1.0</v>
      </c>
      <c r="F904" s="11" t="s">
        <v>2568</v>
      </c>
    </row>
    <row r="905">
      <c r="A905" s="11">
        <v>-37.825267791748</v>
      </c>
      <c r="B905" s="11">
        <v>34.7611541748046</v>
      </c>
      <c r="C905" s="11">
        <v>-1.0</v>
      </c>
      <c r="D905" s="11" t="s">
        <v>2524</v>
      </c>
      <c r="E905" s="11">
        <v>-1.0</v>
      </c>
      <c r="F905" s="11" t="s">
        <v>2569</v>
      </c>
    </row>
    <row r="906">
      <c r="A906" s="11">
        <v>-37.7976036071777</v>
      </c>
      <c r="B906" s="11">
        <v>38.8603782653808</v>
      </c>
      <c r="C906" s="11">
        <v>-2.0</v>
      </c>
      <c r="D906" s="11" t="s">
        <v>2524</v>
      </c>
      <c r="E906" s="11">
        <v>-2.0</v>
      </c>
      <c r="F906" s="11" t="s">
        <v>2570</v>
      </c>
    </row>
    <row r="907">
      <c r="A907" s="11">
        <v>20.8143119812011</v>
      </c>
      <c r="B907" s="11">
        <v>-1.7890293598175</v>
      </c>
      <c r="C907" s="11">
        <v>0.0</v>
      </c>
      <c r="D907" s="11" t="s">
        <v>2524</v>
      </c>
      <c r="E907" s="11">
        <v>0.0</v>
      </c>
      <c r="F907" s="11" t="s">
        <v>2571</v>
      </c>
    </row>
    <row r="908">
      <c r="A908" s="11">
        <v>-33.7213249206543</v>
      </c>
      <c r="B908" s="11">
        <v>41.4688148498535</v>
      </c>
      <c r="C908" s="11">
        <v>-2.0</v>
      </c>
      <c r="D908" s="11" t="s">
        <v>2524</v>
      </c>
      <c r="E908" s="11">
        <v>-2.0</v>
      </c>
      <c r="F908" s="11" t="s">
        <v>2572</v>
      </c>
    </row>
    <row r="909">
      <c r="A909" s="11">
        <v>-33.7068061828613</v>
      </c>
      <c r="B909" s="11">
        <v>44.7343292236328</v>
      </c>
      <c r="C909" s="11">
        <v>-2.0</v>
      </c>
      <c r="D909" s="11" t="s">
        <v>2524</v>
      </c>
      <c r="E909" s="11">
        <v>-2.0</v>
      </c>
      <c r="F909" s="11" t="s">
        <v>2573</v>
      </c>
    </row>
    <row r="910">
      <c r="A910" s="11">
        <v>39.315200805664</v>
      </c>
      <c r="B910" s="11">
        <v>19.3429126739501</v>
      </c>
      <c r="C910" s="11">
        <v>2.0</v>
      </c>
      <c r="D910" s="11" t="s">
        <v>2524</v>
      </c>
      <c r="E910" s="11">
        <v>2.0</v>
      </c>
      <c r="F910" s="11" t="s">
        <v>2574</v>
      </c>
    </row>
    <row r="911">
      <c r="A911" s="11">
        <v>6.16495513916015</v>
      </c>
      <c r="B911" s="11">
        <v>2.43815398216247</v>
      </c>
      <c r="C911" s="11">
        <v>0.0</v>
      </c>
      <c r="D911" s="11" t="s">
        <v>2524</v>
      </c>
      <c r="E911" s="11">
        <v>0.0</v>
      </c>
      <c r="F911" s="11" t="s">
        <v>2575</v>
      </c>
    </row>
    <row r="912">
      <c r="A912" s="11">
        <v>-37.8510208129882</v>
      </c>
      <c r="B912" s="11">
        <v>35.7985458374023</v>
      </c>
      <c r="C912" s="11">
        <v>-1.0</v>
      </c>
      <c r="D912" s="11" t="s">
        <v>2524</v>
      </c>
      <c r="E912" s="11">
        <v>-1.0</v>
      </c>
      <c r="F912" s="11" t="s">
        <v>2576</v>
      </c>
    </row>
    <row r="913">
      <c r="A913" s="11">
        <v>4.50465965270996</v>
      </c>
      <c r="B913" s="11">
        <v>0.682991504669189</v>
      </c>
      <c r="C913" s="11">
        <v>0.0</v>
      </c>
      <c r="D913" s="11" t="s">
        <v>2524</v>
      </c>
      <c r="E913" s="11">
        <v>0.0</v>
      </c>
      <c r="F913" s="11" t="s">
        <v>2577</v>
      </c>
    </row>
    <row r="914">
      <c r="A914" s="11">
        <v>-36.8905372619628</v>
      </c>
      <c r="B914" s="11">
        <v>46.5960807800293</v>
      </c>
      <c r="C914" s="11">
        <v>-2.0</v>
      </c>
      <c r="D914" s="11" t="s">
        <v>2524</v>
      </c>
      <c r="E914" s="11">
        <v>-2.0</v>
      </c>
      <c r="F914" s="11" t="s">
        <v>2578</v>
      </c>
    </row>
    <row r="915">
      <c r="A915" s="11">
        <v>-32.1962852478027</v>
      </c>
      <c r="B915" s="11">
        <v>38.3286170959472</v>
      </c>
      <c r="C915" s="11">
        <v>-1.0</v>
      </c>
      <c r="D915" s="11" t="s">
        <v>2524</v>
      </c>
      <c r="E915" s="11">
        <v>-1.0</v>
      </c>
      <c r="F915" s="11" t="s">
        <v>2579</v>
      </c>
    </row>
    <row r="916">
      <c r="A916" s="11">
        <v>13.3837518692016</v>
      </c>
      <c r="B916" s="11">
        <v>-35.5354537963867</v>
      </c>
      <c r="C916" s="11">
        <v>0.0</v>
      </c>
      <c r="D916" s="11" t="s">
        <v>2524</v>
      </c>
      <c r="E916" s="11">
        <v>0.0</v>
      </c>
      <c r="F916" s="11" t="s">
        <v>2580</v>
      </c>
    </row>
    <row r="917">
      <c r="A917" s="11">
        <v>-33.952293395996</v>
      </c>
      <c r="B917" s="11">
        <v>43.4293937683105</v>
      </c>
      <c r="C917" s="11">
        <v>-2.0</v>
      </c>
      <c r="D917" s="11" t="s">
        <v>2524</v>
      </c>
      <c r="E917" s="11">
        <v>-2.0</v>
      </c>
      <c r="F917" s="11" t="s">
        <v>2581</v>
      </c>
    </row>
    <row r="918">
      <c r="A918" s="11">
        <v>-37.200340270996</v>
      </c>
      <c r="B918" s="11">
        <v>44.6755447387695</v>
      </c>
      <c r="C918" s="11">
        <v>-2.0</v>
      </c>
      <c r="D918" s="11" t="s">
        <v>2524</v>
      </c>
      <c r="E918" s="11">
        <v>-2.0</v>
      </c>
      <c r="F918" s="11" t="s">
        <v>2582</v>
      </c>
    </row>
    <row r="919">
      <c r="A919" s="11">
        <v>-37.4265899658203</v>
      </c>
      <c r="B919" s="11">
        <v>44.2771301269531</v>
      </c>
      <c r="C919" s="11">
        <v>-2.0</v>
      </c>
      <c r="D919" s="11" t="s">
        <v>2524</v>
      </c>
      <c r="E919" s="11">
        <v>-2.0</v>
      </c>
      <c r="F919" s="11" t="s">
        <v>2583</v>
      </c>
    </row>
    <row r="920">
      <c r="A920" s="11">
        <v>-37.0908126831054</v>
      </c>
      <c r="B920" s="11">
        <v>46.035343170166</v>
      </c>
      <c r="C920" s="11">
        <v>-2.0</v>
      </c>
      <c r="D920" s="11" t="s">
        <v>2524</v>
      </c>
      <c r="E920" s="11">
        <v>-2.0</v>
      </c>
      <c r="F920" s="11" t="s">
        <v>2584</v>
      </c>
    </row>
    <row r="921">
      <c r="A921" s="11">
        <v>41.9195404052734</v>
      </c>
      <c r="B921" s="11">
        <v>16.9774093627929</v>
      </c>
      <c r="C921" s="11">
        <v>2.0</v>
      </c>
      <c r="D921" s="11" t="s">
        <v>2524</v>
      </c>
      <c r="E921" s="11">
        <v>2.0</v>
      </c>
      <c r="F921" s="11" t="s">
        <v>2585</v>
      </c>
    </row>
    <row r="922">
      <c r="A922" s="11">
        <v>-38.5098724365234</v>
      </c>
      <c r="B922" s="11">
        <v>38.806468963623</v>
      </c>
      <c r="C922" s="11">
        <v>-2.0</v>
      </c>
      <c r="D922" s="11" t="s">
        <v>2524</v>
      </c>
      <c r="E922" s="11">
        <v>-2.0</v>
      </c>
      <c r="F922" s="11" t="s">
        <v>2586</v>
      </c>
    </row>
    <row r="923">
      <c r="A923" s="11">
        <v>-35.9534873962402</v>
      </c>
      <c r="B923" s="11">
        <v>46.011619567871</v>
      </c>
      <c r="C923" s="11">
        <v>-2.0</v>
      </c>
      <c r="D923" s="11" t="s">
        <v>2524</v>
      </c>
      <c r="E923" s="11">
        <v>-2.0</v>
      </c>
      <c r="F923" s="11" t="s">
        <v>2587</v>
      </c>
    </row>
    <row r="924">
      <c r="A924" s="11">
        <v>39.9154090881347</v>
      </c>
      <c r="B924" s="11">
        <v>4.84451627731323</v>
      </c>
      <c r="C924" s="11">
        <v>1.0</v>
      </c>
      <c r="D924" s="11" t="s">
        <v>2524</v>
      </c>
      <c r="E924" s="11">
        <v>1.0</v>
      </c>
      <c r="F924" s="11" t="s">
        <v>2588</v>
      </c>
    </row>
    <row r="925">
      <c r="A925" s="11">
        <v>-37.1460380554199</v>
      </c>
      <c r="B925" s="11">
        <v>47.6568984985351</v>
      </c>
      <c r="C925" s="11">
        <v>-2.0</v>
      </c>
      <c r="D925" s="11" t="s">
        <v>2524</v>
      </c>
      <c r="E925" s="11">
        <v>-2.0</v>
      </c>
      <c r="F925" s="11" t="s">
        <v>2589</v>
      </c>
    </row>
    <row r="926">
      <c r="A926" s="11">
        <v>-33.2594146728515</v>
      </c>
      <c r="B926" s="11">
        <v>43.1496124267578</v>
      </c>
      <c r="C926" s="11">
        <v>-2.0</v>
      </c>
      <c r="D926" s="11" t="s">
        <v>2524</v>
      </c>
      <c r="E926" s="11">
        <v>-2.0</v>
      </c>
      <c r="F926" s="11" t="s">
        <v>2590</v>
      </c>
    </row>
    <row r="927">
      <c r="A927" s="11">
        <v>-36.8905372619628</v>
      </c>
      <c r="B927" s="11">
        <v>46.5960807800293</v>
      </c>
      <c r="C927" s="11">
        <v>-2.0</v>
      </c>
      <c r="D927" s="11" t="s">
        <v>2524</v>
      </c>
      <c r="E927" s="11">
        <v>-2.0</v>
      </c>
      <c r="F927" s="11" t="s">
        <v>2591</v>
      </c>
    </row>
    <row r="928">
      <c r="A928" s="11">
        <v>23.7498149871826</v>
      </c>
      <c r="B928" s="11">
        <v>6.25479745864868</v>
      </c>
      <c r="C928" s="11">
        <v>0.0</v>
      </c>
      <c r="D928" s="11" t="s">
        <v>2524</v>
      </c>
      <c r="E928" s="11">
        <v>0.0</v>
      </c>
      <c r="F928" s="11" t="s">
        <v>2592</v>
      </c>
    </row>
    <row r="929">
      <c r="A929" s="11">
        <v>-33.81099319458</v>
      </c>
      <c r="B929" s="11">
        <v>42.3295021057128</v>
      </c>
      <c r="C929" s="11">
        <v>-2.0</v>
      </c>
      <c r="D929" s="11" t="s">
        <v>2524</v>
      </c>
      <c r="E929" s="11">
        <v>-2.0</v>
      </c>
      <c r="F929" s="11" t="s">
        <v>2593</v>
      </c>
    </row>
    <row r="930">
      <c r="A930" s="11">
        <v>-37.825267791748</v>
      </c>
      <c r="B930" s="11">
        <v>34.7611541748046</v>
      </c>
      <c r="C930" s="11">
        <v>-1.0</v>
      </c>
      <c r="D930" s="11" t="s">
        <v>2524</v>
      </c>
      <c r="E930" s="11">
        <v>-1.0</v>
      </c>
      <c r="F930" s="11" t="s">
        <v>2594</v>
      </c>
    </row>
    <row r="931">
      <c r="A931" s="11">
        <v>40.144432067871</v>
      </c>
      <c r="B931" s="11">
        <v>7.87831020355224</v>
      </c>
      <c r="C931" s="11">
        <v>2.0</v>
      </c>
      <c r="D931" s="11" t="s">
        <v>2524</v>
      </c>
      <c r="E931" s="11">
        <v>2.0</v>
      </c>
      <c r="F931" s="11" t="s">
        <v>2595</v>
      </c>
    </row>
    <row r="932">
      <c r="A932" s="11">
        <v>6.17652511596679</v>
      </c>
      <c r="B932" s="11">
        <v>2.38844037055969</v>
      </c>
      <c r="C932" s="11">
        <v>0.0</v>
      </c>
      <c r="D932" s="11" t="s">
        <v>2524</v>
      </c>
      <c r="E932" s="11">
        <v>0.0</v>
      </c>
      <c r="F932" s="11" t="s">
        <v>2596</v>
      </c>
    </row>
    <row r="933">
      <c r="A933" s="11">
        <v>3.30621886253356</v>
      </c>
      <c r="B933" s="11">
        <v>-0.569797158241272</v>
      </c>
      <c r="C933" s="11">
        <v>0.0</v>
      </c>
      <c r="D933" s="11" t="s">
        <v>2524</v>
      </c>
      <c r="E933" s="11">
        <v>0.0</v>
      </c>
      <c r="F933" s="11" t="s">
        <v>2597</v>
      </c>
    </row>
    <row r="934">
      <c r="A934" s="11">
        <v>-34.226936340332</v>
      </c>
      <c r="B934" s="11">
        <v>42.8973197937011</v>
      </c>
      <c r="C934" s="11">
        <v>-2.0</v>
      </c>
      <c r="D934" s="11" t="s">
        <v>2524</v>
      </c>
      <c r="E934" s="11">
        <v>-2.0</v>
      </c>
      <c r="F934" s="11" t="s">
        <v>2598</v>
      </c>
    </row>
    <row r="935">
      <c r="A935" s="11">
        <v>13.4213056564331</v>
      </c>
      <c r="B935" s="11">
        <v>-35.5063018798828</v>
      </c>
      <c r="C935" s="11">
        <v>0.0</v>
      </c>
      <c r="D935" s="11" t="s">
        <v>2524</v>
      </c>
      <c r="E935" s="11">
        <v>0.0</v>
      </c>
      <c r="F935" s="11" t="s">
        <v>2599</v>
      </c>
    </row>
    <row r="936">
      <c r="A936" s="11">
        <v>-37.4745826721191</v>
      </c>
      <c r="B936" s="11">
        <v>42.6904640197753</v>
      </c>
      <c r="C936" s="11">
        <v>-2.0</v>
      </c>
      <c r="D936" s="11" t="s">
        <v>2524</v>
      </c>
      <c r="E936" s="11">
        <v>-2.0</v>
      </c>
      <c r="F936" s="11" t="s">
        <v>2600</v>
      </c>
    </row>
    <row r="937">
      <c r="A937" s="11">
        <v>-36.651195526123</v>
      </c>
      <c r="B937" s="11">
        <v>45.515022277832</v>
      </c>
      <c r="C937" s="11">
        <v>-2.0</v>
      </c>
      <c r="D937" s="11" t="s">
        <v>2524</v>
      </c>
      <c r="E937" s="11">
        <v>-2.0</v>
      </c>
      <c r="F937" s="11" t="s">
        <v>2517</v>
      </c>
    </row>
    <row r="938">
      <c r="A938" s="11">
        <v>28.8075046539306</v>
      </c>
      <c r="B938" s="11">
        <v>32.4600982666015</v>
      </c>
      <c r="C938" s="11">
        <v>2.0</v>
      </c>
      <c r="D938" s="11" t="s">
        <v>2524</v>
      </c>
      <c r="E938" s="11">
        <v>2.0</v>
      </c>
      <c r="F938" s="11" t="s">
        <v>2601</v>
      </c>
    </row>
    <row r="939">
      <c r="A939" s="11">
        <v>17.9268760681152</v>
      </c>
      <c r="B939" s="11">
        <v>-20.458381652832</v>
      </c>
      <c r="C939" s="11">
        <v>0.0</v>
      </c>
      <c r="D939" s="11" t="s">
        <v>2602</v>
      </c>
      <c r="E939" s="11">
        <v>0.0</v>
      </c>
      <c r="F939" s="11" t="s">
        <v>2603</v>
      </c>
    </row>
    <row r="940">
      <c r="A940" s="11">
        <v>39.2533302307128</v>
      </c>
      <c r="B940" s="11">
        <v>4.79971265792846</v>
      </c>
      <c r="C940" s="11">
        <v>1.0</v>
      </c>
      <c r="D940" s="11" t="s">
        <v>2602</v>
      </c>
      <c r="E940" s="11">
        <v>1.0</v>
      </c>
      <c r="F940" s="11" t="s">
        <v>2604</v>
      </c>
    </row>
    <row r="941">
      <c r="A941" s="11">
        <v>-9.46499347686767</v>
      </c>
      <c r="B941" s="11">
        <v>-11.6641654968261</v>
      </c>
      <c r="C941" s="11">
        <v>0.0</v>
      </c>
      <c r="D941" s="11" t="s">
        <v>2602</v>
      </c>
      <c r="E941" s="11">
        <v>0.0</v>
      </c>
      <c r="F941" s="11" t="s">
        <v>2605</v>
      </c>
    </row>
    <row r="942">
      <c r="A942" s="11">
        <v>38.909381866455</v>
      </c>
      <c r="B942" s="11">
        <v>6.13951349258422</v>
      </c>
      <c r="C942" s="11">
        <v>1.0</v>
      </c>
      <c r="D942" s="11" t="s">
        <v>2602</v>
      </c>
      <c r="E942" s="11">
        <v>1.0</v>
      </c>
      <c r="F942" s="11" t="s">
        <v>2606</v>
      </c>
    </row>
    <row r="943">
      <c r="A943" s="11">
        <v>40.1619186401367</v>
      </c>
      <c r="B943" s="11">
        <v>6.29300642013549</v>
      </c>
      <c r="C943" s="11">
        <v>2.0</v>
      </c>
      <c r="D943" s="11" t="s">
        <v>2602</v>
      </c>
      <c r="E943" s="11">
        <v>2.0</v>
      </c>
      <c r="F943" s="11" t="s">
        <v>2607</v>
      </c>
    </row>
    <row r="944">
      <c r="A944" s="11">
        <v>17.0502223968505</v>
      </c>
      <c r="B944" s="11">
        <v>7.6043701171875</v>
      </c>
      <c r="C944" s="11">
        <v>0.0</v>
      </c>
      <c r="D944" s="11" t="s">
        <v>2602</v>
      </c>
      <c r="E944" s="11">
        <v>0.0</v>
      </c>
      <c r="F944" s="11" t="s">
        <v>2608</v>
      </c>
    </row>
    <row r="945">
      <c r="A945" s="11">
        <v>36.1226196289062</v>
      </c>
      <c r="B945" s="11">
        <v>1.61080479621887</v>
      </c>
      <c r="C945" s="11">
        <v>0.0</v>
      </c>
      <c r="D945" s="11" t="s">
        <v>2602</v>
      </c>
      <c r="E945" s="11">
        <v>0.0</v>
      </c>
      <c r="F945" s="11" t="s">
        <v>2609</v>
      </c>
    </row>
    <row r="946">
      <c r="A946" s="11">
        <v>36.1226196289062</v>
      </c>
      <c r="B946" s="11">
        <v>1.61080479621887</v>
      </c>
      <c r="C946" s="11">
        <v>0.0</v>
      </c>
      <c r="D946" s="11" t="s">
        <v>2602</v>
      </c>
      <c r="E946" s="11">
        <v>0.0</v>
      </c>
      <c r="F946" s="11" t="s">
        <v>2610</v>
      </c>
    </row>
    <row r="947">
      <c r="A947" s="11">
        <v>9.58618831634521</v>
      </c>
      <c r="B947" s="11">
        <v>-11.1978759765625</v>
      </c>
      <c r="C947" s="11">
        <v>0.0</v>
      </c>
      <c r="D947" s="11" t="s">
        <v>2602</v>
      </c>
      <c r="E947" s="11">
        <v>0.0</v>
      </c>
      <c r="F947" s="11" t="s">
        <v>2611</v>
      </c>
    </row>
    <row r="948">
      <c r="A948" s="11">
        <v>38.0383796691894</v>
      </c>
      <c r="B948" s="11">
        <v>-1.37743711471557</v>
      </c>
      <c r="C948" s="11">
        <v>0.0</v>
      </c>
      <c r="D948" s="11" t="s">
        <v>2602</v>
      </c>
      <c r="E948" s="11">
        <v>0.0</v>
      </c>
      <c r="F948" s="11" t="s">
        <v>2612</v>
      </c>
    </row>
    <row r="949">
      <c r="A949" s="11">
        <v>39.2725982666015</v>
      </c>
      <c r="B949" s="11">
        <v>19.0572338104248</v>
      </c>
      <c r="C949" s="11">
        <v>2.0</v>
      </c>
      <c r="D949" s="11" t="s">
        <v>2602</v>
      </c>
      <c r="E949" s="11">
        <v>2.0</v>
      </c>
      <c r="F949" s="11" t="s">
        <v>2613</v>
      </c>
    </row>
    <row r="950">
      <c r="A950" s="11">
        <v>23.0930805206298</v>
      </c>
      <c r="B950" s="11">
        <v>6.35303544998168</v>
      </c>
      <c r="C950" s="11">
        <v>0.0</v>
      </c>
      <c r="D950" s="11" t="s">
        <v>2602</v>
      </c>
      <c r="E950" s="11">
        <v>0.0</v>
      </c>
      <c r="F950" s="11" t="s">
        <v>2614</v>
      </c>
    </row>
    <row r="951">
      <c r="A951" s="11">
        <v>40.6825637817382</v>
      </c>
      <c r="B951" s="11">
        <v>7.67345905303955</v>
      </c>
      <c r="C951" s="11">
        <v>2.0</v>
      </c>
      <c r="D951" s="11" t="s">
        <v>2602</v>
      </c>
      <c r="E951" s="11">
        <v>2.0</v>
      </c>
      <c r="F951" s="11" t="s">
        <v>2615</v>
      </c>
    </row>
    <row r="952">
      <c r="A952" s="11">
        <v>38.0041122436523</v>
      </c>
      <c r="B952" s="11">
        <v>2.97877812385559</v>
      </c>
      <c r="C952" s="11">
        <v>1.0</v>
      </c>
      <c r="D952" s="11" t="s">
        <v>2602</v>
      </c>
      <c r="E952" s="11">
        <v>1.0</v>
      </c>
      <c r="F952" s="11" t="s">
        <v>2616</v>
      </c>
    </row>
    <row r="953">
      <c r="A953" s="11">
        <v>38.5650444030761</v>
      </c>
      <c r="B953" s="11">
        <v>1.68185186386108</v>
      </c>
      <c r="C953" s="11">
        <v>1.0</v>
      </c>
      <c r="D953" s="11" t="s">
        <v>2602</v>
      </c>
      <c r="E953" s="11">
        <v>1.0</v>
      </c>
      <c r="F953" s="11" t="s">
        <v>2617</v>
      </c>
    </row>
    <row r="954">
      <c r="A954" s="11">
        <v>38.0383796691894</v>
      </c>
      <c r="B954" s="11">
        <v>-1.37743711471557</v>
      </c>
      <c r="C954" s="11">
        <v>0.0</v>
      </c>
      <c r="D954" s="11" t="s">
        <v>2602</v>
      </c>
      <c r="E954" s="11">
        <v>0.0</v>
      </c>
      <c r="F954" s="11" t="s">
        <v>2618</v>
      </c>
    </row>
    <row r="955">
      <c r="A955" s="11">
        <v>-33.0575904846191</v>
      </c>
      <c r="B955" s="11">
        <v>42.0819129943847</v>
      </c>
      <c r="C955" s="11">
        <v>-2.0</v>
      </c>
      <c r="D955" s="11" t="s">
        <v>2602</v>
      </c>
      <c r="E955" s="11">
        <v>-2.0</v>
      </c>
      <c r="F955" s="11" t="s">
        <v>2619</v>
      </c>
    </row>
    <row r="956">
      <c r="A956" s="11">
        <v>18.4214267730712</v>
      </c>
      <c r="B956" s="11">
        <v>-24.5230998992919</v>
      </c>
      <c r="C956" s="11">
        <v>0.0</v>
      </c>
      <c r="D956" s="11" t="s">
        <v>2602</v>
      </c>
      <c r="E956" s="11">
        <v>0.0</v>
      </c>
      <c r="F956" s="11" t="s">
        <v>2620</v>
      </c>
    </row>
    <row r="957">
      <c r="A957" s="11">
        <v>38.0210914611816</v>
      </c>
      <c r="B957" s="11">
        <v>3.02262377738952</v>
      </c>
      <c r="C957" s="11">
        <v>1.0</v>
      </c>
      <c r="D957" s="11" t="s">
        <v>2602</v>
      </c>
      <c r="E957" s="11">
        <v>1.0</v>
      </c>
      <c r="F957" s="11" t="s">
        <v>2621</v>
      </c>
    </row>
    <row r="958">
      <c r="A958" s="11">
        <v>41.887939453125</v>
      </c>
      <c r="B958" s="11">
        <v>16.9882984161376</v>
      </c>
      <c r="C958" s="11">
        <v>2.0</v>
      </c>
      <c r="D958" s="11" t="s">
        <v>2602</v>
      </c>
      <c r="E958" s="11">
        <v>2.0</v>
      </c>
      <c r="F958" s="11" t="s">
        <v>2622</v>
      </c>
    </row>
    <row r="959">
      <c r="A959" s="11">
        <v>40.1619186401367</v>
      </c>
      <c r="B959" s="11">
        <v>6.29300642013549</v>
      </c>
      <c r="C959" s="11">
        <v>1.0</v>
      </c>
      <c r="D959" s="11" t="s">
        <v>2602</v>
      </c>
      <c r="E959" s="11">
        <v>1.0</v>
      </c>
      <c r="F959" s="11" t="s">
        <v>2623</v>
      </c>
    </row>
    <row r="960">
      <c r="A960" s="11">
        <v>17.0502223968505</v>
      </c>
      <c r="B960" s="11">
        <v>7.6043701171875</v>
      </c>
      <c r="C960" s="11">
        <v>0.0</v>
      </c>
      <c r="D960" s="11" t="s">
        <v>2602</v>
      </c>
      <c r="E960" s="11">
        <v>0.0</v>
      </c>
      <c r="F960" s="11" t="s">
        <v>2624</v>
      </c>
    </row>
    <row r="961">
      <c r="A961" s="11">
        <v>13.8773355484008</v>
      </c>
      <c r="B961" s="11">
        <v>-12.5675344467163</v>
      </c>
      <c r="C961" s="11">
        <v>0.0</v>
      </c>
      <c r="D961" s="11" t="s">
        <v>2602</v>
      </c>
      <c r="E961" s="11">
        <v>0.0</v>
      </c>
      <c r="F961" s="11" t="s">
        <v>2625</v>
      </c>
    </row>
    <row r="962">
      <c r="A962" s="11">
        <v>36.4895095825195</v>
      </c>
      <c r="B962" s="11">
        <v>-1.27874541282653</v>
      </c>
      <c r="C962" s="11">
        <v>1.0</v>
      </c>
      <c r="D962" s="11" t="s">
        <v>2602</v>
      </c>
      <c r="E962" s="11">
        <v>1.0</v>
      </c>
      <c r="F962" s="11" t="s">
        <v>2626</v>
      </c>
    </row>
    <row r="963">
      <c r="A963" s="11">
        <v>40.1053009033203</v>
      </c>
      <c r="B963" s="11">
        <v>6.49097537994384</v>
      </c>
      <c r="C963" s="11">
        <v>1.0</v>
      </c>
      <c r="D963" s="11" t="s">
        <v>2602</v>
      </c>
      <c r="E963" s="11">
        <v>1.0</v>
      </c>
      <c r="F963" s="11" t="s">
        <v>2627</v>
      </c>
    </row>
    <row r="964">
      <c r="A964" s="11">
        <v>39.023567199707</v>
      </c>
      <c r="B964" s="11">
        <v>6.11706209182739</v>
      </c>
      <c r="C964" s="11">
        <v>1.0</v>
      </c>
      <c r="D964" s="11" t="s">
        <v>2602</v>
      </c>
      <c r="E964" s="11">
        <v>1.0</v>
      </c>
      <c r="F964" s="11" t="s">
        <v>2631</v>
      </c>
    </row>
    <row r="965">
      <c r="A965" s="11">
        <v>7.74538660049438</v>
      </c>
      <c r="B965" s="11">
        <v>-11.7301778793334</v>
      </c>
      <c r="C965" s="11">
        <v>0.0</v>
      </c>
      <c r="D965" s="11" t="s">
        <v>2602</v>
      </c>
      <c r="E965" s="11">
        <v>0.0</v>
      </c>
      <c r="F965" s="11" t="s">
        <v>2635</v>
      </c>
    </row>
    <row r="966">
      <c r="A966" s="11">
        <v>38.8355560302734</v>
      </c>
      <c r="B966" s="11">
        <v>-1.43776142597198</v>
      </c>
      <c r="C966" s="11">
        <v>1.0</v>
      </c>
      <c r="D966" s="11" t="s">
        <v>2602</v>
      </c>
      <c r="E966" s="11">
        <v>1.0</v>
      </c>
      <c r="F966" s="11" t="s">
        <v>2636</v>
      </c>
    </row>
    <row r="967">
      <c r="A967" s="11">
        <v>38.5650444030761</v>
      </c>
      <c r="B967" s="11">
        <v>1.68185186386108</v>
      </c>
      <c r="C967" s="11">
        <v>1.0</v>
      </c>
      <c r="D967" s="11" t="s">
        <v>2602</v>
      </c>
      <c r="E967" s="11">
        <v>1.0</v>
      </c>
      <c r="F967" s="11" t="s">
        <v>2637</v>
      </c>
    </row>
    <row r="968">
      <c r="A968" s="11">
        <v>39.384895324707</v>
      </c>
      <c r="B968" s="11">
        <v>5.17865419387817</v>
      </c>
      <c r="C968" s="11">
        <v>1.0</v>
      </c>
      <c r="D968" s="11" t="s">
        <v>2602</v>
      </c>
      <c r="E968" s="11">
        <v>1.0</v>
      </c>
      <c r="F968" s="11" t="s">
        <v>2638</v>
      </c>
    </row>
    <row r="969">
      <c r="A969" s="11">
        <v>40.4719657897949</v>
      </c>
      <c r="B969" s="11">
        <v>7.33566093444824</v>
      </c>
      <c r="C969" s="11">
        <v>1.0</v>
      </c>
      <c r="D969" s="11" t="s">
        <v>2602</v>
      </c>
      <c r="E969" s="11">
        <v>1.0</v>
      </c>
      <c r="F969" s="11" t="s">
        <v>2639</v>
      </c>
    </row>
    <row r="970">
      <c r="A970" s="11">
        <v>36.4895095825195</v>
      </c>
      <c r="B970" s="11">
        <v>-1.27874541282653</v>
      </c>
      <c r="C970" s="11">
        <v>0.0</v>
      </c>
      <c r="D970" s="11" t="s">
        <v>2602</v>
      </c>
      <c r="E970" s="11">
        <v>0.0</v>
      </c>
      <c r="F970" s="11" t="s">
        <v>2640</v>
      </c>
    </row>
    <row r="971">
      <c r="A971" s="11">
        <v>-4.57290887832641</v>
      </c>
      <c r="B971" s="11">
        <v>-19.5343112945556</v>
      </c>
      <c r="C971" s="11">
        <v>0.0</v>
      </c>
      <c r="D971" s="11" t="s">
        <v>1061</v>
      </c>
      <c r="E971" s="11">
        <v>0.0</v>
      </c>
      <c r="F971" s="11" t="s">
        <v>2641</v>
      </c>
    </row>
    <row r="972">
      <c r="A972" s="11">
        <v>-40.4859771728515</v>
      </c>
      <c r="B972" s="11">
        <v>-3.21662759780883</v>
      </c>
      <c r="C972" s="11">
        <v>0.0</v>
      </c>
      <c r="D972" s="11" t="s">
        <v>1061</v>
      </c>
      <c r="E972" s="11">
        <v>0.0</v>
      </c>
      <c r="F972" s="11" t="s">
        <v>2642</v>
      </c>
    </row>
    <row r="973">
      <c r="A973" s="11">
        <v>31.6959781646728</v>
      </c>
      <c r="B973" s="11">
        <v>26.624849319458</v>
      </c>
      <c r="C973" s="11">
        <v>2.0</v>
      </c>
      <c r="D973" s="11" t="s">
        <v>1061</v>
      </c>
      <c r="E973" s="11">
        <v>2.0</v>
      </c>
      <c r="F973" s="11" t="s">
        <v>2643</v>
      </c>
    </row>
    <row r="974">
      <c r="A974" s="11">
        <v>22.6136531829834</v>
      </c>
      <c r="B974" s="11">
        <v>-1.64401149749755</v>
      </c>
      <c r="C974" s="11">
        <v>0.0</v>
      </c>
      <c r="D974" s="11" t="s">
        <v>1061</v>
      </c>
      <c r="E974" s="11">
        <v>0.0</v>
      </c>
      <c r="F974" s="11" t="s">
        <v>2644</v>
      </c>
    </row>
    <row r="975">
      <c r="A975" s="11">
        <v>30.4467391967773</v>
      </c>
      <c r="B975" s="11">
        <v>27.6389083862304</v>
      </c>
      <c r="C975" s="11">
        <v>2.0</v>
      </c>
      <c r="D975" s="11" t="s">
        <v>1061</v>
      </c>
      <c r="E975" s="11">
        <v>2.0</v>
      </c>
      <c r="F975" s="11" t="s">
        <v>2645</v>
      </c>
    </row>
    <row r="976">
      <c r="A976" s="11">
        <v>-18.9665279388427</v>
      </c>
      <c r="B976" s="11">
        <v>12.8710947036743</v>
      </c>
      <c r="C976" s="11">
        <v>0.0</v>
      </c>
      <c r="D976" s="11" t="s">
        <v>1061</v>
      </c>
      <c r="E976" s="11">
        <v>0.0</v>
      </c>
      <c r="F976" s="11" t="s">
        <v>2646</v>
      </c>
    </row>
    <row r="977">
      <c r="A977" s="11">
        <v>40.9518432617187</v>
      </c>
      <c r="B977" s="11">
        <v>-17.2323741912841</v>
      </c>
      <c r="C977" s="11">
        <v>1.0</v>
      </c>
      <c r="D977" s="11" t="s">
        <v>1061</v>
      </c>
      <c r="E977" s="11">
        <v>1.0</v>
      </c>
      <c r="F977" s="11" t="s">
        <v>2647</v>
      </c>
    </row>
    <row r="978">
      <c r="A978" s="11">
        <v>-19.0011177062988</v>
      </c>
      <c r="B978" s="11">
        <v>12.4726791381835</v>
      </c>
      <c r="C978" s="11">
        <v>0.0</v>
      </c>
      <c r="D978" s="11" t="s">
        <v>1061</v>
      </c>
      <c r="E978" s="11">
        <v>0.0</v>
      </c>
      <c r="F978" s="11" t="s">
        <v>2648</v>
      </c>
    </row>
    <row r="979">
      <c r="A979" s="11">
        <v>-40.2449417114257</v>
      </c>
      <c r="B979" s="11">
        <v>-3.73229241371154</v>
      </c>
      <c r="C979" s="11">
        <v>0.0</v>
      </c>
      <c r="D979" s="11" t="s">
        <v>1061</v>
      </c>
      <c r="E979" s="11">
        <v>0.0</v>
      </c>
      <c r="F979" s="11" t="s">
        <v>2649</v>
      </c>
    </row>
    <row r="980">
      <c r="A980" s="11">
        <v>-18.4350872039794</v>
      </c>
      <c r="B980" s="11">
        <v>6.53202056884765</v>
      </c>
      <c r="C980" s="11">
        <v>0.0</v>
      </c>
      <c r="D980" s="11" t="s">
        <v>1061</v>
      </c>
      <c r="E980" s="11">
        <v>0.0</v>
      </c>
      <c r="F980" s="11" t="s">
        <v>2650</v>
      </c>
    </row>
    <row r="981">
      <c r="A981" s="11">
        <v>18.2120990753173</v>
      </c>
      <c r="B981" s="11">
        <v>-20.018268585205</v>
      </c>
      <c r="C981" s="11">
        <v>0.0</v>
      </c>
      <c r="D981" s="11" t="s">
        <v>1061</v>
      </c>
      <c r="E981" s="11">
        <v>0.0</v>
      </c>
      <c r="F981" s="11" t="s">
        <v>2651</v>
      </c>
    </row>
    <row r="982">
      <c r="A982" s="11">
        <v>9.97362899780273</v>
      </c>
      <c r="B982" s="11">
        <v>-37.2172088623046</v>
      </c>
      <c r="C982" s="11">
        <v>0.0</v>
      </c>
      <c r="D982" s="11" t="s">
        <v>1061</v>
      </c>
      <c r="E982" s="11">
        <v>0.0</v>
      </c>
      <c r="F982" s="11" t="s">
        <v>2652</v>
      </c>
    </row>
    <row r="983">
      <c r="A983" s="11">
        <v>23.0867557525634</v>
      </c>
      <c r="B983" s="11">
        <v>-5.20554733276367</v>
      </c>
      <c r="C983" s="11">
        <v>0.0</v>
      </c>
      <c r="D983" s="11" t="s">
        <v>1061</v>
      </c>
      <c r="E983" s="11">
        <v>0.0</v>
      </c>
      <c r="F983" s="11" t="s">
        <v>2653</v>
      </c>
    </row>
    <row r="984">
      <c r="A984" s="11">
        <v>34.1373138427734</v>
      </c>
      <c r="B984" s="11">
        <v>15.0728158950805</v>
      </c>
      <c r="C984" s="11">
        <v>2.0</v>
      </c>
      <c r="D984" s="11" t="s">
        <v>1061</v>
      </c>
      <c r="E984" s="11">
        <v>2.0</v>
      </c>
      <c r="F984" s="11" t="s">
        <v>2654</v>
      </c>
    </row>
    <row r="985">
      <c r="A985" s="11">
        <v>-41.4245719909668</v>
      </c>
      <c r="B985" s="11">
        <v>27.5745296478271</v>
      </c>
      <c r="C985" s="11">
        <v>0.0</v>
      </c>
      <c r="D985" s="11" t="s">
        <v>1061</v>
      </c>
      <c r="E985" s="11">
        <v>0.0</v>
      </c>
      <c r="F985" s="11" t="s">
        <v>2655</v>
      </c>
    </row>
    <row r="986">
      <c r="A986" s="11">
        <v>7.93106079101562</v>
      </c>
      <c r="B986" s="11">
        <v>-0.915090441703796</v>
      </c>
      <c r="C986" s="11">
        <v>0.0</v>
      </c>
      <c r="D986" s="11" t="s">
        <v>1061</v>
      </c>
      <c r="E986" s="11">
        <v>0.0</v>
      </c>
      <c r="F986" s="11" t="s">
        <v>2656</v>
      </c>
    </row>
    <row r="987">
      <c r="A987" s="11">
        <v>-39.4735984802246</v>
      </c>
      <c r="B987" s="11">
        <v>-7.15005731582641</v>
      </c>
      <c r="C987" s="11">
        <v>0.0</v>
      </c>
      <c r="D987" s="11" t="s">
        <v>1061</v>
      </c>
      <c r="E987" s="11">
        <v>0.0</v>
      </c>
      <c r="F987" s="11" t="s">
        <v>2657</v>
      </c>
    </row>
    <row r="988">
      <c r="A988" s="11">
        <v>-7.84211158752441</v>
      </c>
      <c r="B988" s="11">
        <v>-11.6064205169677</v>
      </c>
      <c r="C988" s="11">
        <v>0.0</v>
      </c>
      <c r="D988" s="11" t="s">
        <v>1061</v>
      </c>
      <c r="E988" s="11">
        <v>0.0</v>
      </c>
      <c r="F988" s="11" t="s">
        <v>2658</v>
      </c>
    </row>
    <row r="989">
      <c r="A989" s="11">
        <v>-33.2982063293457</v>
      </c>
      <c r="B989" s="11">
        <v>34.4534072875976</v>
      </c>
      <c r="C989" s="11">
        <v>-1.0</v>
      </c>
      <c r="D989" s="11" t="s">
        <v>1061</v>
      </c>
      <c r="E989" s="11">
        <v>-1.0</v>
      </c>
      <c r="F989" s="11" t="s">
        <v>2659</v>
      </c>
    </row>
    <row r="990">
      <c r="A990" s="11">
        <v>-18.7221717834472</v>
      </c>
      <c r="B990" s="11">
        <v>6.42818021774292</v>
      </c>
      <c r="C990" s="11">
        <v>0.0</v>
      </c>
      <c r="D990" s="11" t="s">
        <v>1061</v>
      </c>
      <c r="E990" s="11">
        <v>0.0</v>
      </c>
      <c r="F990" s="11" t="s">
        <v>2660</v>
      </c>
    </row>
    <row r="991">
      <c r="A991" s="11">
        <v>23.2861270904541</v>
      </c>
      <c r="B991" s="11">
        <v>30.7238521575927</v>
      </c>
      <c r="C991" s="11">
        <v>2.0</v>
      </c>
      <c r="D991" s="11" t="s">
        <v>1061</v>
      </c>
      <c r="E991" s="11">
        <v>2.0</v>
      </c>
      <c r="F991" s="11" t="s">
        <v>2661</v>
      </c>
    </row>
    <row r="992">
      <c r="A992" s="11">
        <v>-18.4148616790771</v>
      </c>
      <c r="B992" s="11">
        <v>6.52108001708984</v>
      </c>
      <c r="C992" s="11">
        <v>0.0</v>
      </c>
      <c r="D992" s="11" t="s">
        <v>1061</v>
      </c>
      <c r="E992" s="11">
        <v>0.0</v>
      </c>
      <c r="F992" s="11" t="s">
        <v>2662</v>
      </c>
    </row>
    <row r="993">
      <c r="A993" s="11">
        <v>9.9743480682373</v>
      </c>
      <c r="B993" s="11">
        <v>-37.2160301208496</v>
      </c>
      <c r="C993" s="11">
        <v>0.0</v>
      </c>
      <c r="D993" s="11" t="s">
        <v>1061</v>
      </c>
      <c r="E993" s="11">
        <v>0.0</v>
      </c>
      <c r="F993" s="11" t="s">
        <v>2663</v>
      </c>
    </row>
    <row r="994">
      <c r="A994" s="11">
        <v>-33.6763458251953</v>
      </c>
      <c r="B994" s="11">
        <v>28.4484024047851</v>
      </c>
      <c r="C994" s="11">
        <v>-1.0</v>
      </c>
      <c r="D994" s="11" t="s">
        <v>1061</v>
      </c>
      <c r="E994" s="11">
        <v>-1.0</v>
      </c>
      <c r="F994" s="11" t="s">
        <v>2664</v>
      </c>
    </row>
    <row r="995">
      <c r="A995" s="11">
        <v>-40.2449417114257</v>
      </c>
      <c r="B995" s="11">
        <v>-3.73229241371154</v>
      </c>
      <c r="C995" s="11">
        <v>0.0</v>
      </c>
      <c r="D995" s="11" t="s">
        <v>1061</v>
      </c>
      <c r="E995" s="11">
        <v>0.0</v>
      </c>
      <c r="F995" s="11" t="s">
        <v>2665</v>
      </c>
    </row>
    <row r="996">
      <c r="A996" s="11">
        <v>8.08229351043701</v>
      </c>
      <c r="B996" s="11">
        <v>-1.74192380905151</v>
      </c>
      <c r="C996" s="11">
        <v>0.0</v>
      </c>
      <c r="D996" s="11" t="s">
        <v>1061</v>
      </c>
      <c r="E996" s="11">
        <v>0.0</v>
      </c>
      <c r="F996" s="11" t="s">
        <v>2666</v>
      </c>
    </row>
    <row r="997">
      <c r="A997" s="11">
        <v>-40.2449417114257</v>
      </c>
      <c r="B997" s="11">
        <v>-3.73229241371154</v>
      </c>
      <c r="C997" s="11">
        <v>0.0</v>
      </c>
      <c r="D997" s="11" t="s">
        <v>1061</v>
      </c>
      <c r="E997" s="11">
        <v>0.0</v>
      </c>
      <c r="F997" s="11" t="s">
        <v>2667</v>
      </c>
    </row>
    <row r="998">
      <c r="A998" s="11">
        <v>-2.71639442443847</v>
      </c>
      <c r="B998" s="11">
        <v>-19.0289249420166</v>
      </c>
      <c r="C998" s="11">
        <v>0.0</v>
      </c>
      <c r="D998" s="11" t="s">
        <v>1061</v>
      </c>
      <c r="E998" s="11">
        <v>0.0</v>
      </c>
      <c r="F998" s="11" t="s">
        <v>2668</v>
      </c>
    </row>
    <row r="999">
      <c r="A999" s="11">
        <v>18.2407035827636</v>
      </c>
      <c r="B999" s="11">
        <v>-21.7577762603759</v>
      </c>
      <c r="C999" s="11">
        <v>0.0</v>
      </c>
      <c r="D999" s="11" t="s">
        <v>1061</v>
      </c>
      <c r="E999" s="11">
        <v>0.0</v>
      </c>
      <c r="F999" s="11" t="s">
        <v>2669</v>
      </c>
    </row>
    <row r="1000">
      <c r="A1000" s="11">
        <v>7.93106079101562</v>
      </c>
      <c r="B1000" s="11">
        <v>-0.915090441703796</v>
      </c>
      <c r="C1000" s="11">
        <v>0.0</v>
      </c>
      <c r="D1000" s="11" t="s">
        <v>1061</v>
      </c>
      <c r="E1000" s="11">
        <v>0.0</v>
      </c>
      <c r="F1000" s="11" t="s">
        <v>2670</v>
      </c>
    </row>
    <row r="1001">
      <c r="A1001" s="11">
        <v>40.9558715820312</v>
      </c>
      <c r="B1001" s="11">
        <v>-17.2293243408203</v>
      </c>
      <c r="C1001" s="11">
        <v>1.0</v>
      </c>
      <c r="D1001" s="11" t="s">
        <v>1061</v>
      </c>
      <c r="E1001" s="11">
        <v>1.0</v>
      </c>
      <c r="F1001" s="11" t="s">
        <v>2671</v>
      </c>
    </row>
    <row r="1002">
      <c r="A1002" s="11">
        <v>-41.1808700561523</v>
      </c>
      <c r="B1002" s="11">
        <v>27.7877044677734</v>
      </c>
      <c r="C1002" s="11">
        <v>0.0</v>
      </c>
      <c r="D1002" s="11" t="s">
        <v>1061</v>
      </c>
      <c r="E1002" s="11">
        <v>0.0</v>
      </c>
      <c r="F1002" s="11" t="s">
        <v>2672</v>
      </c>
    </row>
    <row r="1003">
      <c r="A1003" s="11">
        <v>-19.0011177062988</v>
      </c>
      <c r="B1003" s="11">
        <v>12.4726791381835</v>
      </c>
      <c r="C1003" s="11">
        <v>0.0</v>
      </c>
      <c r="D1003" s="11" t="s">
        <v>1061</v>
      </c>
      <c r="E1003" s="11">
        <v>0.0</v>
      </c>
      <c r="F1003" s="11" t="s">
        <v>2673</v>
      </c>
    </row>
    <row r="1004">
      <c r="A1004" s="11">
        <v>-40.4859771728515</v>
      </c>
      <c r="B1004" s="11">
        <v>-3.21662759780883</v>
      </c>
      <c r="C1004" s="11">
        <v>0.0</v>
      </c>
      <c r="D1004" s="11" t="s">
        <v>1061</v>
      </c>
      <c r="E1004" s="11">
        <v>0.0</v>
      </c>
      <c r="F1004" s="11" t="s">
        <v>2674</v>
      </c>
    </row>
    <row r="1005">
      <c r="A1005" s="11">
        <v>-39.0158081054687</v>
      </c>
      <c r="B1005" s="11">
        <v>30.1495304107666</v>
      </c>
      <c r="C1005" s="11">
        <v>0.0</v>
      </c>
      <c r="D1005" s="11" t="s">
        <v>1061</v>
      </c>
      <c r="E1005" s="11">
        <v>0.0</v>
      </c>
      <c r="F1005" s="11" t="s">
        <v>2675</v>
      </c>
    </row>
    <row r="1006">
      <c r="A1006" s="11">
        <v>-18.7297992706298</v>
      </c>
      <c r="B1006" s="11">
        <v>6.41657876968383</v>
      </c>
      <c r="C1006" s="11">
        <v>0.0</v>
      </c>
      <c r="D1006" s="11" t="s">
        <v>1061</v>
      </c>
      <c r="E1006" s="11">
        <v>0.0</v>
      </c>
      <c r="F1006" s="11" t="s">
        <v>2676</v>
      </c>
    </row>
    <row r="1007">
      <c r="A1007" s="11">
        <v>-41.1808700561523</v>
      </c>
      <c r="B1007" s="11">
        <v>27.7877044677734</v>
      </c>
      <c r="C1007" s="11">
        <v>0.0</v>
      </c>
      <c r="D1007" s="11" t="s">
        <v>1061</v>
      </c>
      <c r="E1007" s="11">
        <v>0.0</v>
      </c>
      <c r="F1007" s="11" t="s">
        <v>2677</v>
      </c>
    </row>
    <row r="1008">
      <c r="A1008" s="11">
        <v>-38.4458274841308</v>
      </c>
      <c r="B1008" s="11">
        <v>36.8021965026855</v>
      </c>
      <c r="C1008" s="11">
        <v>-1.0</v>
      </c>
      <c r="D1008" s="11" t="s">
        <v>1061</v>
      </c>
      <c r="E1008" s="11">
        <v>-1.0</v>
      </c>
      <c r="F1008" s="11" t="s">
        <v>2678</v>
      </c>
    </row>
    <row r="1009">
      <c r="A1009" s="11">
        <v>24.8485774993896</v>
      </c>
      <c r="B1009" s="11">
        <v>37.0830001831054</v>
      </c>
      <c r="C1009" s="11">
        <v>2.0</v>
      </c>
      <c r="D1009" s="11" t="s">
        <v>1061</v>
      </c>
      <c r="E1009" s="11">
        <v>2.0</v>
      </c>
      <c r="F1009" s="11" t="s">
        <v>2679</v>
      </c>
    </row>
    <row r="1010">
      <c r="A1010" s="11">
        <v>0.998586297035217</v>
      </c>
      <c r="B1010" s="11">
        <v>-15.4683656692504</v>
      </c>
      <c r="C1010" s="11">
        <v>0.0</v>
      </c>
      <c r="D1010" s="11" t="s">
        <v>1061</v>
      </c>
      <c r="E1010" s="11">
        <v>0.0</v>
      </c>
      <c r="F1010" s="11" t="s">
        <v>2680</v>
      </c>
    </row>
    <row r="1011">
      <c r="A1011" s="11">
        <v>30.590425491333</v>
      </c>
      <c r="B1011" s="11">
        <v>24.5858135223388</v>
      </c>
      <c r="C1011" s="11">
        <v>2.0</v>
      </c>
      <c r="D1011" s="11" t="s">
        <v>1061</v>
      </c>
      <c r="E1011" s="11">
        <v>2.0</v>
      </c>
      <c r="F1011" s="11" t="s">
        <v>2681</v>
      </c>
    </row>
    <row r="1012">
      <c r="A1012" s="11">
        <v>-40.0596961975097</v>
      </c>
      <c r="B1012" s="11">
        <v>-3.45573425292968</v>
      </c>
      <c r="C1012" s="11">
        <v>0.0</v>
      </c>
      <c r="D1012" s="11" t="s">
        <v>1061</v>
      </c>
      <c r="E1012" s="11">
        <v>0.0</v>
      </c>
      <c r="F1012" s="11" t="s">
        <v>2682</v>
      </c>
    </row>
    <row r="1013">
      <c r="A1013" s="11">
        <v>-40.7702903747558</v>
      </c>
      <c r="B1013" s="11">
        <v>4.0382924079895</v>
      </c>
      <c r="C1013" s="11">
        <v>-1.0</v>
      </c>
      <c r="D1013" s="11" t="s">
        <v>1061</v>
      </c>
      <c r="E1013" s="11">
        <v>-1.0</v>
      </c>
      <c r="F1013" s="11" t="s">
        <v>2683</v>
      </c>
    </row>
    <row r="1014">
      <c r="A1014" s="11">
        <v>8.06448173522949</v>
      </c>
      <c r="B1014" s="11">
        <v>-1.96826291084289</v>
      </c>
      <c r="C1014" s="11">
        <v>0.0</v>
      </c>
      <c r="D1014" s="11" t="s">
        <v>1061</v>
      </c>
      <c r="E1014" s="11">
        <v>0.0</v>
      </c>
      <c r="F1014" s="11" t="s">
        <v>2684</v>
      </c>
    </row>
    <row r="1015">
      <c r="A1015" s="11">
        <v>-12.7961769104003</v>
      </c>
      <c r="B1015" s="11">
        <v>8.50471401214599</v>
      </c>
      <c r="C1015" s="11">
        <v>0.0</v>
      </c>
      <c r="D1015" s="11" t="s">
        <v>1515</v>
      </c>
      <c r="E1015" s="11">
        <v>0.0</v>
      </c>
      <c r="F1015" s="11" t="s">
        <v>2685</v>
      </c>
    </row>
    <row r="1016">
      <c r="A1016" s="11">
        <v>38.8251571655273</v>
      </c>
      <c r="B1016" s="11">
        <v>-9.95238399505615</v>
      </c>
      <c r="C1016" s="11">
        <v>1.0</v>
      </c>
      <c r="D1016" s="11" t="s">
        <v>1515</v>
      </c>
      <c r="E1016" s="11">
        <v>1.0</v>
      </c>
      <c r="F1016" s="11" t="s">
        <v>2686</v>
      </c>
    </row>
    <row r="1017">
      <c r="A1017" s="11">
        <v>35.7323379516601</v>
      </c>
      <c r="B1017" s="11">
        <v>19.5005893707275</v>
      </c>
      <c r="C1017" s="11">
        <v>2.0</v>
      </c>
      <c r="D1017" s="11" t="s">
        <v>1515</v>
      </c>
      <c r="E1017" s="11">
        <v>2.0</v>
      </c>
      <c r="F1017" s="11" t="s">
        <v>2687</v>
      </c>
    </row>
    <row r="1018">
      <c r="A1018" s="11">
        <v>-30.6378345489501</v>
      </c>
      <c r="B1018" s="11">
        <v>21.8643035888671</v>
      </c>
      <c r="C1018" s="11">
        <v>0.0</v>
      </c>
      <c r="D1018" s="11" t="s">
        <v>1515</v>
      </c>
      <c r="E1018" s="11">
        <v>0.0</v>
      </c>
      <c r="F1018" s="11" t="s">
        <v>2688</v>
      </c>
    </row>
    <row r="1019">
      <c r="A1019" s="11">
        <v>38.8251571655273</v>
      </c>
      <c r="B1019" s="11">
        <v>-9.95238399505615</v>
      </c>
      <c r="C1019" s="11">
        <v>1.0</v>
      </c>
      <c r="D1019" s="11" t="s">
        <v>1515</v>
      </c>
      <c r="E1019" s="11">
        <v>1.0</v>
      </c>
      <c r="F1019" s="11" t="s">
        <v>2689</v>
      </c>
    </row>
    <row r="1020">
      <c r="A1020" s="11">
        <v>38.8251571655273</v>
      </c>
      <c r="B1020" s="11">
        <v>-9.95238399505615</v>
      </c>
      <c r="C1020" s="11">
        <v>1.0</v>
      </c>
      <c r="D1020" s="11" t="s">
        <v>1515</v>
      </c>
      <c r="E1020" s="11">
        <v>1.0</v>
      </c>
      <c r="F1020" s="11" t="s">
        <v>2690</v>
      </c>
    </row>
    <row r="1021">
      <c r="A1021" s="11">
        <v>-8.26139068603515</v>
      </c>
      <c r="B1021" s="11">
        <v>-49.7443504333496</v>
      </c>
      <c r="C1021" s="11">
        <v>0.0</v>
      </c>
      <c r="D1021" s="11" t="s">
        <v>1515</v>
      </c>
      <c r="E1021" s="11">
        <v>0.0</v>
      </c>
      <c r="F1021" s="11" t="s">
        <v>2691</v>
      </c>
    </row>
    <row r="1022">
      <c r="A1022" s="11">
        <v>-19.2072772979736</v>
      </c>
      <c r="B1022" s="11">
        <v>-16.0311737060546</v>
      </c>
      <c r="C1022" s="11">
        <v>0.0</v>
      </c>
      <c r="D1022" s="11" t="s">
        <v>1515</v>
      </c>
      <c r="E1022" s="11">
        <v>0.0</v>
      </c>
      <c r="F1022" s="11" t="s">
        <v>2692</v>
      </c>
    </row>
    <row r="1023">
      <c r="A1023" s="11">
        <v>-2.98630666732788</v>
      </c>
      <c r="B1023" s="11">
        <v>-15.9753284454345</v>
      </c>
      <c r="C1023" s="11">
        <v>0.0</v>
      </c>
      <c r="D1023" s="11" t="s">
        <v>1515</v>
      </c>
      <c r="E1023" s="11">
        <v>0.0</v>
      </c>
      <c r="F1023" s="11" t="s">
        <v>2693</v>
      </c>
    </row>
    <row r="1024">
      <c r="A1024" s="11">
        <v>-3.10820484161376</v>
      </c>
      <c r="B1024" s="11">
        <v>-15.8177871704101</v>
      </c>
      <c r="C1024" s="11">
        <v>0.0</v>
      </c>
      <c r="D1024" s="11" t="s">
        <v>1515</v>
      </c>
      <c r="E1024" s="11">
        <v>0.0</v>
      </c>
      <c r="F1024" s="11" t="s">
        <v>2694</v>
      </c>
    </row>
    <row r="1025">
      <c r="A1025" s="11">
        <v>34.4713859558105</v>
      </c>
      <c r="B1025" s="11">
        <v>-6.77836656570434</v>
      </c>
      <c r="C1025" s="11">
        <v>0.0</v>
      </c>
      <c r="D1025" s="11" t="s">
        <v>1515</v>
      </c>
      <c r="E1025" s="11">
        <v>0.0</v>
      </c>
      <c r="F1025" s="11" t="s">
        <v>2695</v>
      </c>
    </row>
    <row r="1026">
      <c r="A1026" s="11">
        <v>-7.53183269500732</v>
      </c>
      <c r="B1026" s="11">
        <v>-51.6292648315429</v>
      </c>
      <c r="C1026" s="11">
        <v>0.0</v>
      </c>
      <c r="D1026" s="11" t="s">
        <v>1515</v>
      </c>
      <c r="E1026" s="11">
        <v>0.0</v>
      </c>
      <c r="F1026" s="11" t="s">
        <v>2696</v>
      </c>
    </row>
    <row r="1027">
      <c r="A1027" s="11">
        <v>36.0746574401855</v>
      </c>
      <c r="B1027" s="11">
        <v>19.65230178833</v>
      </c>
      <c r="C1027" s="11">
        <v>2.0</v>
      </c>
      <c r="D1027" s="11" t="s">
        <v>1515</v>
      </c>
      <c r="E1027" s="11">
        <v>2.0</v>
      </c>
      <c r="F1027" s="11" t="s">
        <v>2697</v>
      </c>
    </row>
    <row r="1028">
      <c r="A1028" s="11">
        <v>-32.3632698059082</v>
      </c>
      <c r="B1028" s="11">
        <v>27.0681953430175</v>
      </c>
      <c r="C1028" s="11">
        <v>-1.0</v>
      </c>
      <c r="D1028" s="11" t="s">
        <v>1515</v>
      </c>
      <c r="E1028" s="11">
        <v>-1.0</v>
      </c>
      <c r="F1028" s="11" t="s">
        <v>2698</v>
      </c>
    </row>
    <row r="1029">
      <c r="A1029" s="11">
        <v>-34.6935348510742</v>
      </c>
      <c r="B1029" s="11">
        <v>-16.5714740753173</v>
      </c>
      <c r="C1029" s="11">
        <v>0.0</v>
      </c>
      <c r="D1029" s="11" t="s">
        <v>1515</v>
      </c>
      <c r="E1029" s="11">
        <v>0.0</v>
      </c>
      <c r="F1029" s="11" t="s">
        <v>2699</v>
      </c>
    </row>
    <row r="1030">
      <c r="A1030" s="11">
        <v>-4.54114294052124</v>
      </c>
      <c r="B1030" s="11">
        <v>-13.1881294250488</v>
      </c>
      <c r="C1030" s="11">
        <v>0.0</v>
      </c>
      <c r="D1030" s="11" t="s">
        <v>1515</v>
      </c>
      <c r="E1030" s="11">
        <v>0.0</v>
      </c>
      <c r="F1030" s="11" t="s">
        <v>2700</v>
      </c>
    </row>
    <row r="1031">
      <c r="A1031" s="11">
        <v>34.4713859558105</v>
      </c>
      <c r="B1031" s="11">
        <v>-6.77836656570434</v>
      </c>
      <c r="C1031" s="11">
        <v>0.0</v>
      </c>
      <c r="D1031" s="11" t="s">
        <v>1515</v>
      </c>
      <c r="E1031" s="11">
        <v>0.0</v>
      </c>
      <c r="F1031" s="11" t="s">
        <v>2701</v>
      </c>
    </row>
    <row r="1032">
      <c r="A1032" s="11">
        <v>35.0695877075195</v>
      </c>
      <c r="B1032" s="11">
        <v>21.2982940673828</v>
      </c>
      <c r="C1032" s="11">
        <v>2.0</v>
      </c>
      <c r="D1032" s="11" t="s">
        <v>1515</v>
      </c>
      <c r="E1032" s="11">
        <v>2.0</v>
      </c>
      <c r="F1032" s="11" t="s">
        <v>2702</v>
      </c>
    </row>
    <row r="1033">
      <c r="A1033" s="11">
        <v>34.7520446777343</v>
      </c>
      <c r="B1033" s="11">
        <v>-6.8777174949646</v>
      </c>
      <c r="C1033" s="11">
        <v>0.0</v>
      </c>
      <c r="D1033" s="11" t="s">
        <v>1515</v>
      </c>
      <c r="E1033" s="11">
        <v>0.0</v>
      </c>
      <c r="F1033" s="11" t="s">
        <v>2703</v>
      </c>
    </row>
    <row r="1034">
      <c r="A1034" s="11">
        <v>32.6605529785156</v>
      </c>
      <c r="B1034" s="11">
        <v>19.1194953918457</v>
      </c>
      <c r="C1034" s="11">
        <v>2.0</v>
      </c>
      <c r="D1034" s="11" t="s">
        <v>1515</v>
      </c>
      <c r="E1034" s="11">
        <v>2.0</v>
      </c>
      <c r="F1034" s="11" t="s">
        <v>2704</v>
      </c>
    </row>
    <row r="1035">
      <c r="A1035" s="11">
        <v>-6.99183702468872</v>
      </c>
      <c r="B1035" s="11">
        <v>-50.7714309692382</v>
      </c>
      <c r="C1035" s="11">
        <v>0.0</v>
      </c>
      <c r="D1035" s="11" t="s">
        <v>1515</v>
      </c>
      <c r="E1035" s="11">
        <v>0.0</v>
      </c>
      <c r="F1035" s="11" t="s">
        <v>2705</v>
      </c>
    </row>
    <row r="1036">
      <c r="A1036" s="11">
        <v>-34.6938934326171</v>
      </c>
      <c r="B1036" s="11">
        <v>-16.5722465515136</v>
      </c>
      <c r="C1036" s="11">
        <v>0.0</v>
      </c>
      <c r="D1036" s="11" t="s">
        <v>1515</v>
      </c>
      <c r="E1036" s="11">
        <v>0.0</v>
      </c>
      <c r="F1036" s="11" t="s">
        <v>2706</v>
      </c>
    </row>
    <row r="1037">
      <c r="A1037" s="11">
        <v>34.7520446777343</v>
      </c>
      <c r="B1037" s="11">
        <v>-6.8777174949646</v>
      </c>
      <c r="C1037" s="11">
        <v>0.0</v>
      </c>
      <c r="D1037" s="11" t="s">
        <v>1515</v>
      </c>
      <c r="E1037" s="11">
        <v>0.0</v>
      </c>
      <c r="F1037" s="11" t="s">
        <v>2707</v>
      </c>
    </row>
    <row r="1038">
      <c r="A1038" s="11">
        <v>-8.22972106933593</v>
      </c>
      <c r="B1038" s="11">
        <v>-52.0336723327636</v>
      </c>
      <c r="C1038" s="11">
        <v>0.0</v>
      </c>
      <c r="D1038" s="11" t="s">
        <v>1515</v>
      </c>
      <c r="E1038" s="11">
        <v>0.0</v>
      </c>
      <c r="F1038" s="11" t="s">
        <v>2708</v>
      </c>
    </row>
    <row r="1039">
      <c r="A1039" s="11">
        <v>-4.51411819458007</v>
      </c>
      <c r="B1039" s="11">
        <v>-13.1863536834716</v>
      </c>
      <c r="C1039" s="11">
        <v>0.0</v>
      </c>
      <c r="D1039" s="11" t="s">
        <v>1515</v>
      </c>
      <c r="E1039" s="11">
        <v>0.0</v>
      </c>
      <c r="F1039" s="11" t="s">
        <v>2709</v>
      </c>
    </row>
    <row r="1040">
      <c r="A1040" s="11">
        <v>16.8404865264892</v>
      </c>
      <c r="B1040" s="11">
        <v>-20.1244525909423</v>
      </c>
      <c r="C1040" s="11">
        <v>0.0</v>
      </c>
      <c r="D1040" s="11" t="s">
        <v>1515</v>
      </c>
      <c r="E1040" s="11">
        <v>0.0</v>
      </c>
      <c r="F1040" s="11" t="s">
        <v>2710</v>
      </c>
    </row>
    <row r="1041">
      <c r="A1041" s="11">
        <v>-34.3528022766113</v>
      </c>
      <c r="B1041" s="11">
        <v>-16.3863430023193</v>
      </c>
      <c r="C1041" s="11">
        <v>0.0</v>
      </c>
      <c r="D1041" s="11" t="s">
        <v>1515</v>
      </c>
      <c r="E1041" s="11">
        <v>0.0</v>
      </c>
      <c r="F1041" s="11" t="s">
        <v>2711</v>
      </c>
    </row>
    <row r="1042">
      <c r="A1042" s="11">
        <v>-15.6665630340576</v>
      </c>
      <c r="B1042" s="11">
        <v>10.0917901992797</v>
      </c>
      <c r="C1042" s="11">
        <v>0.0</v>
      </c>
      <c r="D1042" s="11" t="s">
        <v>1515</v>
      </c>
      <c r="E1042" s="11">
        <v>0.0</v>
      </c>
      <c r="F1042" s="11" t="s">
        <v>2712</v>
      </c>
    </row>
    <row r="1043">
      <c r="A1043" s="11">
        <v>40.1979713439941</v>
      </c>
      <c r="B1043" s="11">
        <v>-11.2708959579467</v>
      </c>
      <c r="C1043" s="11">
        <v>0.0</v>
      </c>
      <c r="D1043" s="11" t="s">
        <v>1515</v>
      </c>
      <c r="E1043" s="11">
        <v>0.0</v>
      </c>
      <c r="F1043" s="11" t="s">
        <v>2713</v>
      </c>
    </row>
    <row r="1044">
      <c r="A1044" s="11">
        <v>-34.265323638916</v>
      </c>
      <c r="B1044" s="11">
        <v>-15.9066581726074</v>
      </c>
      <c r="C1044" s="11">
        <v>0.0</v>
      </c>
      <c r="D1044" s="11" t="s">
        <v>1515</v>
      </c>
      <c r="E1044" s="11">
        <v>0.0</v>
      </c>
      <c r="F1044" s="11" t="s">
        <v>2714</v>
      </c>
    </row>
    <row r="1045">
      <c r="A1045" s="11">
        <v>-33.8910789489746</v>
      </c>
      <c r="B1045" s="11">
        <v>-16.3760623931884</v>
      </c>
      <c r="C1045" s="11">
        <v>0.0</v>
      </c>
      <c r="D1045" s="11" t="s">
        <v>1515</v>
      </c>
      <c r="E1045" s="11">
        <v>0.0</v>
      </c>
      <c r="F1045" s="11" t="s">
        <v>2715</v>
      </c>
    </row>
    <row r="1046">
      <c r="A1046" s="11">
        <v>38.8251571655273</v>
      </c>
      <c r="B1046" s="11">
        <v>-9.95238399505615</v>
      </c>
      <c r="C1046" s="11">
        <v>1.0</v>
      </c>
      <c r="D1046" s="11" t="s">
        <v>1515</v>
      </c>
      <c r="E1046" s="11">
        <v>1.0</v>
      </c>
      <c r="F1046" s="11" t="s">
        <v>2716</v>
      </c>
    </row>
    <row r="1047">
      <c r="A1047" s="11">
        <v>-31.0841541290283</v>
      </c>
      <c r="B1047" s="11">
        <v>-15.5178442001342</v>
      </c>
      <c r="C1047" s="11">
        <v>0.0</v>
      </c>
      <c r="D1047" s="11" t="s">
        <v>1515</v>
      </c>
      <c r="E1047" s="11">
        <v>0.0</v>
      </c>
      <c r="F1047" s="11" t="s">
        <v>2717</v>
      </c>
    </row>
    <row r="1048">
      <c r="A1048" s="11">
        <v>34.4713859558105</v>
      </c>
      <c r="B1048" s="11">
        <v>-6.77836656570434</v>
      </c>
      <c r="C1048" s="11">
        <v>0.0</v>
      </c>
      <c r="D1048" s="11" t="s">
        <v>1515</v>
      </c>
      <c r="E1048" s="11">
        <v>0.0</v>
      </c>
      <c r="F1048" s="11" t="s">
        <v>2718</v>
      </c>
    </row>
    <row r="1049">
      <c r="A1049" s="11">
        <v>-30.7945079803466</v>
      </c>
      <c r="B1049" s="11">
        <v>-15.5761804580688</v>
      </c>
      <c r="C1049" s="11">
        <v>0.0</v>
      </c>
      <c r="D1049" s="11" t="s">
        <v>1515</v>
      </c>
      <c r="E1049" s="11">
        <v>0.0</v>
      </c>
      <c r="F1049" s="11" t="s">
        <v>2719</v>
      </c>
    </row>
    <row r="1050">
      <c r="A1050" s="11">
        <v>-15.2301769256591</v>
      </c>
      <c r="B1050" s="11">
        <v>19.2935943603515</v>
      </c>
      <c r="C1050" s="11">
        <v>0.0</v>
      </c>
      <c r="D1050" s="11" t="s">
        <v>1515</v>
      </c>
      <c r="E1050" s="11">
        <v>0.0</v>
      </c>
      <c r="F1050" s="11" t="s">
        <v>2720</v>
      </c>
    </row>
    <row r="1051">
      <c r="A1051" s="11">
        <v>40.2410545349121</v>
      </c>
      <c r="B1051" s="11">
        <v>-11.912145614624</v>
      </c>
      <c r="C1051" s="11">
        <v>0.0</v>
      </c>
      <c r="D1051" s="11" t="s">
        <v>1515</v>
      </c>
      <c r="E1051" s="11">
        <v>0.0</v>
      </c>
      <c r="F1051" s="11" t="s">
        <v>2721</v>
      </c>
    </row>
    <row r="1052">
      <c r="A1052" s="11">
        <v>-19.3058338165283</v>
      </c>
      <c r="B1052" s="11">
        <v>1.55270016193389</v>
      </c>
      <c r="C1052" s="11">
        <v>0.0</v>
      </c>
      <c r="D1052" s="11" t="s">
        <v>1515</v>
      </c>
      <c r="E1052" s="11">
        <v>0.0</v>
      </c>
      <c r="F1052" s="11" t="s">
        <v>2722</v>
      </c>
    </row>
    <row r="1053">
      <c r="A1053" s="11">
        <v>34.35054397583</v>
      </c>
      <c r="B1053" s="11">
        <v>-7.04599332809448</v>
      </c>
      <c r="C1053" s="11">
        <v>0.0</v>
      </c>
      <c r="D1053" s="11" t="s">
        <v>1515</v>
      </c>
      <c r="E1053" s="11">
        <v>0.0</v>
      </c>
      <c r="F1053" s="11" t="s">
        <v>2723</v>
      </c>
    </row>
    <row r="1054">
      <c r="A1054" s="11">
        <v>28.0815296173095</v>
      </c>
      <c r="B1054" s="11">
        <v>-17.8354701995849</v>
      </c>
      <c r="C1054" s="11">
        <v>0.0</v>
      </c>
      <c r="D1054" s="11" t="s">
        <v>1515</v>
      </c>
      <c r="E1054" s="11">
        <v>0.0</v>
      </c>
      <c r="F1054" s="11" t="s">
        <v>2724</v>
      </c>
    </row>
    <row r="1055">
      <c r="A1055" s="11">
        <v>-34.265323638916</v>
      </c>
      <c r="B1055" s="11">
        <v>-15.9066581726074</v>
      </c>
      <c r="C1055" s="11">
        <v>0.0</v>
      </c>
      <c r="D1055" s="11" t="s">
        <v>1515</v>
      </c>
      <c r="E1055" s="11">
        <v>0.0</v>
      </c>
      <c r="F1055" s="11" t="s">
        <v>2725</v>
      </c>
    </row>
    <row r="1056">
      <c r="A1056" s="11">
        <v>36.1927528381347</v>
      </c>
      <c r="B1056" s="11">
        <v>20.1349544525146</v>
      </c>
      <c r="C1056" s="11">
        <v>2.0</v>
      </c>
      <c r="D1056" s="11" t="s">
        <v>1515</v>
      </c>
      <c r="E1056" s="11">
        <v>2.0</v>
      </c>
      <c r="F1056" s="11" t="s">
        <v>2726</v>
      </c>
    </row>
    <row r="1057">
      <c r="A1057" s="11">
        <v>26.0637187957763</v>
      </c>
      <c r="B1057" s="11">
        <v>38.7998428344726</v>
      </c>
      <c r="C1057" s="11">
        <v>2.0</v>
      </c>
      <c r="D1057" s="11" t="s">
        <v>1515</v>
      </c>
      <c r="E1057" s="11">
        <v>2.0</v>
      </c>
      <c r="F1057" s="11" t="s">
        <v>2727</v>
      </c>
    </row>
    <row r="1058">
      <c r="A1058" s="11">
        <v>-30.7947311401367</v>
      </c>
      <c r="B1058" s="11">
        <v>-15.5766696929931</v>
      </c>
      <c r="C1058" s="11">
        <v>0.0</v>
      </c>
      <c r="D1058" s="11" t="s">
        <v>1515</v>
      </c>
      <c r="E1058" s="11">
        <v>0.0</v>
      </c>
      <c r="F1058" s="11" t="s">
        <v>2728</v>
      </c>
    </row>
    <row r="1059">
      <c r="A1059" s="11">
        <v>3.43905591964721</v>
      </c>
      <c r="B1059" s="11">
        <v>-19.14693069458</v>
      </c>
      <c r="C1059" s="11">
        <v>0.0</v>
      </c>
      <c r="D1059" s="11" t="s">
        <v>1515</v>
      </c>
      <c r="E1059" s="11">
        <v>0.0</v>
      </c>
      <c r="F1059" s="11" t="s">
        <v>2729</v>
      </c>
    </row>
    <row r="1060">
      <c r="A1060" s="11">
        <v>37.20796585083</v>
      </c>
      <c r="B1060" s="11">
        <v>17.0525646209716</v>
      </c>
      <c r="C1060" s="11">
        <v>2.0</v>
      </c>
      <c r="D1060" s="11" t="s">
        <v>1515</v>
      </c>
      <c r="E1060" s="11">
        <v>2.0</v>
      </c>
      <c r="F1060" s="11" t="s">
        <v>2730</v>
      </c>
    </row>
    <row r="1061">
      <c r="A1061" s="11">
        <v>-7.48316621780395</v>
      </c>
      <c r="B1061" s="11">
        <v>-50.7805252075195</v>
      </c>
      <c r="C1061" s="11">
        <v>0.0</v>
      </c>
      <c r="D1061" s="11" t="s">
        <v>1515</v>
      </c>
      <c r="E1061" s="11">
        <v>0.0</v>
      </c>
      <c r="F1061" s="11" t="s">
        <v>2731</v>
      </c>
    </row>
    <row r="1062">
      <c r="A1062" s="11">
        <v>-36.8725395202636</v>
      </c>
      <c r="B1062" s="11">
        <v>44.2147598266601</v>
      </c>
      <c r="C1062" s="11">
        <v>-2.0</v>
      </c>
      <c r="D1062" s="11" t="s">
        <v>2524</v>
      </c>
      <c r="E1062" s="11">
        <v>-2.0</v>
      </c>
      <c r="F1062" s="11" t="s">
        <v>2732</v>
      </c>
    </row>
    <row r="1063">
      <c r="A1063" s="11">
        <v>-35.3565254211425</v>
      </c>
      <c r="B1063" s="11">
        <v>43.9983177185058</v>
      </c>
      <c r="C1063" s="11">
        <v>-2.0</v>
      </c>
      <c r="D1063" s="11" t="s">
        <v>2524</v>
      </c>
      <c r="E1063" s="11">
        <v>-2.0</v>
      </c>
      <c r="F1063" s="11" t="s">
        <v>2733</v>
      </c>
    </row>
    <row r="1064">
      <c r="A1064" s="11">
        <v>36.495548248291</v>
      </c>
      <c r="B1064" s="11">
        <v>12.4783487319946</v>
      </c>
      <c r="C1064" s="11">
        <v>1.0</v>
      </c>
      <c r="D1064" s="11" t="s">
        <v>2524</v>
      </c>
      <c r="E1064" s="11">
        <v>1.0</v>
      </c>
      <c r="F1064" s="11" t="s">
        <v>2734</v>
      </c>
    </row>
    <row r="1065">
      <c r="A1065" s="11">
        <v>-33.2021369934082</v>
      </c>
      <c r="B1065" s="11">
        <v>39.7659187316894</v>
      </c>
      <c r="C1065" s="11">
        <v>-1.0</v>
      </c>
      <c r="D1065" s="11" t="s">
        <v>2524</v>
      </c>
      <c r="E1065" s="11">
        <v>-1.0</v>
      </c>
      <c r="F1065" s="11" t="s">
        <v>2735</v>
      </c>
    </row>
    <row r="1066">
      <c r="A1066" s="11">
        <v>23.0710144042968</v>
      </c>
      <c r="B1066" s="11">
        <v>6.35554265975952</v>
      </c>
      <c r="C1066" s="11">
        <v>0.0</v>
      </c>
      <c r="D1066" s="11" t="s">
        <v>2602</v>
      </c>
      <c r="E1066" s="11">
        <v>0.0</v>
      </c>
      <c r="F1066" s="11" t="s">
        <v>2736</v>
      </c>
    </row>
    <row r="1067">
      <c r="A1067" s="11">
        <v>38.0210914611816</v>
      </c>
      <c r="B1067" s="11">
        <v>3.02262377738952</v>
      </c>
      <c r="C1067" s="11">
        <v>1.0</v>
      </c>
      <c r="D1067" s="11" t="s">
        <v>2602</v>
      </c>
      <c r="E1067" s="11">
        <v>1.0</v>
      </c>
      <c r="F1067" s="11" t="s">
        <v>2737</v>
      </c>
    </row>
    <row r="1068">
      <c r="A1068" s="11">
        <v>20.7338008880615</v>
      </c>
      <c r="B1068" s="11">
        <v>5.57830715179443</v>
      </c>
      <c r="C1068" s="11">
        <v>0.0</v>
      </c>
      <c r="D1068" s="11" t="s">
        <v>2602</v>
      </c>
      <c r="E1068" s="11">
        <v>0.0</v>
      </c>
      <c r="F1068" s="11" t="s">
        <v>2739</v>
      </c>
    </row>
    <row r="1069">
      <c r="A1069" s="11">
        <v>36.4670753479003</v>
      </c>
      <c r="B1069" s="11">
        <v>-1.28931617736816</v>
      </c>
      <c r="C1069" s="11">
        <v>0.0</v>
      </c>
      <c r="D1069" s="11" t="s">
        <v>2602</v>
      </c>
      <c r="E1069" s="11">
        <v>0.0</v>
      </c>
      <c r="F1069" s="11" t="s">
        <v>2741</v>
      </c>
    </row>
    <row r="1070">
      <c r="A1070" s="11">
        <v>-33.7525177001953</v>
      </c>
      <c r="B1070" s="11">
        <v>8.83338737487793</v>
      </c>
      <c r="C1070" s="11">
        <v>0.0</v>
      </c>
      <c r="D1070" s="11" t="s">
        <v>1061</v>
      </c>
      <c r="E1070" s="11">
        <v>0.0</v>
      </c>
      <c r="F1070" s="11" t="s">
        <v>2743</v>
      </c>
    </row>
    <row r="1071">
      <c r="A1071" s="11">
        <v>-40.9368934631347</v>
      </c>
      <c r="B1071" s="11">
        <v>33.8405532836914</v>
      </c>
      <c r="C1071" s="11">
        <v>-1.0</v>
      </c>
      <c r="D1071" s="11" t="s">
        <v>1061</v>
      </c>
      <c r="E1071" s="11">
        <v>-1.0</v>
      </c>
      <c r="F1071" s="11" t="s">
        <v>2744</v>
      </c>
    </row>
    <row r="1072">
      <c r="A1072" s="11">
        <v>-7.25722503662109</v>
      </c>
      <c r="B1072" s="11">
        <v>-17.3090476989746</v>
      </c>
      <c r="C1072" s="11">
        <v>0.0</v>
      </c>
      <c r="D1072" s="11" t="s">
        <v>1061</v>
      </c>
      <c r="E1072" s="11">
        <v>0.0</v>
      </c>
      <c r="F1072" s="11" t="s">
        <v>2745</v>
      </c>
    </row>
    <row r="1073">
      <c r="A1073" s="11">
        <v>-36.9833030700683</v>
      </c>
      <c r="B1073" s="11">
        <v>-15.8038234710693</v>
      </c>
      <c r="C1073" s="11">
        <v>0.0</v>
      </c>
      <c r="D1073" s="11" t="s">
        <v>1061</v>
      </c>
      <c r="E1073" s="11">
        <v>0.0</v>
      </c>
      <c r="F1073" s="11" t="s">
        <v>2746</v>
      </c>
    </row>
    <row r="1074">
      <c r="A1074" s="11">
        <v>-39.9662437438964</v>
      </c>
      <c r="B1074" s="11">
        <v>34.6645431518554</v>
      </c>
      <c r="C1074" s="11">
        <v>0.0</v>
      </c>
      <c r="D1074" s="11" t="s">
        <v>1061</v>
      </c>
      <c r="E1074" s="11">
        <v>0.0</v>
      </c>
      <c r="F1074" s="11" t="s">
        <v>2747</v>
      </c>
    </row>
    <row r="1075">
      <c r="A1075" s="11">
        <v>-19.132469177246</v>
      </c>
      <c r="B1075" s="11">
        <v>15.6041793823242</v>
      </c>
      <c r="C1075" s="11">
        <v>0.0</v>
      </c>
      <c r="D1075" s="11" t="s">
        <v>1061</v>
      </c>
      <c r="E1075" s="11">
        <v>0.0</v>
      </c>
      <c r="F1075" s="11" t="s">
        <v>2748</v>
      </c>
    </row>
    <row r="1076">
      <c r="A1076" s="11">
        <v>-33.7525177001953</v>
      </c>
      <c r="B1076" s="11">
        <v>8.83338737487793</v>
      </c>
      <c r="C1076" s="11">
        <v>0.0</v>
      </c>
      <c r="D1076" s="11" t="s">
        <v>1061</v>
      </c>
      <c r="E1076" s="11">
        <v>0.0</v>
      </c>
      <c r="F1076" s="11" t="s">
        <v>2749</v>
      </c>
    </row>
    <row r="1077">
      <c r="A1077" s="11">
        <v>-6.63208103179931</v>
      </c>
      <c r="B1077" s="11">
        <v>-17.3975467681884</v>
      </c>
      <c r="C1077" s="11">
        <v>0.0</v>
      </c>
      <c r="D1077" s="11" t="s">
        <v>1061</v>
      </c>
      <c r="E1077" s="11">
        <v>0.0</v>
      </c>
      <c r="F1077" s="11" t="s">
        <v>2750</v>
      </c>
    </row>
    <row r="1078">
      <c r="A1078" s="11">
        <v>8.70267868041992</v>
      </c>
      <c r="B1078" s="11">
        <v>-17.739273071289</v>
      </c>
      <c r="C1078" s="11">
        <v>0.0</v>
      </c>
      <c r="D1078" s="11" t="s">
        <v>1061</v>
      </c>
      <c r="E1078" s="11">
        <v>0.0</v>
      </c>
      <c r="F1078" s="11" t="s">
        <v>2751</v>
      </c>
    </row>
    <row r="1079">
      <c r="A1079" s="11">
        <v>-39.6123428344726</v>
      </c>
      <c r="B1079" s="11">
        <v>34.4849014282226</v>
      </c>
      <c r="C1079" s="11">
        <v>0.0</v>
      </c>
      <c r="D1079" s="11" t="s">
        <v>1061</v>
      </c>
      <c r="E1079" s="11">
        <v>0.0</v>
      </c>
      <c r="F1079" s="11" t="s">
        <v>2752</v>
      </c>
    </row>
    <row r="1080">
      <c r="A1080" s="11">
        <v>-6.63208103179931</v>
      </c>
      <c r="B1080" s="11">
        <v>-17.3975467681884</v>
      </c>
      <c r="C1080" s="11">
        <v>0.0</v>
      </c>
      <c r="D1080" s="11" t="s">
        <v>1061</v>
      </c>
      <c r="E1080" s="11">
        <v>0.0</v>
      </c>
      <c r="F1080" s="11" t="s">
        <v>2753</v>
      </c>
    </row>
    <row r="1081">
      <c r="A1081" s="11">
        <v>-36.5728378295898</v>
      </c>
      <c r="B1081" s="11">
        <v>-16.0353736877441</v>
      </c>
      <c r="C1081" s="11">
        <v>0.0</v>
      </c>
      <c r="D1081" s="11" t="s">
        <v>1061</v>
      </c>
      <c r="E1081" s="11">
        <v>0.0</v>
      </c>
      <c r="F1081" s="11" t="s">
        <v>2754</v>
      </c>
    </row>
    <row r="1082">
      <c r="A1082" s="11">
        <v>-33.2982063293457</v>
      </c>
      <c r="B1082" s="11">
        <v>34.4534072875976</v>
      </c>
      <c r="C1082" s="11">
        <v>-1.0</v>
      </c>
      <c r="D1082" s="11" t="s">
        <v>1061</v>
      </c>
      <c r="E1082" s="11">
        <v>-1.0</v>
      </c>
      <c r="F1082" s="11" t="s">
        <v>2755</v>
      </c>
    </row>
    <row r="1083">
      <c r="A1083" s="11">
        <v>-8.35009574890136</v>
      </c>
      <c r="B1083" s="11">
        <v>-8.8130235671997</v>
      </c>
      <c r="C1083" s="11">
        <v>0.0</v>
      </c>
      <c r="D1083" s="11" t="s">
        <v>1061</v>
      </c>
      <c r="E1083" s="11">
        <v>0.0</v>
      </c>
      <c r="F1083" s="11" t="s">
        <v>2756</v>
      </c>
    </row>
    <row r="1084">
      <c r="A1084" s="11">
        <v>-36.5728378295898</v>
      </c>
      <c r="B1084" s="11">
        <v>-16.0353736877441</v>
      </c>
      <c r="C1084" s="11">
        <v>0.0</v>
      </c>
      <c r="D1084" s="11" t="s">
        <v>1061</v>
      </c>
      <c r="E1084" s="11">
        <v>0.0</v>
      </c>
      <c r="F1084" s="11" t="s">
        <v>2757</v>
      </c>
    </row>
    <row r="1085">
      <c r="A1085" s="11">
        <v>-39.4716911315918</v>
      </c>
      <c r="B1085" s="11">
        <v>-7.20257854461669</v>
      </c>
      <c r="C1085" s="11">
        <v>0.0</v>
      </c>
      <c r="D1085" s="11" t="s">
        <v>1061</v>
      </c>
      <c r="E1085" s="11">
        <v>0.0</v>
      </c>
      <c r="F1085" s="11" t="s">
        <v>2758</v>
      </c>
    </row>
    <row r="1086">
      <c r="A1086" s="11">
        <v>-18.844181060791</v>
      </c>
      <c r="B1086" s="11">
        <v>15.7955932617187</v>
      </c>
      <c r="C1086" s="11">
        <v>0.0</v>
      </c>
      <c r="D1086" s="11" t="s">
        <v>1061</v>
      </c>
      <c r="E1086" s="11">
        <v>0.0</v>
      </c>
      <c r="F1086" s="11" t="s">
        <v>2759</v>
      </c>
    </row>
    <row r="1087">
      <c r="A1087" s="11">
        <v>-34.070556640625</v>
      </c>
      <c r="B1087" s="11">
        <v>9.19608402252197</v>
      </c>
      <c r="C1087" s="11">
        <v>0.0</v>
      </c>
      <c r="D1087" s="11" t="s">
        <v>1061</v>
      </c>
      <c r="E1087" s="11">
        <v>0.0</v>
      </c>
      <c r="F1087" s="11" t="s">
        <v>2760</v>
      </c>
    </row>
    <row r="1088">
      <c r="A1088" s="11">
        <v>-33.7525177001953</v>
      </c>
      <c r="B1088" s="11">
        <v>8.83338737487793</v>
      </c>
      <c r="C1088" s="11">
        <v>0.0</v>
      </c>
      <c r="D1088" s="11" t="s">
        <v>1061</v>
      </c>
      <c r="E1088" s="11">
        <v>0.0</v>
      </c>
      <c r="F1088" s="11" t="s">
        <v>2761</v>
      </c>
    </row>
    <row r="1089">
      <c r="A1089" s="11">
        <v>36.9125938415527</v>
      </c>
      <c r="B1089" s="11">
        <v>16.6993904113769</v>
      </c>
      <c r="C1089" s="11">
        <v>2.0</v>
      </c>
      <c r="D1089" s="11" t="s">
        <v>1061</v>
      </c>
      <c r="E1089" s="11">
        <v>2.0</v>
      </c>
      <c r="F1089" s="11" t="s">
        <v>2762</v>
      </c>
    </row>
    <row r="1090">
      <c r="A1090" s="11">
        <v>-14.4446811676025</v>
      </c>
      <c r="B1090" s="11">
        <v>-4.77721691131591</v>
      </c>
      <c r="C1090" s="11">
        <v>0.0</v>
      </c>
      <c r="D1090" s="11" t="s">
        <v>1061</v>
      </c>
      <c r="E1090" s="11">
        <v>0.0</v>
      </c>
      <c r="F1090" s="11" t="s">
        <v>2763</v>
      </c>
    </row>
    <row r="1091">
      <c r="A1091" s="11">
        <v>-12.1375074386596</v>
      </c>
      <c r="B1091" s="11">
        <v>5.83331298828125</v>
      </c>
      <c r="C1091" s="11">
        <v>0.0</v>
      </c>
      <c r="D1091" s="11" t="s">
        <v>1061</v>
      </c>
      <c r="E1091" s="11">
        <v>0.0</v>
      </c>
      <c r="F1091" s="11" t="s">
        <v>2764</v>
      </c>
    </row>
    <row r="1092">
      <c r="A1092" s="11">
        <v>-42.0910034179687</v>
      </c>
      <c r="B1092" s="11">
        <v>32.045913696289</v>
      </c>
      <c r="C1092" s="11">
        <v>-1.0</v>
      </c>
      <c r="D1092" s="11" t="s">
        <v>1061</v>
      </c>
      <c r="E1092" s="11">
        <v>-1.0</v>
      </c>
      <c r="F1092" s="11" t="s">
        <v>2765</v>
      </c>
    </row>
    <row r="1093">
      <c r="A1093" s="11">
        <v>36.7021331787109</v>
      </c>
      <c r="B1093" s="11">
        <v>11.9781618118286</v>
      </c>
      <c r="C1093" s="11">
        <v>1.0</v>
      </c>
      <c r="D1093" s="11" t="s">
        <v>1061</v>
      </c>
      <c r="E1093" s="11">
        <v>1.0</v>
      </c>
      <c r="F1093" s="11" t="s">
        <v>2766</v>
      </c>
    </row>
    <row r="1094">
      <c r="A1094" s="11">
        <v>27.3450317382812</v>
      </c>
      <c r="B1094" s="11">
        <v>28.7128505706787</v>
      </c>
      <c r="C1094" s="11">
        <v>2.0</v>
      </c>
      <c r="D1094" s="11" t="s">
        <v>1061</v>
      </c>
      <c r="E1094" s="11">
        <v>2.0</v>
      </c>
      <c r="F1094" s="11" t="s">
        <v>2767</v>
      </c>
    </row>
    <row r="1095">
      <c r="A1095" s="11">
        <v>21.7941799163818</v>
      </c>
      <c r="B1095" s="11">
        <v>-2.46053719520568</v>
      </c>
      <c r="C1095" s="11">
        <v>0.0</v>
      </c>
      <c r="D1095" s="11" t="s">
        <v>1061</v>
      </c>
      <c r="E1095" s="11">
        <v>0.0</v>
      </c>
      <c r="F1095" s="11" t="s">
        <v>2768</v>
      </c>
    </row>
    <row r="1096">
      <c r="A1096" s="11">
        <v>21.7941799163818</v>
      </c>
      <c r="B1096" s="11">
        <v>-2.46053719520568</v>
      </c>
      <c r="C1096" s="11">
        <v>0.0</v>
      </c>
      <c r="D1096" s="11" t="s">
        <v>1061</v>
      </c>
      <c r="E1096" s="11">
        <v>0.0</v>
      </c>
      <c r="F1096" s="11" t="s">
        <v>2769</v>
      </c>
    </row>
    <row r="1097">
      <c r="A1097" s="11">
        <v>25.9356269836425</v>
      </c>
      <c r="B1097" s="11">
        <v>37.5973587036132</v>
      </c>
      <c r="C1097" s="11">
        <v>2.0</v>
      </c>
      <c r="D1097" s="11" t="s">
        <v>1061</v>
      </c>
      <c r="E1097" s="11">
        <v>2.0</v>
      </c>
      <c r="F1097" s="11" t="s">
        <v>2770</v>
      </c>
    </row>
    <row r="1098">
      <c r="A1098" s="11">
        <v>-18.4301033020019</v>
      </c>
      <c r="B1098" s="11">
        <v>5.17226886749267</v>
      </c>
      <c r="C1098" s="11">
        <v>0.0</v>
      </c>
      <c r="D1098" s="11" t="s">
        <v>1061</v>
      </c>
      <c r="E1098" s="11">
        <v>0.0</v>
      </c>
      <c r="F1098" s="11" t="s">
        <v>2771</v>
      </c>
    </row>
    <row r="1099">
      <c r="A1099" s="11">
        <v>-36.5515060424804</v>
      </c>
      <c r="B1099" s="11">
        <v>-15.2633390426635</v>
      </c>
      <c r="C1099" s="11">
        <v>0.0</v>
      </c>
      <c r="D1099" s="11" t="s">
        <v>1061</v>
      </c>
      <c r="E1099" s="11">
        <v>0.0</v>
      </c>
      <c r="F1099" s="11" t="s">
        <v>2772</v>
      </c>
    </row>
    <row r="1100">
      <c r="A1100" s="11">
        <v>-18.8327960968017</v>
      </c>
      <c r="B1100" s="11">
        <v>15.2400121688842</v>
      </c>
      <c r="C1100" s="11">
        <v>0.0</v>
      </c>
      <c r="D1100" s="11" t="s">
        <v>1061</v>
      </c>
      <c r="E1100" s="11">
        <v>0.0</v>
      </c>
      <c r="F1100" s="11" t="s">
        <v>2773</v>
      </c>
    </row>
    <row r="1101">
      <c r="A1101" s="11">
        <v>-39.9662437438964</v>
      </c>
      <c r="B1101" s="11">
        <v>34.6645431518554</v>
      </c>
      <c r="C1101" s="11">
        <v>0.0</v>
      </c>
      <c r="D1101" s="11" t="s">
        <v>1061</v>
      </c>
      <c r="E1101" s="11">
        <v>0.0</v>
      </c>
      <c r="F1101" s="11" t="s">
        <v>2774</v>
      </c>
    </row>
    <row r="1102">
      <c r="A1102" s="11">
        <v>-33.6275482177734</v>
      </c>
      <c r="B1102" s="11">
        <v>-4.60636758804321</v>
      </c>
      <c r="C1102" s="11">
        <v>0.0</v>
      </c>
      <c r="D1102" s="11" t="s">
        <v>1061</v>
      </c>
      <c r="E1102" s="11">
        <v>0.0</v>
      </c>
      <c r="F1102" s="11" t="s">
        <v>2775</v>
      </c>
    </row>
    <row r="1103">
      <c r="A1103" s="11">
        <v>21.7941799163818</v>
      </c>
      <c r="B1103" s="11">
        <v>-2.46053719520568</v>
      </c>
      <c r="C1103" s="11">
        <v>0.0</v>
      </c>
      <c r="D1103" s="11" t="s">
        <v>1061</v>
      </c>
      <c r="E1103" s="11">
        <v>0.0</v>
      </c>
      <c r="F1103" s="11" t="s">
        <v>2776</v>
      </c>
    </row>
    <row r="1104">
      <c r="A1104" s="11">
        <v>-20.4830837249755</v>
      </c>
      <c r="B1104" s="11">
        <v>2.19985342025756</v>
      </c>
      <c r="C1104" s="11">
        <v>0.0</v>
      </c>
      <c r="D1104" s="11" t="s">
        <v>1061</v>
      </c>
      <c r="E1104" s="11">
        <v>0.0</v>
      </c>
      <c r="F1104" s="11" t="s">
        <v>2777</v>
      </c>
    </row>
    <row r="1105">
      <c r="A1105" s="11">
        <v>-39.6123428344726</v>
      </c>
      <c r="B1105" s="11">
        <v>34.4849014282226</v>
      </c>
      <c r="C1105" s="11">
        <v>0.0</v>
      </c>
      <c r="D1105" s="11" t="s">
        <v>1061</v>
      </c>
      <c r="E1105" s="11">
        <v>0.0</v>
      </c>
      <c r="F1105" s="11" t="s">
        <v>2778</v>
      </c>
    </row>
    <row r="1106">
      <c r="A1106" s="11">
        <v>-39.7939376831054</v>
      </c>
      <c r="B1106" s="11">
        <v>34.1350059509277</v>
      </c>
      <c r="C1106" s="11">
        <v>0.0</v>
      </c>
      <c r="D1106" s="11" t="s">
        <v>1061</v>
      </c>
      <c r="E1106" s="11">
        <v>0.0</v>
      </c>
      <c r="F1106" s="11" t="s">
        <v>2779</v>
      </c>
    </row>
    <row r="1107">
      <c r="A1107" s="11">
        <v>-18.8328227996826</v>
      </c>
      <c r="B1107" s="11">
        <v>15.2399454116821</v>
      </c>
      <c r="C1107" s="11">
        <v>0.0</v>
      </c>
      <c r="D1107" s="11" t="s">
        <v>1061</v>
      </c>
      <c r="E1107" s="11">
        <v>0.0</v>
      </c>
      <c r="F1107" s="11" t="s">
        <v>2780</v>
      </c>
    </row>
    <row r="1108">
      <c r="A1108" s="11">
        <v>-12.1717176437377</v>
      </c>
      <c r="B1108" s="11">
        <v>5.90953731536865</v>
      </c>
      <c r="C1108" s="11">
        <v>0.0</v>
      </c>
      <c r="D1108" s="11" t="s">
        <v>1061</v>
      </c>
      <c r="E1108" s="11">
        <v>0.0</v>
      </c>
      <c r="F1108" s="11" t="s">
        <v>2781</v>
      </c>
    </row>
    <row r="1109">
      <c r="A1109" s="11">
        <v>-39.7939376831054</v>
      </c>
      <c r="B1109" s="11">
        <v>34.1350059509277</v>
      </c>
      <c r="C1109" s="11">
        <v>0.0</v>
      </c>
      <c r="D1109" s="11" t="s">
        <v>1061</v>
      </c>
      <c r="E1109" s="11">
        <v>0.0</v>
      </c>
      <c r="F1109" s="11" t="s">
        <v>2782</v>
      </c>
    </row>
    <row r="1110">
      <c r="A1110" s="11">
        <v>-41.7091178894043</v>
      </c>
      <c r="B1110" s="11">
        <v>30.9525833129882</v>
      </c>
      <c r="C1110" s="11">
        <v>-1.0</v>
      </c>
      <c r="D1110" s="11" t="s">
        <v>1061</v>
      </c>
      <c r="E1110" s="11">
        <v>-1.0</v>
      </c>
      <c r="F1110" s="11" t="s">
        <v>2783</v>
      </c>
    </row>
    <row r="1111">
      <c r="A1111" s="11">
        <v>-8.34683418273925</v>
      </c>
      <c r="B1111" s="11">
        <v>-8.87755966186523</v>
      </c>
      <c r="C1111" s="11">
        <v>0.0</v>
      </c>
      <c r="D1111" s="11" t="s">
        <v>1061</v>
      </c>
      <c r="E1111" s="11">
        <v>0.0</v>
      </c>
      <c r="F1111" s="11" t="s">
        <v>2784</v>
      </c>
    </row>
    <row r="1112">
      <c r="A1112" s="11">
        <v>-36.5516700744628</v>
      </c>
      <c r="B1112" s="11">
        <v>-15.2632904052734</v>
      </c>
      <c r="C1112" s="11">
        <v>0.0</v>
      </c>
      <c r="D1112" s="11" t="s">
        <v>1061</v>
      </c>
      <c r="E1112" s="11">
        <v>0.0</v>
      </c>
      <c r="F1112" s="11" t="s">
        <v>2785</v>
      </c>
    </row>
    <row r="1113">
      <c r="A1113" s="11">
        <v>21.7931079864501</v>
      </c>
      <c r="B1113" s="11">
        <v>-2.45964789390563</v>
      </c>
      <c r="C1113" s="11">
        <v>0.0</v>
      </c>
      <c r="D1113" s="11" t="s">
        <v>1061</v>
      </c>
      <c r="E1113" s="11">
        <v>0.0</v>
      </c>
      <c r="F1113" s="11" t="s">
        <v>2786</v>
      </c>
    </row>
    <row r="1114">
      <c r="A1114" s="11">
        <v>-7.25723886489868</v>
      </c>
      <c r="B1114" s="11">
        <v>-17.308946609497</v>
      </c>
      <c r="C1114" s="11">
        <v>0.0</v>
      </c>
      <c r="D1114" s="11" t="s">
        <v>1061</v>
      </c>
      <c r="E1114" s="11">
        <v>0.0</v>
      </c>
      <c r="F1114" s="11" t="s">
        <v>2787</v>
      </c>
    </row>
    <row r="1115">
      <c r="A1115" s="11">
        <v>18.7564430236816</v>
      </c>
      <c r="B1115" s="11">
        <v>-22.063419342041</v>
      </c>
      <c r="C1115" s="11">
        <v>0.0</v>
      </c>
      <c r="D1115" s="11" t="s">
        <v>1061</v>
      </c>
      <c r="E1115" s="11">
        <v>0.0</v>
      </c>
      <c r="F1115" s="11" t="s">
        <v>2788</v>
      </c>
    </row>
    <row r="1116">
      <c r="A1116" s="11">
        <v>31.1600151062011</v>
      </c>
      <c r="B1116" s="11">
        <v>23.1147575378417</v>
      </c>
      <c r="C1116" s="11">
        <v>2.0</v>
      </c>
      <c r="D1116" s="11" t="s">
        <v>1061</v>
      </c>
      <c r="E1116" s="11">
        <v>2.0</v>
      </c>
      <c r="F1116" s="11" t="s">
        <v>2789</v>
      </c>
    </row>
    <row r="1117">
      <c r="A1117" s="11">
        <v>-8.51242542266845</v>
      </c>
      <c r="B1117" s="11">
        <v>-9.3180513381958</v>
      </c>
      <c r="C1117" s="11">
        <v>0.0</v>
      </c>
      <c r="D1117" s="11" t="s">
        <v>1061</v>
      </c>
      <c r="E1117" s="11">
        <v>0.0</v>
      </c>
      <c r="F1117" s="11" t="s">
        <v>2790</v>
      </c>
    </row>
    <row r="1118">
      <c r="A1118" s="11">
        <v>-41.9179344177246</v>
      </c>
      <c r="B1118" s="11">
        <v>32.2690849304199</v>
      </c>
      <c r="C1118" s="11">
        <v>-1.0</v>
      </c>
      <c r="D1118" s="11" t="s">
        <v>1061</v>
      </c>
      <c r="E1118" s="11">
        <v>-1.0</v>
      </c>
      <c r="F1118" s="11" t="s">
        <v>2791</v>
      </c>
    </row>
    <row r="1119">
      <c r="A1119" s="11">
        <v>24.6884403228759</v>
      </c>
      <c r="B1119" s="11">
        <v>31.993537902832</v>
      </c>
      <c r="C1119" s="11">
        <v>2.0</v>
      </c>
      <c r="D1119" s="11" t="s">
        <v>1061</v>
      </c>
      <c r="E1119" s="11">
        <v>2.0</v>
      </c>
      <c r="F1119" s="11" t="s">
        <v>2792</v>
      </c>
    </row>
    <row r="1120">
      <c r="A1120" s="11">
        <v>41.3573875427246</v>
      </c>
      <c r="B1120" s="11">
        <v>-16.5804691314697</v>
      </c>
      <c r="C1120" s="11">
        <v>0.0</v>
      </c>
      <c r="D1120" s="11" t="s">
        <v>1061</v>
      </c>
      <c r="E1120" s="11">
        <v>0.0</v>
      </c>
      <c r="F1120" s="11" t="s">
        <v>2793</v>
      </c>
    </row>
    <row r="1121">
      <c r="A1121" s="11">
        <v>-33.1769180297851</v>
      </c>
      <c r="B1121" s="11">
        <v>20.5951347351074</v>
      </c>
      <c r="C1121" s="11">
        <v>-1.0</v>
      </c>
      <c r="D1121" s="11" t="s">
        <v>1515</v>
      </c>
      <c r="E1121" s="11">
        <v>-1.0</v>
      </c>
      <c r="F1121" s="11" t="s">
        <v>2794</v>
      </c>
    </row>
    <row r="1122">
      <c r="A1122" s="11">
        <v>33.5697708129882</v>
      </c>
      <c r="B1122" s="11">
        <v>20.2692604064941</v>
      </c>
      <c r="C1122" s="11">
        <v>2.0</v>
      </c>
      <c r="D1122" s="11" t="s">
        <v>1515</v>
      </c>
      <c r="E1122" s="11">
        <v>2.0</v>
      </c>
      <c r="F1122" s="11" t="s">
        <v>2795</v>
      </c>
    </row>
    <row r="1123">
      <c r="A1123" s="11">
        <v>34.3801841735839</v>
      </c>
      <c r="B1123" s="11">
        <v>18.8910465240478</v>
      </c>
      <c r="C1123" s="11">
        <v>2.0</v>
      </c>
      <c r="D1123" s="11" t="s">
        <v>1515</v>
      </c>
      <c r="E1123" s="11">
        <v>2.0</v>
      </c>
      <c r="F1123" s="11" t="s">
        <v>2796</v>
      </c>
    </row>
    <row r="1124">
      <c r="A1124" s="11">
        <v>36.9807052612304</v>
      </c>
      <c r="B1124" s="11">
        <v>-10.0366373062133</v>
      </c>
      <c r="C1124" s="11">
        <v>0.0</v>
      </c>
      <c r="D1124" s="11" t="s">
        <v>1515</v>
      </c>
      <c r="E1124" s="11">
        <v>0.0</v>
      </c>
      <c r="F1124" s="11" t="s">
        <v>2797</v>
      </c>
    </row>
    <row r="1125">
      <c r="A1125" s="11">
        <v>3.24290037155151</v>
      </c>
      <c r="B1125" s="11">
        <v>-22.3576831817626</v>
      </c>
      <c r="C1125" s="11">
        <v>0.0</v>
      </c>
      <c r="D1125" s="11" t="s">
        <v>1515</v>
      </c>
      <c r="E1125" s="11">
        <v>0.0</v>
      </c>
      <c r="F1125" s="11" t="s">
        <v>2798</v>
      </c>
    </row>
    <row r="1126">
      <c r="A1126" s="11">
        <v>12.8406352996826</v>
      </c>
      <c r="B1126" s="11">
        <v>-21.346996307373</v>
      </c>
      <c r="C1126" s="11">
        <v>0.0</v>
      </c>
      <c r="D1126" s="11" t="s">
        <v>1515</v>
      </c>
      <c r="E1126" s="11">
        <v>0.0</v>
      </c>
      <c r="F1126" s="11" t="s">
        <v>2799</v>
      </c>
    </row>
    <row r="1127">
      <c r="A1127" s="11">
        <v>-19.7359027862548</v>
      </c>
      <c r="B1127" s="11">
        <v>1.79169368743896</v>
      </c>
      <c r="C1127" s="11">
        <v>0.0</v>
      </c>
      <c r="D1127" s="11" t="s">
        <v>1515</v>
      </c>
      <c r="E1127" s="11">
        <v>0.0</v>
      </c>
      <c r="F1127" s="11" t="s">
        <v>2800</v>
      </c>
    </row>
    <row r="1128">
      <c r="A1128" s="11">
        <v>-8.73244190216064</v>
      </c>
      <c r="B1128" s="11">
        <v>-51.6606712341308</v>
      </c>
      <c r="C1128" s="11">
        <v>0.0</v>
      </c>
      <c r="D1128" s="11" t="s">
        <v>1515</v>
      </c>
      <c r="E1128" s="11">
        <v>0.0</v>
      </c>
      <c r="F1128" s="11" t="s">
        <v>2801</v>
      </c>
    </row>
    <row r="1129">
      <c r="A1129" s="11">
        <v>3.43000674247741</v>
      </c>
      <c r="B1129" s="11">
        <v>-22.7116622924804</v>
      </c>
      <c r="C1129" s="11">
        <v>0.0</v>
      </c>
      <c r="D1129" s="11" t="s">
        <v>1515</v>
      </c>
      <c r="E1129" s="11">
        <v>0.0</v>
      </c>
      <c r="F1129" s="11" t="s">
        <v>2802</v>
      </c>
    </row>
    <row r="1130">
      <c r="A1130" s="11">
        <v>36.3050460815429</v>
      </c>
      <c r="B1130" s="11">
        <v>-10.1736707687377</v>
      </c>
      <c r="C1130" s="11">
        <v>0.0</v>
      </c>
      <c r="D1130" s="11" t="s">
        <v>1515</v>
      </c>
      <c r="E1130" s="11">
        <v>0.0</v>
      </c>
      <c r="F1130" s="11" t="s">
        <v>2803</v>
      </c>
    </row>
    <row r="1131">
      <c r="A1131" s="11">
        <v>-7.95352029800415</v>
      </c>
      <c r="B1131" s="11">
        <v>-6.00627422332763</v>
      </c>
      <c r="C1131" s="11">
        <v>0.0</v>
      </c>
      <c r="D1131" s="11" t="s">
        <v>1515</v>
      </c>
      <c r="E1131" s="11">
        <v>0.0</v>
      </c>
      <c r="F1131" s="11" t="s">
        <v>2804</v>
      </c>
    </row>
    <row r="1132">
      <c r="A1132" s="11">
        <v>-34.0467338562011</v>
      </c>
      <c r="B1132" s="11">
        <v>-18.0349979400634</v>
      </c>
      <c r="C1132" s="11">
        <v>0.0</v>
      </c>
      <c r="D1132" s="11" t="s">
        <v>1515</v>
      </c>
      <c r="E1132" s="11">
        <v>0.0</v>
      </c>
      <c r="F1132" s="11" t="s">
        <v>2805</v>
      </c>
    </row>
    <row r="1133">
      <c r="A1133" s="11">
        <v>-22.5290412902832</v>
      </c>
      <c r="B1133" s="11">
        <v>15.115774154663</v>
      </c>
      <c r="C1133" s="11">
        <v>0.0</v>
      </c>
      <c r="D1133" s="11" t="s">
        <v>1515</v>
      </c>
      <c r="E1133" s="11">
        <v>0.0</v>
      </c>
      <c r="F1133" s="11" t="s">
        <v>2806</v>
      </c>
    </row>
    <row r="1134">
      <c r="A1134" s="11">
        <v>5.39377975463867</v>
      </c>
      <c r="B1134" s="11">
        <v>-16.093952178955</v>
      </c>
      <c r="C1134" s="11">
        <v>0.0</v>
      </c>
      <c r="D1134" s="11" t="s">
        <v>1515</v>
      </c>
      <c r="E1134" s="11">
        <v>0.0</v>
      </c>
      <c r="F1134" s="11" t="s">
        <v>2807</v>
      </c>
    </row>
    <row r="1135">
      <c r="A1135" s="11">
        <v>36.3050460815429</v>
      </c>
      <c r="B1135" s="11">
        <v>-10.1736707687377</v>
      </c>
      <c r="C1135" s="11">
        <v>0.0</v>
      </c>
      <c r="D1135" s="11" t="s">
        <v>1515</v>
      </c>
      <c r="E1135" s="11">
        <v>0.0</v>
      </c>
      <c r="F1135" s="11" t="s">
        <v>2808</v>
      </c>
    </row>
    <row r="1136">
      <c r="A1136" s="11">
        <v>-19.0556354522705</v>
      </c>
      <c r="B1136" s="11">
        <v>11.684190750122</v>
      </c>
      <c r="C1136" s="11">
        <v>0.0</v>
      </c>
      <c r="D1136" s="11" t="s">
        <v>1515</v>
      </c>
      <c r="E1136" s="11">
        <v>0.0</v>
      </c>
      <c r="F1136" s="11" t="s">
        <v>2809</v>
      </c>
    </row>
    <row r="1137">
      <c r="A1137" s="11">
        <v>29.3285217285156</v>
      </c>
      <c r="B1137" s="11">
        <v>27.9949550628662</v>
      </c>
      <c r="C1137" s="11">
        <v>2.0</v>
      </c>
      <c r="D1137" s="11" t="s">
        <v>1515</v>
      </c>
      <c r="E1137" s="11">
        <v>2.0</v>
      </c>
      <c r="F1137" s="11" t="s">
        <v>2810</v>
      </c>
    </row>
    <row r="1138">
      <c r="A1138" s="11">
        <v>7.80000638961792</v>
      </c>
      <c r="B1138" s="11">
        <v>-4.86668920516967</v>
      </c>
      <c r="C1138" s="11">
        <v>0.0</v>
      </c>
      <c r="D1138" s="11" t="s">
        <v>1515</v>
      </c>
      <c r="E1138" s="11">
        <v>0.0</v>
      </c>
      <c r="F1138" s="11" t="s">
        <v>2811</v>
      </c>
    </row>
    <row r="1139">
      <c r="A1139" s="11">
        <v>-30.6378345489501</v>
      </c>
      <c r="B1139" s="11">
        <v>21.8643035888671</v>
      </c>
      <c r="C1139" s="11">
        <v>0.0</v>
      </c>
      <c r="D1139" s="11" t="s">
        <v>1515</v>
      </c>
      <c r="E1139" s="11">
        <v>0.0</v>
      </c>
      <c r="F1139" s="11" t="s">
        <v>2812</v>
      </c>
    </row>
    <row r="1140">
      <c r="A1140" s="11">
        <v>12.8397102355957</v>
      </c>
      <c r="B1140" s="11">
        <v>-21.3484268188476</v>
      </c>
      <c r="C1140" s="11">
        <v>0.0</v>
      </c>
      <c r="D1140" s="11" t="s">
        <v>1515</v>
      </c>
      <c r="E1140" s="11">
        <v>0.0</v>
      </c>
      <c r="F1140" s="11" t="s">
        <v>2813</v>
      </c>
    </row>
    <row r="1141">
      <c r="A1141" s="11">
        <v>-18.7058601379394</v>
      </c>
      <c r="B1141" s="11">
        <v>-11.6437301635742</v>
      </c>
      <c r="C1141" s="11">
        <v>0.0</v>
      </c>
      <c r="D1141" s="11" t="s">
        <v>1515</v>
      </c>
      <c r="E1141" s="11">
        <v>0.0</v>
      </c>
      <c r="F1141" s="11" t="s">
        <v>2814</v>
      </c>
    </row>
    <row r="1142">
      <c r="A1142" s="11">
        <v>-22.7165641784667</v>
      </c>
      <c r="B1142" s="11">
        <v>15.1795377731323</v>
      </c>
      <c r="C1142" s="11">
        <v>0.0</v>
      </c>
      <c r="D1142" s="11" t="s">
        <v>1515</v>
      </c>
      <c r="E1142" s="11">
        <v>0.0</v>
      </c>
      <c r="F1142" s="11" t="s">
        <v>2815</v>
      </c>
    </row>
    <row r="1143">
      <c r="A1143" s="11">
        <v>3.24291968345642</v>
      </c>
      <c r="B1143" s="11">
        <v>-22.357587814331</v>
      </c>
      <c r="C1143" s="11">
        <v>0.0</v>
      </c>
      <c r="D1143" s="11" t="s">
        <v>1515</v>
      </c>
      <c r="E1143" s="11">
        <v>0.0</v>
      </c>
      <c r="F1143" s="11" t="s">
        <v>2816</v>
      </c>
    </row>
    <row r="1144">
      <c r="A1144" s="11">
        <v>27.575340270996</v>
      </c>
      <c r="B1144" s="11">
        <v>-15.921269416809</v>
      </c>
      <c r="C1144" s="11">
        <v>0.0</v>
      </c>
      <c r="D1144" s="11" t="s">
        <v>1515</v>
      </c>
      <c r="E1144" s="11">
        <v>0.0</v>
      </c>
      <c r="F1144" s="11" t="s">
        <v>2817</v>
      </c>
    </row>
    <row r="1145">
      <c r="A1145" s="11">
        <v>-8.38287448883056</v>
      </c>
      <c r="B1145" s="11">
        <v>-17.1884498596191</v>
      </c>
      <c r="C1145" s="11">
        <v>0.0</v>
      </c>
      <c r="D1145" s="11" t="s">
        <v>1515</v>
      </c>
      <c r="E1145" s="11">
        <v>0.0</v>
      </c>
      <c r="F1145" s="11" t="s">
        <v>2818</v>
      </c>
    </row>
    <row r="1146">
      <c r="A1146" s="11">
        <v>12.5431032180786</v>
      </c>
      <c r="B1146" s="11">
        <v>-21.1419506072998</v>
      </c>
      <c r="C1146" s="11">
        <v>0.0</v>
      </c>
      <c r="D1146" s="11" t="s">
        <v>1515</v>
      </c>
      <c r="E1146" s="11">
        <v>0.0</v>
      </c>
      <c r="F1146" s="11" t="s">
        <v>2819</v>
      </c>
    </row>
    <row r="1147">
      <c r="A1147" s="11">
        <v>-35.8708152770996</v>
      </c>
      <c r="B1147" s="11">
        <v>3.25362277030944</v>
      </c>
      <c r="C1147" s="11">
        <v>0.0</v>
      </c>
      <c r="D1147" s="11" t="s">
        <v>1515</v>
      </c>
      <c r="E1147" s="11">
        <v>0.0</v>
      </c>
      <c r="F1147" s="11" t="s">
        <v>2820</v>
      </c>
    </row>
    <row r="1148">
      <c r="A1148" s="11">
        <v>-34.0465011596679</v>
      </c>
      <c r="B1148" s="11">
        <v>10.4527587890625</v>
      </c>
      <c r="C1148" s="11">
        <v>0.0</v>
      </c>
      <c r="D1148" s="11" t="s">
        <v>1515</v>
      </c>
      <c r="E1148" s="11">
        <v>0.0</v>
      </c>
      <c r="F1148" s="11" t="s">
        <v>2821</v>
      </c>
    </row>
    <row r="1149">
      <c r="A1149" s="11">
        <v>-22.7165641784667</v>
      </c>
      <c r="B1149" s="11">
        <v>15.1795377731323</v>
      </c>
      <c r="C1149" s="11">
        <v>0.0</v>
      </c>
      <c r="D1149" s="11" t="s">
        <v>1515</v>
      </c>
      <c r="E1149" s="11">
        <v>0.0</v>
      </c>
      <c r="F1149" s="11" t="s">
        <v>2822</v>
      </c>
    </row>
    <row r="1150">
      <c r="A1150" s="11">
        <v>-22.5688533782959</v>
      </c>
      <c r="B1150" s="11">
        <v>15.5663480758667</v>
      </c>
      <c r="C1150" s="11">
        <v>0.0</v>
      </c>
      <c r="D1150" s="11" t="s">
        <v>1515</v>
      </c>
      <c r="E1150" s="11">
        <v>0.0</v>
      </c>
      <c r="F1150" s="11" t="s">
        <v>2823</v>
      </c>
    </row>
    <row r="1151">
      <c r="A1151" s="11">
        <v>-20.4982242584228</v>
      </c>
      <c r="B1151" s="11">
        <v>16.874771118164</v>
      </c>
      <c r="C1151" s="11">
        <v>0.0</v>
      </c>
      <c r="D1151" s="11" t="s">
        <v>1515</v>
      </c>
      <c r="E1151" s="11">
        <v>0.0</v>
      </c>
      <c r="F1151" s="11" t="s">
        <v>2824</v>
      </c>
    </row>
    <row r="1152">
      <c r="A1152" s="11">
        <v>34.9628143310546</v>
      </c>
      <c r="B1152" s="11">
        <v>18.6805610656738</v>
      </c>
      <c r="C1152" s="11">
        <v>2.0</v>
      </c>
      <c r="D1152" s="11" t="s">
        <v>1515</v>
      </c>
      <c r="E1152" s="11">
        <v>2.0</v>
      </c>
      <c r="F1152" s="11" t="s">
        <v>2825</v>
      </c>
    </row>
    <row r="1153">
      <c r="A1153" s="11">
        <v>27.9062118530273</v>
      </c>
      <c r="B1153" s="11">
        <v>-6.88730525970459</v>
      </c>
      <c r="C1153" s="11">
        <v>1.0</v>
      </c>
      <c r="D1153" s="11" t="s">
        <v>1515</v>
      </c>
      <c r="E1153" s="11">
        <v>1.0</v>
      </c>
      <c r="F1153" s="11" t="s">
        <v>2826</v>
      </c>
    </row>
    <row r="1154">
      <c r="A1154" s="11">
        <v>16.0104618072509</v>
      </c>
      <c r="B1154" s="11">
        <v>-23.8239936828613</v>
      </c>
      <c r="C1154" s="11">
        <v>0.0</v>
      </c>
      <c r="D1154" s="11" t="s">
        <v>1515</v>
      </c>
      <c r="E1154" s="11">
        <v>0.0</v>
      </c>
      <c r="F1154" s="11" t="s">
        <v>2827</v>
      </c>
    </row>
    <row r="1155">
      <c r="A1155" s="11">
        <v>-23.0771026611328</v>
      </c>
      <c r="B1155" s="11">
        <v>15.0086126327514</v>
      </c>
      <c r="C1155" s="11">
        <v>0.0</v>
      </c>
      <c r="D1155" s="11" t="s">
        <v>1515</v>
      </c>
      <c r="E1155" s="11">
        <v>0.0</v>
      </c>
      <c r="F1155" s="11" t="s">
        <v>2828</v>
      </c>
    </row>
    <row r="1156">
      <c r="A1156" s="11">
        <v>3.56448483467102</v>
      </c>
      <c r="B1156" s="11">
        <v>-20.5843696594238</v>
      </c>
      <c r="C1156" s="11">
        <v>0.0</v>
      </c>
      <c r="D1156" s="11" t="s">
        <v>1515</v>
      </c>
      <c r="E1156" s="11">
        <v>0.0</v>
      </c>
      <c r="F1156" s="11" t="s">
        <v>2829</v>
      </c>
    </row>
    <row r="1157">
      <c r="A1157" s="11">
        <v>-22.5713901519775</v>
      </c>
      <c r="B1157" s="11">
        <v>15.5670156478881</v>
      </c>
      <c r="C1157" s="11">
        <v>0.0</v>
      </c>
      <c r="D1157" s="11" t="s">
        <v>1515</v>
      </c>
      <c r="E1157" s="11">
        <v>0.0</v>
      </c>
      <c r="F1157" s="11" t="s">
        <v>2830</v>
      </c>
    </row>
    <row r="1158">
      <c r="A1158" s="11">
        <v>-33.5294532775878</v>
      </c>
      <c r="B1158" s="11">
        <v>-18.1216735839843</v>
      </c>
      <c r="C1158" s="11">
        <v>0.0</v>
      </c>
      <c r="D1158" s="11" t="s">
        <v>1515</v>
      </c>
      <c r="E1158" s="11">
        <v>0.0</v>
      </c>
      <c r="F1158" s="11" t="s">
        <v>2831</v>
      </c>
    </row>
    <row r="1159">
      <c r="A1159" s="11">
        <v>-35.8634452819824</v>
      </c>
      <c r="B1159" s="11">
        <v>3.25707340240478</v>
      </c>
      <c r="C1159" s="11">
        <v>0.0</v>
      </c>
      <c r="D1159" s="11" t="s">
        <v>1515</v>
      </c>
      <c r="E1159" s="11">
        <v>0.0</v>
      </c>
      <c r="F1159" s="11" t="s">
        <v>2832</v>
      </c>
    </row>
    <row r="1160">
      <c r="A1160" s="11">
        <v>5.37528562545776</v>
      </c>
      <c r="B1160" s="11">
        <v>-16.4219570159912</v>
      </c>
      <c r="C1160" s="11">
        <v>0.0</v>
      </c>
      <c r="D1160" s="11" t="s">
        <v>1515</v>
      </c>
      <c r="E1160" s="11">
        <v>0.0</v>
      </c>
      <c r="F1160" s="11" t="s">
        <v>2833</v>
      </c>
    </row>
    <row r="1161">
      <c r="A1161" s="11">
        <v>-20.9239101409912</v>
      </c>
      <c r="B1161" s="11">
        <v>2.49224472045898</v>
      </c>
      <c r="C1161" s="11">
        <v>0.0</v>
      </c>
      <c r="D1161" s="11" t="s">
        <v>1515</v>
      </c>
      <c r="E1161" s="11">
        <v>0.0</v>
      </c>
      <c r="F1161" s="11" t="s">
        <v>2834</v>
      </c>
    </row>
    <row r="1162">
      <c r="A1162" s="11">
        <v>1.65571022033691</v>
      </c>
      <c r="B1162" s="11">
        <v>-21.396821975708</v>
      </c>
      <c r="C1162" s="11">
        <v>0.0</v>
      </c>
      <c r="D1162" s="11" t="s">
        <v>1515</v>
      </c>
      <c r="E1162" s="11">
        <v>0.0</v>
      </c>
      <c r="F1162" s="11" t="s">
        <v>2835</v>
      </c>
    </row>
    <row r="1163">
      <c r="A1163" s="11">
        <v>36.4028282165527</v>
      </c>
      <c r="B1163" s="11">
        <v>-10.0848760604858</v>
      </c>
      <c r="C1163" s="11">
        <v>0.0</v>
      </c>
      <c r="D1163" s="11" t="s">
        <v>1515</v>
      </c>
      <c r="E1163" s="11">
        <v>0.0</v>
      </c>
      <c r="F1163" s="11" t="s">
        <v>2836</v>
      </c>
    </row>
    <row r="1164">
      <c r="A1164" s="11">
        <v>25.1962966918945</v>
      </c>
      <c r="B1164" s="11">
        <v>38.1122169494628</v>
      </c>
      <c r="C1164" s="11">
        <v>2.0</v>
      </c>
      <c r="D1164" s="11" t="s">
        <v>1515</v>
      </c>
      <c r="E1164" s="11">
        <v>2.0</v>
      </c>
      <c r="F1164" s="11" t="s">
        <v>2837</v>
      </c>
    </row>
    <row r="1165">
      <c r="A1165" s="11">
        <v>34.1954650878906</v>
      </c>
      <c r="B1165" s="11">
        <v>9.61432552337646</v>
      </c>
      <c r="C1165" s="11">
        <v>0.0</v>
      </c>
      <c r="D1165" s="11" t="s">
        <v>1515</v>
      </c>
      <c r="E1165" s="11">
        <v>0.0</v>
      </c>
      <c r="F1165" s="11" t="s">
        <v>2838</v>
      </c>
    </row>
    <row r="1166">
      <c r="A1166" s="11">
        <v>38.7599449157714</v>
      </c>
      <c r="B1166" s="11">
        <v>7.09659099578857</v>
      </c>
      <c r="C1166" s="11">
        <v>1.0</v>
      </c>
      <c r="D1166" s="11" t="s">
        <v>2524</v>
      </c>
      <c r="E1166" s="11">
        <v>1.0</v>
      </c>
      <c r="F1166" s="11" t="s">
        <v>2839</v>
      </c>
    </row>
    <row r="1167">
      <c r="A1167" s="11">
        <v>-37.4682502746582</v>
      </c>
      <c r="B1167" s="11">
        <v>47.5506858825683</v>
      </c>
      <c r="C1167" s="11">
        <v>-2.0</v>
      </c>
      <c r="D1167" s="11" t="s">
        <v>2524</v>
      </c>
      <c r="E1167" s="11">
        <v>-2.0</v>
      </c>
      <c r="F1167" s="11" t="s">
        <v>2840</v>
      </c>
    </row>
    <row r="1168">
      <c r="A1168" s="11">
        <v>-32.3255195617675</v>
      </c>
      <c r="B1168" s="11">
        <v>35.5194358825683</v>
      </c>
      <c r="C1168" s="11">
        <v>-1.0</v>
      </c>
      <c r="D1168" s="11" t="s">
        <v>2524</v>
      </c>
      <c r="E1168" s="11">
        <v>-1.0</v>
      </c>
      <c r="F1168" s="11" t="s">
        <v>2841</v>
      </c>
    </row>
    <row r="1169">
      <c r="A1169" s="11">
        <v>35.7670402526855</v>
      </c>
      <c r="B1169" s="11">
        <v>-2.01083111763</v>
      </c>
      <c r="C1169" s="11">
        <v>1.0</v>
      </c>
      <c r="D1169" s="11" t="s">
        <v>2602</v>
      </c>
      <c r="E1169" s="11">
        <v>1.0</v>
      </c>
      <c r="F1169" s="11" t="s">
        <v>2842</v>
      </c>
    </row>
    <row r="1170">
      <c r="A1170" s="11">
        <v>19.2096977233886</v>
      </c>
      <c r="B1170" s="11">
        <v>8.35268306732177</v>
      </c>
      <c r="C1170" s="11">
        <v>0.0</v>
      </c>
      <c r="D1170" s="11" t="s">
        <v>2602</v>
      </c>
      <c r="E1170" s="11">
        <v>0.0</v>
      </c>
      <c r="F1170" s="11" t="s">
        <v>2843</v>
      </c>
    </row>
    <row r="1171">
      <c r="A1171" s="11">
        <v>18.7186813354492</v>
      </c>
      <c r="B1171" s="11">
        <v>7.46030330657959</v>
      </c>
      <c r="C1171" s="11">
        <v>-2.0</v>
      </c>
      <c r="D1171" s="11" t="s">
        <v>2524</v>
      </c>
      <c r="E1171" s="11">
        <v>-2.0</v>
      </c>
      <c r="F1171" s="11" t="s">
        <v>2844</v>
      </c>
    </row>
    <row r="1172">
      <c r="A1172" s="11">
        <v>17.467264175415</v>
      </c>
      <c r="B1172" s="11">
        <v>5.99321746826171</v>
      </c>
      <c r="C1172" s="11">
        <v>-1.0</v>
      </c>
      <c r="D1172" s="11" t="s">
        <v>2524</v>
      </c>
      <c r="E1172" s="11">
        <v>-1.0</v>
      </c>
      <c r="F1172" s="11" t="s">
        <v>2845</v>
      </c>
    </row>
    <row r="1173">
      <c r="A1173" s="11">
        <v>19.5257968902587</v>
      </c>
      <c r="B1173" s="11">
        <v>7.65515947341918</v>
      </c>
      <c r="C1173" s="11">
        <v>-2.0</v>
      </c>
      <c r="D1173" s="11" t="s">
        <v>2524</v>
      </c>
      <c r="E1173" s="11">
        <v>-2.0</v>
      </c>
      <c r="F1173" s="11" t="s">
        <v>2846</v>
      </c>
    </row>
    <row r="1174">
      <c r="A1174" s="11">
        <v>19.8107509613037</v>
      </c>
      <c r="B1174" s="11">
        <v>6.96005773544311</v>
      </c>
      <c r="C1174" s="11">
        <v>-2.0</v>
      </c>
      <c r="D1174" s="11" t="s">
        <v>2524</v>
      </c>
      <c r="E1174" s="11">
        <v>-2.0</v>
      </c>
      <c r="F1174" s="11" t="s">
        <v>2847</v>
      </c>
    </row>
    <row r="1175">
      <c r="A1175" s="11">
        <v>19.5257968902587</v>
      </c>
      <c r="B1175" s="11">
        <v>7.65515947341918</v>
      </c>
      <c r="C1175" s="11">
        <v>-2.0</v>
      </c>
      <c r="D1175" s="11" t="s">
        <v>1515</v>
      </c>
      <c r="E1175" s="11">
        <v>-2.0</v>
      </c>
      <c r="F1175" s="11" t="s">
        <v>2848</v>
      </c>
    </row>
    <row r="1176">
      <c r="A1176" s="11">
        <v>18.7141284942626</v>
      </c>
      <c r="B1176" s="11">
        <v>8.26020336151123</v>
      </c>
      <c r="C1176" s="11">
        <v>0.0</v>
      </c>
      <c r="D1176" s="11" t="s">
        <v>1515</v>
      </c>
      <c r="E1176" s="11">
        <v>0.0</v>
      </c>
      <c r="F1176" s="11" t="s">
        <v>2849</v>
      </c>
    </row>
    <row r="1177">
      <c r="A1177" s="11">
        <v>18.7186813354492</v>
      </c>
      <c r="B1177" s="11">
        <v>7.46030330657959</v>
      </c>
      <c r="C1177" s="11">
        <v>-2.0</v>
      </c>
      <c r="D1177" s="11" t="s">
        <v>1515</v>
      </c>
      <c r="E1177" s="11">
        <v>-2.0</v>
      </c>
      <c r="F1177" s="11" t="s">
        <v>2850</v>
      </c>
    </row>
    <row r="1178">
      <c r="A1178" s="11">
        <v>18.2069263458251</v>
      </c>
      <c r="B1178" s="11">
        <v>7.80510997772216</v>
      </c>
      <c r="C1178" s="11">
        <v>-2.0</v>
      </c>
      <c r="D1178" s="11" t="s">
        <v>2524</v>
      </c>
      <c r="E1178" s="11">
        <v>-2.0</v>
      </c>
      <c r="F1178" s="11" t="s">
        <v>2851</v>
      </c>
    </row>
    <row r="1179">
      <c r="A1179" s="11">
        <v>18.3659648895263</v>
      </c>
      <c r="B1179" s="11">
        <v>8.61894416809082</v>
      </c>
      <c r="C1179" s="11">
        <v>-2.0</v>
      </c>
      <c r="D1179" s="11" t="s">
        <v>1061</v>
      </c>
      <c r="E1179" s="11">
        <v>-2.0</v>
      </c>
      <c r="F1179" s="11" t="s">
        <v>2852</v>
      </c>
    </row>
    <row r="1180">
      <c r="A1180" s="11">
        <v>19.0979061126709</v>
      </c>
      <c r="B1180" s="11">
        <v>6.5732684135437</v>
      </c>
      <c r="C1180" s="11">
        <v>2.0</v>
      </c>
      <c r="D1180" s="11" t="s">
        <v>1061</v>
      </c>
      <c r="E1180" s="11">
        <v>2.0</v>
      </c>
      <c r="F1180" s="11" t="s">
        <v>2853</v>
      </c>
    </row>
    <row r="1181">
      <c r="A1181" s="11">
        <v>19.0979061126709</v>
      </c>
      <c r="B1181" s="11">
        <v>6.5732684135437</v>
      </c>
      <c r="C1181" s="11">
        <v>1.0</v>
      </c>
      <c r="D1181" s="11" t="s">
        <v>1515</v>
      </c>
      <c r="E1181" s="11">
        <v>1.0</v>
      </c>
      <c r="F1181" s="11" t="s">
        <v>2854</v>
      </c>
    </row>
    <row r="1182">
      <c r="A1182" s="11">
        <v>18.9505920410156</v>
      </c>
      <c r="B1182" s="11">
        <v>5.79138898849487</v>
      </c>
      <c r="C1182" s="11">
        <v>2.0</v>
      </c>
      <c r="D1182" s="11" t="s">
        <v>1515</v>
      </c>
      <c r="E1182" s="11">
        <v>2.0</v>
      </c>
      <c r="F1182" s="11" t="s">
        <v>2855</v>
      </c>
    </row>
    <row r="1183">
      <c r="A1183" s="11">
        <v>17.8554935455322</v>
      </c>
      <c r="B1183" s="11">
        <v>7.41545581817626</v>
      </c>
      <c r="C1183" s="11">
        <v>2.0</v>
      </c>
      <c r="D1183" s="11" t="s">
        <v>1515</v>
      </c>
      <c r="E1183" s="11">
        <v>2.0</v>
      </c>
      <c r="F1183" s="11" t="s">
        <v>2856</v>
      </c>
    </row>
    <row r="1184">
      <c r="A1184" s="11">
        <v>18.312795639038</v>
      </c>
      <c r="B1184" s="11">
        <v>6.90095472335815</v>
      </c>
      <c r="C1184" s="11">
        <v>2.0</v>
      </c>
      <c r="D1184" s="11" t="s">
        <v>1515</v>
      </c>
      <c r="E1184" s="11">
        <v>2.0</v>
      </c>
      <c r="F1184" s="11" t="s">
        <v>2857</v>
      </c>
    </row>
    <row r="1185">
      <c r="A1185" s="11">
        <v>19.0979061126709</v>
      </c>
      <c r="B1185" s="11">
        <v>6.5732684135437</v>
      </c>
      <c r="C1185" s="11">
        <v>0.0</v>
      </c>
      <c r="D1185" s="11" t="s">
        <v>1061</v>
      </c>
      <c r="E1185" s="11">
        <v>0.0</v>
      </c>
      <c r="F1185" s="11" t="s">
        <v>2858</v>
      </c>
    </row>
    <row r="1186">
      <c r="A1186" s="11">
        <v>17.1257972717285</v>
      </c>
      <c r="B1186" s="11">
        <v>6.67344379425048</v>
      </c>
      <c r="C1186" s="11">
        <v>0.0</v>
      </c>
      <c r="D1186" s="11" t="s">
        <v>1061</v>
      </c>
      <c r="E1186" s="11">
        <v>0.0</v>
      </c>
      <c r="F1186" s="11" t="s">
        <v>2859</v>
      </c>
    </row>
    <row r="1187">
      <c r="A1187" s="11">
        <v>17.7884712219238</v>
      </c>
      <c r="B1187" s="11">
        <v>7.03828811645507</v>
      </c>
      <c r="C1187" s="11">
        <v>-1.0</v>
      </c>
      <c r="D1187" s="11" t="s">
        <v>1515</v>
      </c>
      <c r="E1187" s="11">
        <v>-1.0</v>
      </c>
      <c r="F1187" s="11" t="s">
        <v>2860</v>
      </c>
    </row>
    <row r="1188">
      <c r="A1188" s="11">
        <v>17.6567726135253</v>
      </c>
      <c r="B1188" s="11">
        <v>8.28778934478759</v>
      </c>
      <c r="C1188" s="11">
        <v>0.0</v>
      </c>
      <c r="D1188" s="11" t="s">
        <v>1515</v>
      </c>
      <c r="E1188" s="11">
        <v>0.0</v>
      </c>
      <c r="F1188" s="11" t="s">
        <v>2861</v>
      </c>
    </row>
    <row r="1189">
      <c r="A1189" s="11">
        <v>18.1244926452636</v>
      </c>
      <c r="B1189" s="11">
        <v>6.53042030334472</v>
      </c>
      <c r="C1189" s="11">
        <v>0.0</v>
      </c>
      <c r="D1189" s="11" t="s">
        <v>1515</v>
      </c>
      <c r="E1189" s="11">
        <v>0.0</v>
      </c>
      <c r="F1189" s="11" t="s">
        <v>2862</v>
      </c>
    </row>
    <row r="1190">
      <c r="A1190" s="11">
        <v>18.2970561981201</v>
      </c>
      <c r="B1190" s="11">
        <v>5.69932985305786</v>
      </c>
      <c r="C1190" s="11">
        <v>0.0</v>
      </c>
      <c r="D1190" s="11" t="s">
        <v>1515</v>
      </c>
      <c r="E1190" s="11">
        <v>0.0</v>
      </c>
      <c r="F1190" s="11" t="s">
        <v>2863</v>
      </c>
    </row>
    <row r="1191">
      <c r="A1191" s="11">
        <v>17.1257972717285</v>
      </c>
      <c r="B1191" s="11">
        <v>6.67344379425048</v>
      </c>
      <c r="C1191" s="11">
        <v>0.0</v>
      </c>
      <c r="D1191" s="11" t="s">
        <v>1061</v>
      </c>
      <c r="E1191" s="11">
        <v>0.0</v>
      </c>
      <c r="F1191" s="11" t="s">
        <v>2864</v>
      </c>
    </row>
    <row r="1192">
      <c r="A1192" s="11">
        <v>17.6567726135253</v>
      </c>
      <c r="B1192" s="11">
        <v>8.28778934478759</v>
      </c>
      <c r="C1192" s="11">
        <v>0.0</v>
      </c>
      <c r="D1192" s="11" t="s">
        <v>1061</v>
      </c>
      <c r="E1192" s="11">
        <v>0.0</v>
      </c>
      <c r="F1192" s="11" t="s">
        <v>2865</v>
      </c>
    </row>
    <row r="1193">
      <c r="A1193" s="11">
        <v>18.0246677398681</v>
      </c>
      <c r="B1193" s="11">
        <v>6.08266925811767</v>
      </c>
      <c r="C1193" s="11">
        <v>0.0</v>
      </c>
      <c r="D1193" s="11" t="s">
        <v>1515</v>
      </c>
      <c r="E1193" s="11">
        <v>0.0</v>
      </c>
      <c r="F1193" s="11" t="s">
        <v>2866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5" t="s">
        <v>2505</v>
      </c>
      <c r="B1" s="25" t="s">
        <v>2506</v>
      </c>
      <c r="C1" s="25" t="s">
        <v>2507</v>
      </c>
      <c r="D1" s="25" t="s">
        <v>2508</v>
      </c>
      <c r="E1" s="25" t="s">
        <v>553</v>
      </c>
      <c r="F1" s="25" t="s">
        <v>2509</v>
      </c>
      <c r="G1" s="25" t="s">
        <v>2510</v>
      </c>
      <c r="H1" s="25" t="s">
        <v>2511</v>
      </c>
      <c r="I1" s="25" t="s">
        <v>2512</v>
      </c>
      <c r="J1" s="25" t="s">
        <v>2513</v>
      </c>
    </row>
    <row r="2">
      <c r="A2" s="25" t="s">
        <v>2514</v>
      </c>
      <c r="B2" s="25" t="s">
        <v>2515</v>
      </c>
      <c r="C2" s="25" t="s">
        <v>2516</v>
      </c>
      <c r="D2" s="25" t="s">
        <v>2517</v>
      </c>
      <c r="E2" s="25">
        <v>4.1</v>
      </c>
      <c r="F2" s="25">
        <v>0.80827576</v>
      </c>
      <c r="G2" s="25" t="s">
        <v>2518</v>
      </c>
      <c r="H2" s="25">
        <v>10.0</v>
      </c>
      <c r="I2" s="25">
        <v>19.090909090909</v>
      </c>
      <c r="J2" s="25">
        <v>34.4827586206896</v>
      </c>
    </row>
    <row r="3">
      <c r="A3" s="25" t="s">
        <v>2519</v>
      </c>
      <c r="B3" s="25" t="s">
        <v>2520</v>
      </c>
      <c r="C3" s="25" t="s">
        <v>2516</v>
      </c>
      <c r="D3" s="25" t="s">
        <v>2517</v>
      </c>
      <c r="E3" s="25">
        <v>4.1</v>
      </c>
      <c r="F3" s="25">
        <v>0.8589562</v>
      </c>
      <c r="G3" s="25" t="s">
        <v>2521</v>
      </c>
      <c r="H3" s="25">
        <v>11.0</v>
      </c>
      <c r="I3" s="25">
        <v>20.5128205128205</v>
      </c>
      <c r="J3" s="25">
        <v>20.5882352941176</v>
      </c>
    </row>
    <row r="4">
      <c r="A4" s="25" t="s">
        <v>2522</v>
      </c>
      <c r="B4" s="25" t="s">
        <v>2523</v>
      </c>
      <c r="C4" s="25" t="s">
        <v>2516</v>
      </c>
      <c r="D4" s="25" t="s">
        <v>2517</v>
      </c>
      <c r="E4" s="25">
        <v>4.1</v>
      </c>
      <c r="F4" s="25">
        <v>0.80529916</v>
      </c>
      <c r="G4" s="25" t="s">
        <v>2525</v>
      </c>
      <c r="H4" s="25">
        <v>15.0</v>
      </c>
      <c r="I4" s="25">
        <v>16.2544169611307</v>
      </c>
      <c r="J4" s="25">
        <v>21.875</v>
      </c>
    </row>
    <row r="5">
      <c r="A5" s="25" t="s">
        <v>2527</v>
      </c>
      <c r="B5" s="25" t="s">
        <v>2528</v>
      </c>
      <c r="C5" s="25" t="s">
        <v>2516</v>
      </c>
      <c r="D5" s="25" t="s">
        <v>2517</v>
      </c>
      <c r="E5" s="25">
        <v>4.1</v>
      </c>
      <c r="F5" s="25">
        <v>0.8169678</v>
      </c>
      <c r="G5" s="25" t="s">
        <v>2529</v>
      </c>
      <c r="H5" s="25">
        <v>10.0</v>
      </c>
      <c r="I5" s="25">
        <v>18.9189189189189</v>
      </c>
      <c r="J5" s="25">
        <v>23.076923076923</v>
      </c>
    </row>
    <row r="6">
      <c r="A6" s="25" t="s">
        <v>2531</v>
      </c>
      <c r="B6" s="25" t="s">
        <v>2533</v>
      </c>
      <c r="C6" s="25" t="s">
        <v>2516</v>
      </c>
      <c r="D6" s="25" t="s">
        <v>2517</v>
      </c>
      <c r="E6" s="25">
        <v>4.1</v>
      </c>
      <c r="F6" s="25">
        <v>0.93318766</v>
      </c>
      <c r="G6" s="25" t="s">
        <v>2535</v>
      </c>
      <c r="H6" s="25">
        <v>30.0</v>
      </c>
      <c r="I6" s="25">
        <v>22.3880597014925</v>
      </c>
      <c r="J6" s="25">
        <v>17.5</v>
      </c>
    </row>
    <row r="7">
      <c r="A7" s="25" t="s">
        <v>2536</v>
      </c>
      <c r="B7" s="25" t="s">
        <v>2537</v>
      </c>
      <c r="C7" s="25" t="s">
        <v>2516</v>
      </c>
      <c r="D7" s="25" t="s">
        <v>2517</v>
      </c>
      <c r="E7" s="25">
        <v>4.1</v>
      </c>
      <c r="F7" s="25">
        <v>0.9467168</v>
      </c>
      <c r="G7" s="25" t="s">
        <v>2539</v>
      </c>
      <c r="H7" s="25">
        <v>12.0</v>
      </c>
      <c r="I7" s="25">
        <v>27.4193548387096</v>
      </c>
      <c r="J7" s="25">
        <v>24.3243243243243</v>
      </c>
    </row>
    <row r="8">
      <c r="A8" s="25" t="s">
        <v>2541</v>
      </c>
      <c r="B8" s="25" t="s">
        <v>2542</v>
      </c>
      <c r="C8" s="25" t="s">
        <v>2516</v>
      </c>
      <c r="D8" s="25" t="s">
        <v>2517</v>
      </c>
      <c r="E8" s="25">
        <v>4.1</v>
      </c>
      <c r="F8" s="25">
        <v>0.8142647</v>
      </c>
      <c r="G8" s="25" t="s">
        <v>2543</v>
      </c>
      <c r="H8" s="25">
        <v>12.0</v>
      </c>
      <c r="I8" s="25">
        <v>21.3333333333333</v>
      </c>
      <c r="J8" s="25">
        <v>27.5862068965517</v>
      </c>
    </row>
    <row r="9">
      <c r="A9" s="25" t="s">
        <v>2545</v>
      </c>
      <c r="B9" s="25" t="s">
        <v>2546</v>
      </c>
      <c r="C9" s="25" t="s">
        <v>2516</v>
      </c>
      <c r="D9" s="25" t="s">
        <v>2517</v>
      </c>
      <c r="E9" s="25">
        <v>4.1</v>
      </c>
      <c r="F9" s="25">
        <v>0.8617894</v>
      </c>
      <c r="G9" s="25" t="s">
        <v>2548</v>
      </c>
      <c r="H9" s="25">
        <v>10.0</v>
      </c>
      <c r="I9" s="25">
        <v>23.5294117647058</v>
      </c>
      <c r="J9" s="25">
        <v>33.3333333333333</v>
      </c>
    </row>
    <row r="10">
      <c r="A10" s="25" t="s">
        <v>2549</v>
      </c>
      <c r="B10" s="25" t="s">
        <v>2550</v>
      </c>
      <c r="C10" s="25" t="s">
        <v>2516</v>
      </c>
      <c r="D10" s="25" t="s">
        <v>2517</v>
      </c>
      <c r="E10" s="25">
        <v>4.1</v>
      </c>
      <c r="F10" s="25">
        <v>0.8668433</v>
      </c>
      <c r="G10" s="25" t="s">
        <v>2552</v>
      </c>
      <c r="H10" s="25">
        <v>11.0</v>
      </c>
      <c r="I10" s="25">
        <v>25.8928571428571</v>
      </c>
      <c r="J10" s="25">
        <v>23.076923076923</v>
      </c>
    </row>
    <row r="11">
      <c r="A11" s="25" t="s">
        <v>2553</v>
      </c>
      <c r="B11" s="25" t="s">
        <v>2554</v>
      </c>
      <c r="C11" s="25" t="s">
        <v>2516</v>
      </c>
      <c r="D11" s="25" t="s">
        <v>2517</v>
      </c>
      <c r="E11" s="25">
        <v>4.1</v>
      </c>
      <c r="F11" s="25">
        <v>0.9654881</v>
      </c>
      <c r="G11" s="25" t="s">
        <v>2556</v>
      </c>
      <c r="H11" s="25">
        <v>15.0</v>
      </c>
      <c r="I11" s="25">
        <v>46.6666666666666</v>
      </c>
      <c r="J11" s="25">
        <v>31.7073170731707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5" t="s">
        <v>2628</v>
      </c>
      <c r="B1" s="25" t="s">
        <v>2629</v>
      </c>
      <c r="C1" s="25" t="s">
        <v>2630</v>
      </c>
      <c r="D1" s="25" t="s">
        <v>2632</v>
      </c>
      <c r="E1" s="25" t="s">
        <v>2633</v>
      </c>
      <c r="F1" s="25" t="s">
        <v>2634</v>
      </c>
    </row>
    <row r="2">
      <c r="A2" s="25">
        <v>0.58</v>
      </c>
      <c r="B2" s="25">
        <v>0.53</v>
      </c>
      <c r="C2" s="25">
        <v>0.71</v>
      </c>
      <c r="D2" s="25">
        <v>0.68</v>
      </c>
      <c r="E2" s="25">
        <v>0.59</v>
      </c>
      <c r="F2" s="25">
        <v>0.35</v>
      </c>
    </row>
    <row r="3">
      <c r="A3" s="25">
        <v>0.65</v>
      </c>
      <c r="B3" s="25">
        <v>0.65</v>
      </c>
      <c r="C3" s="25">
        <v>0.91</v>
      </c>
      <c r="D3" s="25">
        <v>0.72</v>
      </c>
      <c r="E3" s="25">
        <v>0.83</v>
      </c>
      <c r="F3" s="25">
        <v>0.56</v>
      </c>
    </row>
    <row r="4">
      <c r="A4" s="25">
        <v>0.84</v>
      </c>
      <c r="B4" s="25">
        <v>0.86</v>
      </c>
      <c r="C4" s="25">
        <v>1.15</v>
      </c>
      <c r="D4" s="25">
        <v>0.87</v>
      </c>
      <c r="E4" s="25">
        <v>0.7</v>
      </c>
      <c r="F4" s="25">
        <v>0.48</v>
      </c>
    </row>
    <row r="5">
      <c r="A5" s="25">
        <v>0.6</v>
      </c>
      <c r="B5" s="25">
        <v>0.51</v>
      </c>
      <c r="C5" s="25">
        <v>0.6</v>
      </c>
      <c r="D5" s="25">
        <v>0.55</v>
      </c>
      <c r="E5" s="25">
        <v>0.53</v>
      </c>
      <c r="F5" s="25">
        <v>0.37</v>
      </c>
    </row>
    <row r="6">
      <c r="A6" s="25">
        <v>0.65</v>
      </c>
      <c r="B6" s="25">
        <v>0.59</v>
      </c>
      <c r="C6" s="25">
        <v>0.84</v>
      </c>
      <c r="D6" s="25">
        <v>0.66</v>
      </c>
      <c r="E6" s="25">
        <v>0.64</v>
      </c>
      <c r="F6" s="25">
        <v>0.37</v>
      </c>
    </row>
    <row r="7">
      <c r="A7" s="25">
        <v>0.77</v>
      </c>
      <c r="B7" s="25">
        <v>0.66</v>
      </c>
      <c r="C7" s="25">
        <v>0.83</v>
      </c>
      <c r="D7" s="25">
        <v>0.75</v>
      </c>
      <c r="E7" s="25">
        <v>0.68</v>
      </c>
      <c r="F7" s="25">
        <v>0.5</v>
      </c>
    </row>
    <row r="8">
      <c r="A8" s="25">
        <v>0.89</v>
      </c>
      <c r="B8" s="25">
        <v>0.87</v>
      </c>
      <c r="C8" s="25">
        <v>1.05</v>
      </c>
      <c r="D8" s="25">
        <v>0.92</v>
      </c>
      <c r="E8" s="25">
        <v>0.85</v>
      </c>
      <c r="F8" s="25">
        <v>0.57</v>
      </c>
    </row>
    <row r="9">
      <c r="A9" s="25">
        <v>0.58</v>
      </c>
      <c r="B9" s="25">
        <v>0.69</v>
      </c>
      <c r="C9" s="25">
        <v>0.86</v>
      </c>
      <c r="D9" s="25">
        <v>0.68</v>
      </c>
      <c r="E9" s="25">
        <v>0.66</v>
      </c>
      <c r="F9" s="25">
        <v>0.33</v>
      </c>
    </row>
    <row r="10">
      <c r="A10" s="25">
        <v>0.51</v>
      </c>
      <c r="B10" s="25">
        <v>0.45</v>
      </c>
      <c r="C10" s="25">
        <v>0.61</v>
      </c>
      <c r="D10" s="25">
        <v>0.51</v>
      </c>
      <c r="E10" s="25">
        <v>0.47</v>
      </c>
      <c r="F10" s="25">
        <v>0.3</v>
      </c>
    </row>
    <row r="11">
      <c r="A11" s="25">
        <v>0.57</v>
      </c>
      <c r="B11" s="25">
        <v>0.53</v>
      </c>
      <c r="C11" s="25">
        <v>0.77</v>
      </c>
      <c r="D11" s="25">
        <v>0.68</v>
      </c>
      <c r="E11" s="25">
        <v>0.62</v>
      </c>
      <c r="F11" s="25">
        <v>0.45</v>
      </c>
    </row>
    <row r="12">
      <c r="A12" s="25">
        <v>0.79</v>
      </c>
      <c r="B12" s="25">
        <v>0.75</v>
      </c>
      <c r="C12" s="25">
        <v>0.76</v>
      </c>
      <c r="D12" s="25">
        <v>0.77</v>
      </c>
      <c r="E12" s="25">
        <v>0.73</v>
      </c>
      <c r="F12" s="25">
        <v>0.6</v>
      </c>
    </row>
    <row r="13">
      <c r="A13" s="25">
        <v>0.68</v>
      </c>
      <c r="B13" s="25">
        <v>0.63</v>
      </c>
      <c r="C13" s="25">
        <v>0.78</v>
      </c>
      <c r="D13" s="25">
        <v>0.73</v>
      </c>
      <c r="E13" s="25">
        <v>0.63</v>
      </c>
      <c r="F13" s="25">
        <v>0.52</v>
      </c>
    </row>
    <row r="14">
      <c r="A14" s="25">
        <v>0.65</v>
      </c>
      <c r="B14" s="25">
        <v>0.65</v>
      </c>
      <c r="C14" s="25">
        <v>0.86</v>
      </c>
      <c r="D14" s="25">
        <v>0.77</v>
      </c>
      <c r="E14" s="25">
        <v>0.6</v>
      </c>
      <c r="F14" s="25">
        <v>0.51</v>
      </c>
    </row>
    <row r="15">
      <c r="A15" s="25">
        <v>0.49</v>
      </c>
      <c r="B15" s="25">
        <v>0.45</v>
      </c>
      <c r="C15" s="25">
        <v>0.75</v>
      </c>
      <c r="D15" s="25">
        <v>0.58</v>
      </c>
      <c r="E15" s="25">
        <v>0.52</v>
      </c>
      <c r="F15" s="25">
        <v>0.37</v>
      </c>
    </row>
    <row r="16">
      <c r="A16" s="25">
        <v>0.65</v>
      </c>
      <c r="B16" s="25">
        <v>0.65</v>
      </c>
      <c r="C16" s="25">
        <v>0.97</v>
      </c>
      <c r="D16" s="25">
        <v>0.8</v>
      </c>
      <c r="E16" s="25">
        <v>0.75</v>
      </c>
      <c r="F16" s="25">
        <v>0.5</v>
      </c>
    </row>
    <row r="17">
      <c r="A17" s="25">
        <v>0.75</v>
      </c>
      <c r="B17" s="25">
        <v>0.76</v>
      </c>
      <c r="C17" s="25">
        <v>0.85</v>
      </c>
      <c r="D17" s="25">
        <v>0.9</v>
      </c>
      <c r="E17" s="25">
        <v>0.83</v>
      </c>
      <c r="F17" s="25">
        <v>0.56</v>
      </c>
    </row>
    <row r="18">
      <c r="A18" s="25">
        <v>0.78</v>
      </c>
      <c r="B18" s="25">
        <v>0.79</v>
      </c>
      <c r="C18" s="25">
        <v>0.78</v>
      </c>
      <c r="D18" s="25">
        <v>0.77</v>
      </c>
      <c r="E18" s="25">
        <v>0.67</v>
      </c>
      <c r="F18" s="25">
        <v>0.53</v>
      </c>
    </row>
    <row r="19">
      <c r="A19" s="25">
        <v>0.63</v>
      </c>
      <c r="B19" s="25">
        <v>0.75</v>
      </c>
      <c r="C19" s="25">
        <v>0.9</v>
      </c>
      <c r="D19" s="25">
        <v>0.75</v>
      </c>
      <c r="E19" s="25">
        <v>0.58</v>
      </c>
      <c r="F19" s="25">
        <v>0.45</v>
      </c>
    </row>
    <row r="20">
      <c r="A20" s="25">
        <v>0.74</v>
      </c>
      <c r="B20" s="25">
        <v>0.65</v>
      </c>
      <c r="C20" s="25">
        <v>0.81</v>
      </c>
      <c r="D20" s="25">
        <v>0.74</v>
      </c>
      <c r="E20" s="25">
        <v>0.61</v>
      </c>
      <c r="F20" s="25">
        <v>0.4</v>
      </c>
    </row>
    <row r="21">
      <c r="A21" s="25">
        <v>0.7</v>
      </c>
      <c r="B21" s="25">
        <v>0.62</v>
      </c>
      <c r="C21" s="25">
        <v>0.86</v>
      </c>
      <c r="D21" s="25">
        <v>0.73</v>
      </c>
      <c r="E21" s="25">
        <v>0.65</v>
      </c>
      <c r="F21" s="25">
        <v>0.49</v>
      </c>
    </row>
    <row r="22">
      <c r="A22" s="25">
        <v>0.66</v>
      </c>
      <c r="B22" s="25">
        <v>0.67</v>
      </c>
      <c r="C22" s="25">
        <v>0.86</v>
      </c>
      <c r="D22" s="25">
        <v>0.67</v>
      </c>
      <c r="E22" s="25">
        <v>0.59</v>
      </c>
      <c r="F22" s="25">
        <v>0.49</v>
      </c>
    </row>
    <row r="23">
      <c r="A23" s="25">
        <v>0.72</v>
      </c>
      <c r="B23" s="25">
        <v>0.58</v>
      </c>
      <c r="C23" s="25">
        <v>0.81</v>
      </c>
      <c r="D23" s="25">
        <v>0.7</v>
      </c>
      <c r="E23" s="25">
        <v>0.5</v>
      </c>
      <c r="F23" s="25">
        <v>0.34</v>
      </c>
    </row>
    <row r="24">
      <c r="A24" s="25">
        <v>0.6</v>
      </c>
      <c r="B24" s="25">
        <v>0.68</v>
      </c>
      <c r="C24" s="25">
        <v>0.91</v>
      </c>
      <c r="D24" s="25">
        <v>0.74</v>
      </c>
      <c r="E24" s="25">
        <v>0.65</v>
      </c>
      <c r="F24" s="25">
        <v>0.42</v>
      </c>
    </row>
    <row r="25">
      <c r="A25" s="25">
        <v>0.76</v>
      </c>
      <c r="B25" s="25">
        <v>0.82</v>
      </c>
      <c r="C25" s="25">
        <v>1.0</v>
      </c>
      <c r="D25" s="25">
        <v>0.86</v>
      </c>
      <c r="E25" s="25">
        <v>0.83</v>
      </c>
      <c r="F25" s="25">
        <v>0.39</v>
      </c>
    </row>
    <row r="26">
      <c r="A26" s="25">
        <v>0.62</v>
      </c>
      <c r="B26" s="25">
        <v>0.6</v>
      </c>
      <c r="C26" s="25">
        <v>0.76</v>
      </c>
      <c r="D26" s="25">
        <v>0.71</v>
      </c>
      <c r="E26" s="25">
        <v>0.56</v>
      </c>
      <c r="F26" s="25">
        <v>0.38</v>
      </c>
    </row>
    <row r="27">
      <c r="A27" s="25">
        <v>0.71</v>
      </c>
      <c r="B27" s="25">
        <v>0.73</v>
      </c>
      <c r="C27" s="25">
        <v>0.77</v>
      </c>
      <c r="D27" s="25">
        <v>0.82</v>
      </c>
      <c r="E27" s="25">
        <v>0.67</v>
      </c>
      <c r="F27" s="25">
        <v>0.56</v>
      </c>
    </row>
    <row r="28">
      <c r="A28" s="25">
        <v>0.85</v>
      </c>
      <c r="B28" s="25">
        <v>0.84</v>
      </c>
      <c r="C28" s="25">
        <v>0.89</v>
      </c>
      <c r="D28" s="25">
        <v>0.84</v>
      </c>
      <c r="E28" s="25">
        <v>0.72</v>
      </c>
      <c r="F28" s="25">
        <v>0.51</v>
      </c>
    </row>
    <row r="29">
      <c r="A29" s="25">
        <v>0.62</v>
      </c>
      <c r="B29" s="25">
        <v>0.59</v>
      </c>
      <c r="C29" s="25">
        <v>0.83</v>
      </c>
      <c r="D29" s="25">
        <v>0.66</v>
      </c>
      <c r="E29" s="25">
        <v>0.53</v>
      </c>
      <c r="F29" s="25">
        <v>0.46</v>
      </c>
    </row>
    <row r="30">
      <c r="A30" s="25">
        <v>0.68</v>
      </c>
      <c r="B30" s="25">
        <v>0.63</v>
      </c>
      <c r="C30" s="25">
        <v>0.84</v>
      </c>
      <c r="D30" s="25">
        <v>0.7</v>
      </c>
      <c r="E30" s="25">
        <v>0.69</v>
      </c>
      <c r="F30" s="25">
        <v>0.45</v>
      </c>
    </row>
    <row r="31">
      <c r="A31" s="25">
        <v>0.66</v>
      </c>
      <c r="B31" s="25">
        <v>0.62</v>
      </c>
      <c r="C31" s="25">
        <v>0.93</v>
      </c>
      <c r="D31" s="25">
        <v>0.72</v>
      </c>
      <c r="E31" s="25">
        <v>0.66</v>
      </c>
      <c r="F31" s="25">
        <v>0.42</v>
      </c>
    </row>
    <row r="32">
      <c r="A32" s="25">
        <v>0.75</v>
      </c>
      <c r="B32" s="25">
        <v>0.73</v>
      </c>
      <c r="C32" s="25">
        <v>0.98</v>
      </c>
      <c r="D32" s="25">
        <v>0.75</v>
      </c>
      <c r="E32" s="25">
        <v>0.68</v>
      </c>
      <c r="F32" s="25">
        <v>0.46</v>
      </c>
    </row>
    <row r="33">
      <c r="A33" s="25">
        <v>0.82</v>
      </c>
      <c r="B33" s="25">
        <v>0.79</v>
      </c>
      <c r="C33" s="25">
        <v>1.07</v>
      </c>
      <c r="D33" s="25">
        <v>0.98</v>
      </c>
      <c r="E33" s="25">
        <v>0.76</v>
      </c>
      <c r="F33" s="25">
        <v>0.6</v>
      </c>
    </row>
    <row r="34">
      <c r="A34" s="25">
        <v>0.62</v>
      </c>
      <c r="B34" s="25">
        <v>0.7</v>
      </c>
      <c r="C34" s="25">
        <v>1.05</v>
      </c>
      <c r="D34" s="25">
        <v>0.78</v>
      </c>
      <c r="E34" s="25">
        <v>0.73</v>
      </c>
      <c r="F34" s="25">
        <v>0.55</v>
      </c>
    </row>
    <row r="35">
      <c r="A35" s="25">
        <v>0.92</v>
      </c>
      <c r="B35" s="25">
        <v>0.68</v>
      </c>
      <c r="C35" s="25">
        <v>0.85</v>
      </c>
      <c r="D35" s="25">
        <v>0.83</v>
      </c>
      <c r="E35" s="25">
        <v>0.67</v>
      </c>
      <c r="F35" s="25">
        <v>0.48</v>
      </c>
    </row>
    <row r="36">
      <c r="A36" s="25">
        <v>0.66</v>
      </c>
      <c r="B36" s="25">
        <v>0.76</v>
      </c>
      <c r="C36" s="25">
        <v>0.95</v>
      </c>
      <c r="D36" s="25">
        <v>0.82</v>
      </c>
      <c r="E36" s="25">
        <v>0.66</v>
      </c>
      <c r="F36" s="25">
        <v>0.44</v>
      </c>
    </row>
    <row r="37">
      <c r="A37" s="25">
        <v>0.76</v>
      </c>
      <c r="B37" s="25">
        <v>0.7</v>
      </c>
      <c r="C37" s="25">
        <v>0.78</v>
      </c>
      <c r="D37" s="25">
        <v>0.68</v>
      </c>
      <c r="E37" s="25">
        <v>0.7</v>
      </c>
      <c r="F37" s="25">
        <v>0.42</v>
      </c>
    </row>
    <row r="38">
      <c r="A38" s="25">
        <v>0.61</v>
      </c>
      <c r="B38" s="25">
        <v>0.81</v>
      </c>
      <c r="C38" s="25">
        <v>1.08</v>
      </c>
      <c r="D38" s="25">
        <v>0.89</v>
      </c>
      <c r="E38" s="25">
        <v>0.81</v>
      </c>
      <c r="F38" s="25">
        <v>0.42</v>
      </c>
    </row>
    <row r="39">
      <c r="A39" s="25">
        <v>0.76</v>
      </c>
      <c r="B39" s="25">
        <v>0.7</v>
      </c>
      <c r="C39" s="25">
        <v>0.96</v>
      </c>
      <c r="D39" s="25">
        <v>0.74</v>
      </c>
      <c r="E39" s="25">
        <v>0.73</v>
      </c>
      <c r="F39" s="25">
        <v>0.51</v>
      </c>
    </row>
    <row r="40">
      <c r="A40" s="25">
        <v>0.67</v>
      </c>
      <c r="B40" s="25">
        <v>0.68</v>
      </c>
      <c r="C40" s="25">
        <v>0.79</v>
      </c>
      <c r="D40" s="25">
        <v>0.74</v>
      </c>
      <c r="E40" s="25">
        <v>0.55</v>
      </c>
      <c r="F40" s="25">
        <v>0.52</v>
      </c>
    </row>
    <row r="41">
      <c r="A41" s="25">
        <v>0.61</v>
      </c>
      <c r="B41" s="25">
        <v>0.6</v>
      </c>
      <c r="C41" s="25">
        <v>0.79</v>
      </c>
      <c r="D41" s="25">
        <v>0.67</v>
      </c>
      <c r="E41" s="25">
        <v>0.65</v>
      </c>
      <c r="F41" s="25">
        <v>0.4</v>
      </c>
    </row>
    <row r="42">
      <c r="A42" s="25">
        <v>0.64</v>
      </c>
      <c r="B42" s="25">
        <v>0.61</v>
      </c>
      <c r="C42" s="25">
        <v>0.77</v>
      </c>
      <c r="D42" s="25">
        <v>0.69</v>
      </c>
      <c r="E42" s="25">
        <v>0.61</v>
      </c>
      <c r="F42" s="25">
        <v>0.55</v>
      </c>
    </row>
    <row r="43">
      <c r="A43" s="25">
        <v>0.56</v>
      </c>
      <c r="B43" s="25">
        <v>0.59</v>
      </c>
      <c r="C43" s="25">
        <v>0.63</v>
      </c>
      <c r="D43" s="25">
        <v>0.64</v>
      </c>
      <c r="E43" s="25">
        <v>0.6</v>
      </c>
      <c r="F43" s="25">
        <v>0.36</v>
      </c>
    </row>
    <row r="44">
      <c r="A44" s="25">
        <v>0.67</v>
      </c>
      <c r="B44" s="25">
        <v>0.7</v>
      </c>
      <c r="C44" s="25">
        <v>1.03</v>
      </c>
      <c r="D44" s="25">
        <v>0.79</v>
      </c>
      <c r="E44" s="25">
        <v>0.62</v>
      </c>
      <c r="F44" s="25">
        <v>0.43</v>
      </c>
    </row>
    <row r="45">
      <c r="A45" s="25">
        <v>0.63</v>
      </c>
      <c r="B45" s="25">
        <v>0.6</v>
      </c>
      <c r="C45" s="25">
        <v>0.86</v>
      </c>
      <c r="D45" s="25">
        <v>0.71</v>
      </c>
      <c r="E45" s="25">
        <v>0.61</v>
      </c>
      <c r="F45" s="25">
        <v>0.5</v>
      </c>
    </row>
    <row r="46">
      <c r="A46" s="25">
        <v>0.66</v>
      </c>
      <c r="B46" s="25">
        <v>0.61</v>
      </c>
      <c r="C46" s="25">
        <v>0.81</v>
      </c>
      <c r="D46" s="25">
        <v>0.73</v>
      </c>
      <c r="E46" s="25">
        <v>0.65</v>
      </c>
      <c r="F46" s="25">
        <v>0.49</v>
      </c>
    </row>
    <row r="47">
      <c r="A47" s="25">
        <v>0.72</v>
      </c>
      <c r="B47" s="25">
        <v>0.73</v>
      </c>
      <c r="C47" s="25">
        <v>0.86</v>
      </c>
      <c r="D47" s="25">
        <v>0.85</v>
      </c>
      <c r="E47" s="25">
        <v>0.79</v>
      </c>
      <c r="F47" s="25">
        <v>0.58</v>
      </c>
    </row>
    <row r="48">
      <c r="A48" s="25">
        <v>0.63</v>
      </c>
      <c r="B48" s="25">
        <v>0.59</v>
      </c>
      <c r="C48" s="25">
        <v>0.95</v>
      </c>
      <c r="D48" s="25">
        <v>0.72</v>
      </c>
      <c r="E48" s="25">
        <v>0.65</v>
      </c>
      <c r="F48" s="25">
        <v>0.51</v>
      </c>
    </row>
    <row r="49">
      <c r="A49" s="25">
        <v>0.63</v>
      </c>
      <c r="B49" s="25">
        <v>0.61</v>
      </c>
      <c r="C49" s="25">
        <v>0.94</v>
      </c>
      <c r="D49" s="25">
        <v>0.69</v>
      </c>
      <c r="E49" s="25">
        <v>0.69</v>
      </c>
      <c r="F49" s="25">
        <v>0.45</v>
      </c>
    </row>
    <row r="50">
      <c r="A50" s="25">
        <v>0.67</v>
      </c>
      <c r="B50" s="25">
        <v>0.58</v>
      </c>
      <c r="C50" s="25">
        <v>0.86</v>
      </c>
      <c r="D50" s="25">
        <v>0.64</v>
      </c>
      <c r="E50" s="25">
        <v>0.66</v>
      </c>
      <c r="F50" s="25">
        <v>0.42</v>
      </c>
    </row>
    <row r="51">
      <c r="A51" s="25">
        <v>0.67</v>
      </c>
      <c r="B51" s="25">
        <v>0.67</v>
      </c>
      <c r="C51" s="25">
        <v>1.01</v>
      </c>
      <c r="D51" s="25">
        <v>0.82</v>
      </c>
      <c r="E51" s="25">
        <v>0.68</v>
      </c>
      <c r="F51" s="25">
        <v>0.5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B1" s="25" t="s">
        <v>606</v>
      </c>
      <c r="C1" s="25" t="s">
        <v>608</v>
      </c>
      <c r="D1" s="25" t="s">
        <v>609</v>
      </c>
      <c r="E1" s="25" t="s">
        <v>615</v>
      </c>
      <c r="F1" s="25" t="s">
        <v>616</v>
      </c>
      <c r="G1" s="25" t="s">
        <v>617</v>
      </c>
    </row>
    <row r="2">
      <c r="A2" s="25" t="s">
        <v>2738</v>
      </c>
      <c r="B2" s="25">
        <v>5.8</v>
      </c>
      <c r="C2" s="25">
        <v>6.2</v>
      </c>
      <c r="D2" s="25">
        <v>6.4</v>
      </c>
      <c r="E2" s="25">
        <v>3.2</v>
      </c>
      <c r="F2" s="25">
        <v>3.6</v>
      </c>
      <c r="G2" s="25">
        <v>8.1</v>
      </c>
    </row>
    <row r="3">
      <c r="A3" s="25" t="s">
        <v>2740</v>
      </c>
      <c r="B3" s="25">
        <v>8.4</v>
      </c>
      <c r="C3" s="25">
        <v>9.0</v>
      </c>
      <c r="D3" s="25">
        <v>7.6</v>
      </c>
      <c r="E3" s="25">
        <v>5.3</v>
      </c>
      <c r="F3" s="25">
        <v>6.4</v>
      </c>
      <c r="G3" s="25">
        <v>7.3</v>
      </c>
    </row>
    <row r="4">
      <c r="A4" s="25" t="s">
        <v>2742</v>
      </c>
      <c r="B4" s="25">
        <v>8.9</v>
      </c>
      <c r="C4" s="25">
        <v>8.5</v>
      </c>
      <c r="D4" s="25">
        <v>5.6</v>
      </c>
      <c r="E4" s="25">
        <v>8.3</v>
      </c>
      <c r="F4" s="25">
        <v>7.8</v>
      </c>
      <c r="G4" s="25">
        <v>7.4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78"/>
    <col customWidth="1" min="5" max="5" width="37.33"/>
    <col customWidth="1" min="6" max="6" width="10.78"/>
    <col customWidth="1" min="7" max="26" width="10.56"/>
  </cols>
  <sheetData>
    <row r="1" ht="18.75" customHeight="1">
      <c r="A1" s="26" t="s">
        <v>752</v>
      </c>
      <c r="B1" s="26"/>
      <c r="C1" s="27"/>
      <c r="D1" s="27"/>
      <c r="E1" s="27"/>
      <c r="F1" s="28"/>
      <c r="G1" s="28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8.75" customHeight="1">
      <c r="A2" s="28" t="s">
        <v>548</v>
      </c>
      <c r="B2" s="28" t="s">
        <v>753</v>
      </c>
      <c r="C2" s="28" t="s">
        <v>754</v>
      </c>
      <c r="D2" s="28" t="s">
        <v>755</v>
      </c>
      <c r="E2" s="28" t="s">
        <v>756</v>
      </c>
      <c r="F2" s="28"/>
      <c r="G2" s="28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8.75" customHeight="1">
      <c r="A3" s="28" t="s">
        <v>757</v>
      </c>
      <c r="B3" s="28">
        <v>132.0</v>
      </c>
      <c r="C3" s="28">
        <v>3.55</v>
      </c>
      <c r="D3" s="28" t="s">
        <v>758</v>
      </c>
      <c r="E3" s="28" t="s">
        <v>759</v>
      </c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8.75" customHeight="1">
      <c r="A4" s="28" t="s">
        <v>760</v>
      </c>
      <c r="B4" s="28">
        <v>91.0</v>
      </c>
      <c r="C4" s="28">
        <v>4.49</v>
      </c>
      <c r="D4" s="28" t="s">
        <v>761</v>
      </c>
      <c r="E4" s="28" t="s">
        <v>762</v>
      </c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8.75" customHeight="1">
      <c r="A5" s="28" t="s">
        <v>763</v>
      </c>
      <c r="B5" s="28">
        <v>57.0</v>
      </c>
      <c r="C5" s="28">
        <v>4.88</v>
      </c>
      <c r="D5" s="28" t="s">
        <v>764</v>
      </c>
      <c r="E5" s="28" t="s">
        <v>765</v>
      </c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8.75" customHeight="1">
      <c r="A6" s="28" t="s">
        <v>763</v>
      </c>
      <c r="B6" s="28">
        <v>406.0</v>
      </c>
      <c r="C6" s="28">
        <v>4.61</v>
      </c>
      <c r="D6" s="28" t="s">
        <v>764</v>
      </c>
      <c r="E6" s="28" t="s">
        <v>765</v>
      </c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8.75" customHeight="1">
      <c r="A7" s="28" t="s">
        <v>766</v>
      </c>
      <c r="B7" s="28">
        <v>53.0</v>
      </c>
      <c r="C7" s="28">
        <v>4.67</v>
      </c>
      <c r="D7" s="28" t="s">
        <v>764</v>
      </c>
      <c r="E7" s="28" t="s">
        <v>767</v>
      </c>
      <c r="F7" s="28"/>
      <c r="G7" s="28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8.75" customHeight="1">
      <c r="A8" s="28" t="s">
        <v>768</v>
      </c>
      <c r="B8" s="28">
        <v>89.0</v>
      </c>
      <c r="C8" s="28">
        <v>4.8</v>
      </c>
      <c r="D8" s="28" t="s">
        <v>769</v>
      </c>
      <c r="E8" s="28" t="s">
        <v>770</v>
      </c>
      <c r="F8" s="28"/>
      <c r="G8" s="2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28" t="s">
        <v>771</v>
      </c>
      <c r="B9" s="28">
        <v>89.0</v>
      </c>
      <c r="C9" s="28">
        <v>4.78</v>
      </c>
      <c r="D9" s="28" t="s">
        <v>769</v>
      </c>
      <c r="E9" s="28" t="s">
        <v>772</v>
      </c>
      <c r="F9" s="28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8.75" customHeight="1">
      <c r="A10" s="28" t="s">
        <v>773</v>
      </c>
      <c r="B10" s="28">
        <v>89.0</v>
      </c>
      <c r="C10" s="28">
        <v>4.85</v>
      </c>
      <c r="D10" s="28" t="s">
        <v>769</v>
      </c>
      <c r="E10" s="28" t="s">
        <v>774</v>
      </c>
      <c r="F10" s="28"/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8.75" customHeight="1">
      <c r="A11" s="28" t="s">
        <v>775</v>
      </c>
      <c r="B11" s="28">
        <v>64.0</v>
      </c>
      <c r="C11" s="28">
        <v>4.99</v>
      </c>
      <c r="D11" s="28" t="s">
        <v>769</v>
      </c>
      <c r="E11" s="28" t="s">
        <v>776</v>
      </c>
      <c r="F11" s="28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8.75" customHeight="1">
      <c r="A12" s="28" t="s">
        <v>777</v>
      </c>
      <c r="B12" s="28">
        <v>141.0</v>
      </c>
      <c r="C12" s="28">
        <v>3.41</v>
      </c>
      <c r="D12" s="28" t="s">
        <v>758</v>
      </c>
      <c r="E12" s="28" t="s">
        <v>778</v>
      </c>
      <c r="F12" s="28"/>
      <c r="G12" s="2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8.75" customHeight="1">
      <c r="A13" s="28" t="s">
        <v>779</v>
      </c>
      <c r="B13" s="28">
        <v>101.0</v>
      </c>
      <c r="C13" s="28">
        <v>4.98</v>
      </c>
      <c r="D13" s="28" t="s">
        <v>780</v>
      </c>
      <c r="E13" s="28" t="s">
        <v>781</v>
      </c>
      <c r="F13" s="28"/>
      <c r="G13" s="2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8.75" customHeight="1">
      <c r="A14" s="28" t="s">
        <v>782</v>
      </c>
      <c r="B14" s="28">
        <v>53.0</v>
      </c>
      <c r="C14" s="28">
        <v>4.55</v>
      </c>
      <c r="D14" s="28" t="s">
        <v>764</v>
      </c>
      <c r="E14" s="28" t="s">
        <v>783</v>
      </c>
      <c r="F14" s="28"/>
      <c r="G14" s="2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8.75" customHeight="1">
      <c r="A15" s="28" t="s">
        <v>782</v>
      </c>
      <c r="B15" s="28">
        <v>397.0</v>
      </c>
      <c r="C15" s="28">
        <v>4.66</v>
      </c>
      <c r="D15" s="28" t="s">
        <v>764</v>
      </c>
      <c r="E15" s="28" t="s">
        <v>783</v>
      </c>
      <c r="F15" s="28"/>
      <c r="G15" s="2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75" customHeight="1">
      <c r="A16" s="28" t="s">
        <v>784</v>
      </c>
      <c r="B16" s="28">
        <v>115.0</v>
      </c>
      <c r="C16" s="28">
        <v>3.6</v>
      </c>
      <c r="D16" s="28" t="s">
        <v>785</v>
      </c>
      <c r="E16" s="28" t="s">
        <v>786</v>
      </c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8.75" customHeight="1">
      <c r="A17" s="28" t="s">
        <v>787</v>
      </c>
      <c r="B17" s="28">
        <v>132.0</v>
      </c>
      <c r="C17" s="28">
        <v>4.6</v>
      </c>
      <c r="D17" s="28" t="s">
        <v>788</v>
      </c>
      <c r="E17" s="28" t="s">
        <v>789</v>
      </c>
      <c r="F17" s="28"/>
      <c r="G17" s="2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8.75" customHeight="1">
      <c r="A18" s="28" t="s">
        <v>790</v>
      </c>
      <c r="B18" s="28">
        <v>89.0</v>
      </c>
      <c r="C18" s="28">
        <v>4.8</v>
      </c>
      <c r="D18" s="28" t="s">
        <v>769</v>
      </c>
      <c r="E18" s="28" t="s">
        <v>791</v>
      </c>
      <c r="F18" s="28"/>
      <c r="G18" s="2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8.75" customHeight="1">
      <c r="A19" s="28" t="s">
        <v>792</v>
      </c>
      <c r="B19" s="28">
        <v>298.0</v>
      </c>
      <c r="C19" s="28">
        <v>4.99</v>
      </c>
      <c r="D19" s="28" t="s">
        <v>769</v>
      </c>
      <c r="E19" s="28" t="s">
        <v>793</v>
      </c>
      <c r="F19" s="28"/>
      <c r="G19" s="28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8.75" customHeight="1">
      <c r="A20" s="28" t="s">
        <v>794</v>
      </c>
      <c r="B20" s="28">
        <v>89.0</v>
      </c>
      <c r="C20" s="28">
        <v>4.85</v>
      </c>
      <c r="D20" s="28" t="s">
        <v>769</v>
      </c>
      <c r="E20" s="28" t="s">
        <v>795</v>
      </c>
      <c r="F20" s="28"/>
      <c r="G20" s="2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8.75" customHeight="1">
      <c r="A21" s="28" t="s">
        <v>796</v>
      </c>
      <c r="B21" s="28">
        <v>171.0</v>
      </c>
      <c r="C21" s="28">
        <v>4.99</v>
      </c>
      <c r="D21" s="28" t="s">
        <v>764</v>
      </c>
      <c r="E21" s="28" t="s">
        <v>797</v>
      </c>
      <c r="F21" s="28"/>
      <c r="G21" s="2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8.75" customHeight="1">
      <c r="A22" s="28" t="s">
        <v>798</v>
      </c>
      <c r="B22" s="28">
        <v>152.0</v>
      </c>
      <c r="C22" s="28">
        <v>4.77</v>
      </c>
      <c r="D22" s="28" t="s">
        <v>799</v>
      </c>
      <c r="E22" s="28" t="s">
        <v>800</v>
      </c>
      <c r="F22" s="28"/>
      <c r="G22" s="28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8.75" customHeight="1">
      <c r="A23" s="28" t="s">
        <v>801</v>
      </c>
      <c r="B23" s="28">
        <v>101.0</v>
      </c>
      <c r="C23" s="28">
        <v>3.6</v>
      </c>
      <c r="D23" s="28" t="s">
        <v>785</v>
      </c>
      <c r="E23" s="28" t="s">
        <v>802</v>
      </c>
      <c r="F23" s="28"/>
      <c r="G23" s="2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8.75" customHeight="1">
      <c r="A24" s="28" t="s">
        <v>803</v>
      </c>
      <c r="B24" s="28">
        <v>258.0</v>
      </c>
      <c r="C24" s="28">
        <v>3.56</v>
      </c>
      <c r="D24" s="28" t="s">
        <v>758</v>
      </c>
      <c r="E24" s="28" t="s">
        <v>804</v>
      </c>
      <c r="F24" s="28"/>
      <c r="G24" s="28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8.75" customHeight="1">
      <c r="A25" s="28" t="s">
        <v>805</v>
      </c>
      <c r="B25" s="28">
        <v>103.0</v>
      </c>
      <c r="C25" s="28">
        <v>4.88</v>
      </c>
      <c r="D25" s="28" t="s">
        <v>799</v>
      </c>
      <c r="E25" s="28" t="s">
        <v>806</v>
      </c>
      <c r="F25" s="28"/>
      <c r="G25" s="28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75" customHeight="1">
      <c r="A26" s="28" t="s">
        <v>807</v>
      </c>
      <c r="B26" s="28">
        <v>89.0</v>
      </c>
      <c r="C26" s="28">
        <v>4.8</v>
      </c>
      <c r="D26" s="28" t="s">
        <v>769</v>
      </c>
      <c r="E26" s="28" t="s">
        <v>808</v>
      </c>
      <c r="F26" s="28"/>
      <c r="G26" s="28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8.75" customHeight="1">
      <c r="A27" s="28" t="s">
        <v>809</v>
      </c>
      <c r="B27" s="28">
        <v>76.0</v>
      </c>
      <c r="C27" s="28">
        <v>4.35</v>
      </c>
      <c r="D27" s="28" t="s">
        <v>810</v>
      </c>
      <c r="E27" s="28" t="s">
        <v>811</v>
      </c>
      <c r="F27" s="28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8.75" customHeight="1">
      <c r="A28" s="28" t="s">
        <v>813</v>
      </c>
      <c r="B28" s="28">
        <v>104.0</v>
      </c>
      <c r="C28" s="28">
        <v>4.97</v>
      </c>
      <c r="D28" s="28" t="s">
        <v>814</v>
      </c>
      <c r="E28" s="28" t="s">
        <v>815</v>
      </c>
      <c r="F28" s="28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8.75" customHeight="1">
      <c r="A29" s="28" t="s">
        <v>816</v>
      </c>
      <c r="B29" s="28">
        <v>22.0</v>
      </c>
      <c r="C29" s="28">
        <v>4.86</v>
      </c>
      <c r="D29" s="28" t="s">
        <v>817</v>
      </c>
      <c r="E29" s="28" t="s">
        <v>818</v>
      </c>
      <c r="F29" s="28"/>
      <c r="G29" s="28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8.75" customHeight="1">
      <c r="A30" s="28" t="s">
        <v>819</v>
      </c>
      <c r="B30" s="28">
        <v>71.0</v>
      </c>
      <c r="C30" s="28">
        <v>4.87</v>
      </c>
      <c r="D30" s="28" t="s">
        <v>820</v>
      </c>
      <c r="E30" s="28" t="s">
        <v>821</v>
      </c>
      <c r="F30" s="28"/>
      <c r="G30" s="28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8.75" customHeight="1">
      <c r="A31" s="28" t="s">
        <v>822</v>
      </c>
      <c r="B31" s="28">
        <v>89.0</v>
      </c>
      <c r="C31" s="28">
        <v>4.81</v>
      </c>
      <c r="D31" s="28" t="s">
        <v>769</v>
      </c>
      <c r="E31" s="28" t="s">
        <v>823</v>
      </c>
      <c r="F31" s="28"/>
      <c r="G31" s="28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8.75" customHeight="1">
      <c r="A32" s="28" t="s">
        <v>825</v>
      </c>
      <c r="B32" s="28">
        <v>53.0</v>
      </c>
      <c r="C32" s="28">
        <v>4.94</v>
      </c>
      <c r="D32" s="28" t="s">
        <v>769</v>
      </c>
      <c r="E32" s="28" t="s">
        <v>826</v>
      </c>
      <c r="F32" s="28"/>
      <c r="G32" s="28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8.75" customHeight="1">
      <c r="A33" s="28" t="s">
        <v>827</v>
      </c>
      <c r="B33" s="28">
        <v>147.0</v>
      </c>
      <c r="C33" s="28">
        <v>4.94</v>
      </c>
      <c r="D33" s="28" t="s">
        <v>799</v>
      </c>
      <c r="E33" s="28" t="s">
        <v>829</v>
      </c>
      <c r="F33" s="28"/>
      <c r="G33" s="28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8.75" customHeight="1">
      <c r="A34" s="28" t="s">
        <v>830</v>
      </c>
      <c r="B34" s="28">
        <v>129.0</v>
      </c>
      <c r="C34" s="28">
        <v>3.45</v>
      </c>
      <c r="D34" s="28" t="s">
        <v>785</v>
      </c>
      <c r="E34" s="28" t="s">
        <v>831</v>
      </c>
      <c r="F34" s="28"/>
      <c r="G34" s="28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8.75" customHeight="1">
      <c r="A35" s="28" t="s">
        <v>832</v>
      </c>
      <c r="B35" s="28">
        <v>48.0</v>
      </c>
      <c r="C35" s="28">
        <v>4.8</v>
      </c>
      <c r="D35" s="28" t="s">
        <v>769</v>
      </c>
      <c r="E35" s="28" t="s">
        <v>833</v>
      </c>
      <c r="F35" s="28"/>
      <c r="G35" s="28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75" customHeight="1">
      <c r="A36" s="28" t="s">
        <v>835</v>
      </c>
      <c r="B36" s="28">
        <v>58.0</v>
      </c>
      <c r="C36" s="28">
        <v>4.66</v>
      </c>
      <c r="D36" s="28" t="s">
        <v>764</v>
      </c>
      <c r="E36" s="28" t="s">
        <v>836</v>
      </c>
      <c r="F36" s="28"/>
      <c r="G36" s="28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8.75" customHeight="1">
      <c r="A37" s="28" t="s">
        <v>837</v>
      </c>
      <c r="B37" s="28">
        <v>302.0</v>
      </c>
      <c r="C37" s="28">
        <v>4.74</v>
      </c>
      <c r="D37" s="28" t="s">
        <v>838</v>
      </c>
      <c r="E37" s="28" t="s">
        <v>839</v>
      </c>
      <c r="F37" s="28"/>
      <c r="G37" s="28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8.75" customHeight="1">
      <c r="A38" s="28" t="s">
        <v>840</v>
      </c>
      <c r="B38" s="28">
        <v>97.0</v>
      </c>
      <c r="C38" s="28">
        <v>3.58</v>
      </c>
      <c r="D38" s="28" t="s">
        <v>785</v>
      </c>
      <c r="E38" s="28" t="s">
        <v>841</v>
      </c>
      <c r="F38" s="28"/>
      <c r="G38" s="28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8.75" customHeight="1">
      <c r="A39" s="28" t="s">
        <v>842</v>
      </c>
      <c r="B39" s="28">
        <v>295.0</v>
      </c>
      <c r="C39" s="28">
        <v>3.52</v>
      </c>
      <c r="D39" s="28" t="s">
        <v>758</v>
      </c>
      <c r="E39" s="28" t="s">
        <v>843</v>
      </c>
      <c r="F39" s="28"/>
      <c r="G39" s="28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8.75" customHeight="1">
      <c r="A40" s="30" t="s">
        <v>844</v>
      </c>
      <c r="B40" s="30">
        <v>182.0</v>
      </c>
      <c r="C40" s="30">
        <v>4.9</v>
      </c>
      <c r="D40" s="30" t="s">
        <v>764</v>
      </c>
      <c r="E40" s="30" t="s">
        <v>845</v>
      </c>
      <c r="F40" s="30"/>
      <c r="G40" s="30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8.75" customHeight="1">
      <c r="A41" s="28" t="s">
        <v>844</v>
      </c>
      <c r="B41" s="28">
        <v>305.0</v>
      </c>
      <c r="C41" s="28">
        <v>4.63</v>
      </c>
      <c r="D41" s="28" t="s">
        <v>764</v>
      </c>
      <c r="E41" s="28" t="s">
        <v>845</v>
      </c>
      <c r="F41" s="28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8.75" customHeight="1">
      <c r="A42" s="28" t="s">
        <v>844</v>
      </c>
      <c r="B42" s="28">
        <v>426.0</v>
      </c>
      <c r="C42" s="28">
        <v>4.72</v>
      </c>
      <c r="D42" s="28" t="s">
        <v>764</v>
      </c>
      <c r="E42" s="28" t="s">
        <v>845</v>
      </c>
      <c r="F42" s="28"/>
      <c r="G42" s="28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8.75" customHeight="1">
      <c r="A43" s="28" t="s">
        <v>846</v>
      </c>
      <c r="B43" s="28">
        <v>105.0</v>
      </c>
      <c r="C43" s="28">
        <v>3.61</v>
      </c>
      <c r="D43" s="28" t="s">
        <v>785</v>
      </c>
      <c r="E43" s="28" t="s">
        <v>847</v>
      </c>
      <c r="F43" s="28"/>
      <c r="G43" s="2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8.75" customHeight="1">
      <c r="A44" s="28" t="s">
        <v>848</v>
      </c>
      <c r="B44" s="28">
        <v>89.0</v>
      </c>
      <c r="C44" s="28">
        <v>4.81</v>
      </c>
      <c r="D44" s="28" t="s">
        <v>769</v>
      </c>
      <c r="E44" s="28" t="s">
        <v>849</v>
      </c>
      <c r="F44" s="28"/>
      <c r="G44" s="28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8.75" customHeight="1">
      <c r="A45" s="28" t="s">
        <v>850</v>
      </c>
      <c r="B45" s="28">
        <v>81.0</v>
      </c>
      <c r="C45" s="28">
        <v>4.88</v>
      </c>
      <c r="D45" s="28" t="s">
        <v>820</v>
      </c>
      <c r="E45" s="28" t="s">
        <v>851</v>
      </c>
      <c r="F45" s="28"/>
      <c r="G45" s="28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8.75" customHeight="1">
      <c r="A46" s="28" t="s">
        <v>852</v>
      </c>
      <c r="B46" s="28">
        <v>89.0</v>
      </c>
      <c r="C46" s="28">
        <v>4.75</v>
      </c>
      <c r="D46" s="28" t="s">
        <v>769</v>
      </c>
      <c r="E46" s="28" t="s">
        <v>853</v>
      </c>
      <c r="F46" s="28"/>
      <c r="G46" s="2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8.75" customHeight="1">
      <c r="A47" s="28" t="s">
        <v>854</v>
      </c>
      <c r="B47" s="28">
        <v>71.0</v>
      </c>
      <c r="C47" s="28">
        <v>4.49</v>
      </c>
      <c r="D47" s="28" t="s">
        <v>764</v>
      </c>
      <c r="E47" s="28" t="s">
        <v>855</v>
      </c>
      <c r="F47" s="28"/>
      <c r="G47" s="28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8.75" customHeight="1">
      <c r="A48" s="28" t="s">
        <v>854</v>
      </c>
      <c r="B48" s="28">
        <v>418.0</v>
      </c>
      <c r="C48" s="28">
        <v>4.46</v>
      </c>
      <c r="D48" s="28" t="s">
        <v>764</v>
      </c>
      <c r="E48" s="28" t="s">
        <v>855</v>
      </c>
      <c r="F48" s="28"/>
      <c r="G48" s="28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8.75" customHeight="1">
      <c r="A49" s="28" t="s">
        <v>856</v>
      </c>
      <c r="B49" s="28">
        <v>32.0</v>
      </c>
      <c r="C49" s="28">
        <v>4.56</v>
      </c>
      <c r="D49" s="28" t="s">
        <v>857</v>
      </c>
      <c r="E49" s="28" t="s">
        <v>858</v>
      </c>
      <c r="F49" s="28"/>
      <c r="G49" s="28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8.75" customHeight="1">
      <c r="A50" s="28" t="s">
        <v>859</v>
      </c>
      <c r="B50" s="28">
        <v>124.0</v>
      </c>
      <c r="C50" s="28">
        <v>4.78</v>
      </c>
      <c r="D50" s="28" t="s">
        <v>799</v>
      </c>
      <c r="E50" s="28" t="s">
        <v>860</v>
      </c>
      <c r="F50" s="28"/>
      <c r="G50" s="28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8.75" customHeight="1">
      <c r="A51" s="28" t="s">
        <v>861</v>
      </c>
      <c r="B51" s="28">
        <v>70.0</v>
      </c>
      <c r="C51" s="28">
        <v>4.91</v>
      </c>
      <c r="D51" s="28" t="s">
        <v>764</v>
      </c>
      <c r="E51" s="28" t="s">
        <v>862</v>
      </c>
      <c r="F51" s="28"/>
      <c r="G51" s="28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8.75" customHeight="1">
      <c r="A52" s="28" t="s">
        <v>863</v>
      </c>
      <c r="B52" s="28">
        <v>35.0</v>
      </c>
      <c r="C52" s="28">
        <v>4.95</v>
      </c>
      <c r="D52" s="28" t="s">
        <v>817</v>
      </c>
      <c r="E52" s="28" t="s">
        <v>864</v>
      </c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8.75" customHeight="1">
      <c r="A53" s="28" t="s">
        <v>866</v>
      </c>
      <c r="B53" s="28">
        <v>95.0</v>
      </c>
      <c r="C53" s="28">
        <v>4.68</v>
      </c>
      <c r="D53" s="28" t="s">
        <v>867</v>
      </c>
      <c r="E53" s="28" t="s">
        <v>868</v>
      </c>
      <c r="F53" s="28"/>
      <c r="G53" s="28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8.75" customHeight="1">
      <c r="A54" s="28" t="s">
        <v>869</v>
      </c>
      <c r="B54" s="28">
        <v>77.0</v>
      </c>
      <c r="C54" s="28">
        <v>3.82</v>
      </c>
      <c r="D54" s="28" t="s">
        <v>810</v>
      </c>
      <c r="E54" s="28" t="s">
        <v>870</v>
      </c>
      <c r="F54" s="28"/>
      <c r="G54" s="28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8.75" customHeight="1">
      <c r="A55" s="28" t="s">
        <v>871</v>
      </c>
      <c r="B55" s="28">
        <v>81.0</v>
      </c>
      <c r="C55" s="28">
        <v>3.6</v>
      </c>
      <c r="D55" s="28" t="s">
        <v>785</v>
      </c>
      <c r="E55" s="28" t="s">
        <v>872</v>
      </c>
      <c r="F55" s="28"/>
      <c r="G55" s="28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8.75" customHeight="1">
      <c r="A56" s="28" t="s">
        <v>873</v>
      </c>
      <c r="B56" s="28">
        <v>89.0</v>
      </c>
      <c r="C56" s="28">
        <v>4.77</v>
      </c>
      <c r="D56" s="28" t="s">
        <v>769</v>
      </c>
      <c r="E56" s="28" t="s">
        <v>874</v>
      </c>
      <c r="F56" s="28"/>
      <c r="G56" s="28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8.75" customHeight="1">
      <c r="A57" s="28" t="s">
        <v>876</v>
      </c>
      <c r="B57" s="28">
        <v>138.0</v>
      </c>
      <c r="C57" s="28">
        <v>4.95</v>
      </c>
      <c r="D57" s="28" t="s">
        <v>799</v>
      </c>
      <c r="E57" s="28" t="s">
        <v>877</v>
      </c>
      <c r="F57" s="28"/>
      <c r="G57" s="28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8.75" customHeight="1">
      <c r="A58" s="28" t="s">
        <v>878</v>
      </c>
      <c r="B58" s="28">
        <v>55.0</v>
      </c>
      <c r="C58" s="28">
        <v>4.67</v>
      </c>
      <c r="D58" s="28" t="s">
        <v>764</v>
      </c>
      <c r="E58" s="28" t="s">
        <v>879</v>
      </c>
      <c r="F58" s="28"/>
      <c r="G58" s="28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8.75" customHeight="1">
      <c r="A59" s="28" t="s">
        <v>878</v>
      </c>
      <c r="B59" s="28">
        <v>190.0</v>
      </c>
      <c r="C59" s="28">
        <v>4.57</v>
      </c>
      <c r="D59" s="28" t="s">
        <v>764</v>
      </c>
      <c r="E59" s="28" t="s">
        <v>879</v>
      </c>
      <c r="F59" s="28"/>
      <c r="G59" s="28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8.75" customHeight="1">
      <c r="A60" s="28" t="s">
        <v>881</v>
      </c>
      <c r="B60" s="28">
        <v>73.0</v>
      </c>
      <c r="C60" s="28">
        <v>4.21</v>
      </c>
      <c r="D60" s="28" t="s">
        <v>882</v>
      </c>
      <c r="E60" s="28" t="s">
        <v>883</v>
      </c>
      <c r="F60" s="28"/>
      <c r="G60" s="28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8.75" customHeight="1">
      <c r="A61" s="28" t="s">
        <v>885</v>
      </c>
      <c r="B61" s="28">
        <v>89.0</v>
      </c>
      <c r="C61" s="28">
        <v>4.87</v>
      </c>
      <c r="D61" s="28" t="s">
        <v>769</v>
      </c>
      <c r="E61" s="28" t="s">
        <v>886</v>
      </c>
      <c r="F61" s="28"/>
      <c r="G61" s="28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8.75" customHeight="1">
      <c r="A62" s="28" t="s">
        <v>888</v>
      </c>
      <c r="B62" s="28">
        <v>30.0</v>
      </c>
      <c r="C62" s="28">
        <v>4.96</v>
      </c>
      <c r="D62" s="28" t="s">
        <v>817</v>
      </c>
      <c r="E62" s="28" t="s">
        <v>889</v>
      </c>
      <c r="F62" s="28"/>
      <c r="G62" s="28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8.75" customHeight="1">
      <c r="A63" s="28" t="s">
        <v>891</v>
      </c>
      <c r="B63" s="28">
        <v>105.0</v>
      </c>
      <c r="C63" s="28">
        <v>3.46</v>
      </c>
      <c r="D63" s="28" t="s">
        <v>785</v>
      </c>
      <c r="E63" s="28" t="s">
        <v>892</v>
      </c>
      <c r="F63" s="28"/>
      <c r="G63" s="28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8.75" customHeight="1">
      <c r="A64" s="28" t="s">
        <v>893</v>
      </c>
      <c r="B64" s="28">
        <v>95.0</v>
      </c>
      <c r="C64" s="28">
        <v>4.82</v>
      </c>
      <c r="D64" s="28" t="s">
        <v>894</v>
      </c>
      <c r="E64" s="28" t="s">
        <v>895</v>
      </c>
      <c r="F64" s="28"/>
      <c r="G64" s="28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8.75" customHeight="1">
      <c r="A65" s="28" t="s">
        <v>896</v>
      </c>
      <c r="B65" s="28">
        <v>33.0</v>
      </c>
      <c r="C65" s="28">
        <v>4.64</v>
      </c>
      <c r="D65" s="28" t="s">
        <v>897</v>
      </c>
      <c r="E65" s="28" t="s">
        <v>898</v>
      </c>
      <c r="F65" s="28"/>
      <c r="G65" s="28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8.75" customHeight="1">
      <c r="A66" s="28" t="s">
        <v>899</v>
      </c>
      <c r="B66" s="28">
        <v>139.0</v>
      </c>
      <c r="C66" s="28">
        <v>3.64</v>
      </c>
      <c r="D66" s="28" t="s">
        <v>758</v>
      </c>
      <c r="E66" s="28" t="s">
        <v>900</v>
      </c>
      <c r="F66" s="28"/>
      <c r="G66" s="28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8.75" customHeight="1">
      <c r="A67" s="28" t="s">
        <v>903</v>
      </c>
      <c r="B67" s="28">
        <v>23.0</v>
      </c>
      <c r="C67" s="28">
        <v>4.76</v>
      </c>
      <c r="D67" s="28" t="s">
        <v>810</v>
      </c>
      <c r="E67" s="28" t="s">
        <v>904</v>
      </c>
      <c r="F67" s="28"/>
      <c r="G67" s="28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8.75" customHeight="1">
      <c r="A68" s="28" t="s">
        <v>906</v>
      </c>
      <c r="B68" s="28">
        <v>89.0</v>
      </c>
      <c r="C68" s="28">
        <v>4.59</v>
      </c>
      <c r="D68" s="28" t="s">
        <v>764</v>
      </c>
      <c r="E68" s="28" t="s">
        <v>907</v>
      </c>
      <c r="F68" s="28"/>
      <c r="G68" s="28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8.75" customHeight="1">
      <c r="A69" s="28" t="s">
        <v>906</v>
      </c>
      <c r="B69" s="28">
        <v>217.0</v>
      </c>
      <c r="C69" s="28">
        <v>4.66</v>
      </c>
      <c r="D69" s="28" t="s">
        <v>764</v>
      </c>
      <c r="E69" s="28" t="s">
        <v>907</v>
      </c>
      <c r="F69" s="28"/>
      <c r="G69" s="28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8.75" customHeight="1">
      <c r="A70" s="28" t="s">
        <v>906</v>
      </c>
      <c r="B70" s="28">
        <v>350.0</v>
      </c>
      <c r="C70" s="28">
        <v>4.73</v>
      </c>
      <c r="D70" s="28" t="s">
        <v>764</v>
      </c>
      <c r="E70" s="28" t="s">
        <v>907</v>
      </c>
      <c r="F70" s="28"/>
      <c r="G70" s="28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8.75" customHeight="1">
      <c r="A71" s="28" t="s">
        <v>910</v>
      </c>
      <c r="B71" s="28">
        <v>14.0</v>
      </c>
      <c r="C71" s="28">
        <v>4.97</v>
      </c>
      <c r="D71" s="28" t="s">
        <v>911</v>
      </c>
      <c r="E71" s="28" t="s">
        <v>912</v>
      </c>
      <c r="F71" s="28"/>
      <c r="G71" s="28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8.75" customHeight="1">
      <c r="A72" s="28" t="s">
        <v>914</v>
      </c>
      <c r="B72" s="28">
        <v>266.0</v>
      </c>
      <c r="C72" s="28">
        <v>4.82</v>
      </c>
      <c r="D72" s="28" t="s">
        <v>915</v>
      </c>
      <c r="E72" s="28" t="s">
        <v>916</v>
      </c>
      <c r="F72" s="28"/>
      <c r="G72" s="28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8.75" customHeight="1">
      <c r="A73" s="28" t="s">
        <v>918</v>
      </c>
      <c r="B73" s="28">
        <v>45.0</v>
      </c>
      <c r="C73" s="28">
        <v>4.7</v>
      </c>
      <c r="D73" s="28" t="s">
        <v>838</v>
      </c>
      <c r="E73" s="28" t="s">
        <v>919</v>
      </c>
      <c r="F73" s="28"/>
      <c r="G73" s="28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8.75" customHeight="1">
      <c r="A74" s="28" t="s">
        <v>921</v>
      </c>
      <c r="B74" s="28">
        <v>224.0</v>
      </c>
      <c r="C74" s="28">
        <v>4.66</v>
      </c>
      <c r="D74" s="28" t="s">
        <v>922</v>
      </c>
      <c r="E74" s="28" t="s">
        <v>923</v>
      </c>
      <c r="F74" s="28"/>
      <c r="G74" s="28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8.75" customHeight="1">
      <c r="A75" s="28" t="s">
        <v>925</v>
      </c>
      <c r="B75" s="28">
        <v>41.0</v>
      </c>
      <c r="C75" s="28">
        <v>4.4</v>
      </c>
      <c r="D75" s="28" t="s">
        <v>926</v>
      </c>
      <c r="E75" s="28" t="s">
        <v>927</v>
      </c>
      <c r="F75" s="28"/>
      <c r="G75" s="28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8.75" customHeight="1">
      <c r="A76" s="28" t="s">
        <v>929</v>
      </c>
      <c r="B76" s="28">
        <v>137.0</v>
      </c>
      <c r="C76" s="28">
        <v>4.85</v>
      </c>
      <c r="D76" s="28" t="s">
        <v>915</v>
      </c>
      <c r="E76" s="28" t="s">
        <v>930</v>
      </c>
      <c r="F76" s="28"/>
      <c r="G76" s="28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8.75" customHeight="1">
      <c r="A77" s="28" t="s">
        <v>931</v>
      </c>
      <c r="B77" s="28">
        <v>76.0</v>
      </c>
      <c r="C77" s="28">
        <v>4.77</v>
      </c>
      <c r="D77" s="28" t="s">
        <v>922</v>
      </c>
      <c r="E77" s="28" t="s">
        <v>933</v>
      </c>
      <c r="F77" s="28"/>
      <c r="G77" s="28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8.75" customHeight="1">
      <c r="A78" s="28" t="s">
        <v>934</v>
      </c>
      <c r="B78" s="28">
        <v>100.0</v>
      </c>
      <c r="C78" s="28">
        <v>4.72</v>
      </c>
      <c r="D78" s="28" t="s">
        <v>935</v>
      </c>
      <c r="E78" s="28" t="s">
        <v>936</v>
      </c>
      <c r="F78" s="28"/>
      <c r="G78" s="28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8.75" customHeight="1">
      <c r="A79" s="28" t="s">
        <v>938</v>
      </c>
      <c r="B79" s="28">
        <v>105.0</v>
      </c>
      <c r="C79" s="28">
        <v>3.55</v>
      </c>
      <c r="D79" s="28" t="s">
        <v>785</v>
      </c>
      <c r="E79" s="28" t="s">
        <v>939</v>
      </c>
      <c r="F79" s="28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8.75" customHeight="1">
      <c r="A80" s="28" t="s">
        <v>941</v>
      </c>
      <c r="B80" s="28">
        <v>424.0</v>
      </c>
      <c r="C80" s="28">
        <v>4.72</v>
      </c>
      <c r="D80" s="28" t="s">
        <v>769</v>
      </c>
      <c r="E80" s="28" t="s">
        <v>942</v>
      </c>
      <c r="F80" s="28"/>
      <c r="G80" s="28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8.75" customHeight="1">
      <c r="A81" s="28" t="s">
        <v>944</v>
      </c>
      <c r="B81" s="28">
        <v>153.0</v>
      </c>
      <c r="C81" s="28">
        <v>3.42</v>
      </c>
      <c r="D81" s="28" t="s">
        <v>758</v>
      </c>
      <c r="E81" s="28" t="s">
        <v>945</v>
      </c>
      <c r="F81" s="28"/>
      <c r="G81" s="28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8.75" customHeight="1">
      <c r="A82" s="28" t="s">
        <v>946</v>
      </c>
      <c r="B82" s="28">
        <v>89.0</v>
      </c>
      <c r="C82" s="28">
        <v>4.83</v>
      </c>
      <c r="D82" s="28" t="s">
        <v>769</v>
      </c>
      <c r="E82" s="28" t="s">
        <v>947</v>
      </c>
      <c r="F82" s="28"/>
      <c r="G82" s="28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8.75" customHeight="1">
      <c r="A83" s="28" t="s">
        <v>949</v>
      </c>
      <c r="B83" s="28">
        <v>89.0</v>
      </c>
      <c r="C83" s="28">
        <v>4.83</v>
      </c>
      <c r="D83" s="28" t="s">
        <v>769</v>
      </c>
      <c r="E83" s="28" t="s">
        <v>950</v>
      </c>
      <c r="F83" s="28"/>
      <c r="G83" s="28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8.75" customHeight="1">
      <c r="A84" s="28" t="s">
        <v>952</v>
      </c>
      <c r="B84" s="28">
        <v>89.0</v>
      </c>
      <c r="C84" s="28">
        <v>4.8</v>
      </c>
      <c r="D84" s="28" t="s">
        <v>769</v>
      </c>
      <c r="E84" s="28" t="s">
        <v>953</v>
      </c>
      <c r="F84" s="28"/>
      <c r="G84" s="28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8.75" customHeight="1">
      <c r="A85" s="28" t="s">
        <v>954</v>
      </c>
      <c r="B85" s="28">
        <v>139.0</v>
      </c>
      <c r="C85" s="28">
        <v>3.62</v>
      </c>
      <c r="D85" s="28" t="s">
        <v>758</v>
      </c>
      <c r="E85" s="28" t="s">
        <v>955</v>
      </c>
      <c r="F85" s="28"/>
      <c r="G85" s="28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8.75" customHeight="1">
      <c r="A86" s="28" t="s">
        <v>957</v>
      </c>
      <c r="B86" s="28">
        <v>214.0</v>
      </c>
      <c r="C86" s="28">
        <v>4.56</v>
      </c>
      <c r="D86" s="28" t="s">
        <v>715</v>
      </c>
      <c r="E86" s="28" t="s">
        <v>958</v>
      </c>
      <c r="F86" s="28"/>
      <c r="G86" s="28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8.75" customHeight="1">
      <c r="A87" s="28" t="s">
        <v>960</v>
      </c>
      <c r="B87" s="28">
        <v>47.0</v>
      </c>
      <c r="C87" s="28">
        <v>4.74</v>
      </c>
      <c r="D87" s="28" t="s">
        <v>961</v>
      </c>
      <c r="E87" s="28" t="s">
        <v>962</v>
      </c>
      <c r="F87" s="28"/>
      <c r="G87" s="28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8.75" customHeight="1">
      <c r="A88" s="28" t="s">
        <v>963</v>
      </c>
      <c r="B88" s="28">
        <v>137.0</v>
      </c>
      <c r="C88" s="28">
        <v>4.34</v>
      </c>
      <c r="D88" s="28" t="s">
        <v>764</v>
      </c>
      <c r="E88" s="28" t="s">
        <v>964</v>
      </c>
      <c r="F88" s="28"/>
      <c r="G88" s="28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8.75" customHeight="1">
      <c r="A89" s="28" t="s">
        <v>963</v>
      </c>
      <c r="B89" s="28">
        <v>719.0</v>
      </c>
      <c r="C89" s="28">
        <v>4.66</v>
      </c>
      <c r="D89" s="28" t="s">
        <v>764</v>
      </c>
      <c r="E89" s="28" t="s">
        <v>964</v>
      </c>
      <c r="F89" s="28"/>
      <c r="G89" s="28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8.75" customHeight="1">
      <c r="A90" s="28" t="s">
        <v>967</v>
      </c>
      <c r="B90" s="28">
        <v>51.0</v>
      </c>
      <c r="C90" s="28">
        <v>4.79</v>
      </c>
      <c r="D90" s="28" t="s">
        <v>761</v>
      </c>
      <c r="E90" s="28" t="s">
        <v>968</v>
      </c>
      <c r="F90" s="28"/>
      <c r="G90" s="28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8.75" customHeight="1">
      <c r="A91" s="28" t="s">
        <v>969</v>
      </c>
      <c r="B91" s="28">
        <v>152.0</v>
      </c>
      <c r="C91" s="28">
        <v>4.72</v>
      </c>
      <c r="D91" s="28" t="s">
        <v>922</v>
      </c>
      <c r="E91" s="28" t="s">
        <v>970</v>
      </c>
      <c r="F91" s="28"/>
      <c r="G91" s="28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8.75" customHeight="1">
      <c r="A92" s="28" t="s">
        <v>972</v>
      </c>
      <c r="B92" s="28">
        <v>450.0</v>
      </c>
      <c r="C92" s="28">
        <v>4.99</v>
      </c>
      <c r="D92" s="28" t="s">
        <v>769</v>
      </c>
      <c r="E92" s="28" t="s">
        <v>973</v>
      </c>
      <c r="F92" s="28"/>
      <c r="G92" s="28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8.75" customHeight="1">
      <c r="A93" s="28" t="s">
        <v>975</v>
      </c>
      <c r="B93" s="28">
        <v>73.0</v>
      </c>
      <c r="C93" s="28">
        <v>3.72</v>
      </c>
      <c r="D93" s="28" t="s">
        <v>785</v>
      </c>
      <c r="E93" s="28" t="s">
        <v>976</v>
      </c>
      <c r="F93" s="28"/>
      <c r="G93" s="28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8.75" customHeight="1">
      <c r="A94" s="28" t="s">
        <v>977</v>
      </c>
      <c r="B94" s="28">
        <v>56.0</v>
      </c>
      <c r="C94" s="28">
        <v>4.99</v>
      </c>
      <c r="D94" s="28" t="s">
        <v>764</v>
      </c>
      <c r="E94" s="28" t="s">
        <v>978</v>
      </c>
      <c r="F94" s="28"/>
      <c r="G94" s="28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8.75" customHeight="1">
      <c r="A95" s="28" t="s">
        <v>979</v>
      </c>
      <c r="B95" s="28">
        <v>91.0</v>
      </c>
      <c r="C95" s="28">
        <v>4.66</v>
      </c>
      <c r="D95" s="28" t="s">
        <v>764</v>
      </c>
      <c r="E95" s="28" t="s">
        <v>980</v>
      </c>
      <c r="F95" s="28"/>
      <c r="G95" s="28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8.75" customHeight="1">
      <c r="A96" s="28" t="s">
        <v>979</v>
      </c>
      <c r="B96" s="28">
        <v>206.0</v>
      </c>
      <c r="C96" s="28">
        <v>4.62</v>
      </c>
      <c r="D96" s="28" t="s">
        <v>764</v>
      </c>
      <c r="E96" s="28" t="s">
        <v>980</v>
      </c>
      <c r="F96" s="28"/>
      <c r="G96" s="28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8.75" customHeight="1">
      <c r="A97" s="28" t="s">
        <v>979</v>
      </c>
      <c r="B97" s="28">
        <v>555.0</v>
      </c>
      <c r="C97" s="28">
        <v>4.56</v>
      </c>
      <c r="D97" s="28" t="s">
        <v>764</v>
      </c>
      <c r="E97" s="28" t="s">
        <v>980</v>
      </c>
      <c r="F97" s="28"/>
      <c r="G97" s="28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8.75" customHeight="1">
      <c r="A98" s="28" t="s">
        <v>981</v>
      </c>
      <c r="B98" s="28">
        <v>89.0</v>
      </c>
      <c r="C98" s="28">
        <v>4.87</v>
      </c>
      <c r="D98" s="28" t="s">
        <v>769</v>
      </c>
      <c r="E98" s="28" t="s">
        <v>982</v>
      </c>
      <c r="F98" s="28"/>
      <c r="G98" s="28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8.75" customHeight="1">
      <c r="A99" s="28" t="s">
        <v>983</v>
      </c>
      <c r="B99" s="28">
        <v>32.0</v>
      </c>
      <c r="C99" s="28">
        <v>4.56</v>
      </c>
      <c r="D99" s="28" t="s">
        <v>857</v>
      </c>
      <c r="E99" s="28" t="s">
        <v>984</v>
      </c>
      <c r="F99" s="28"/>
      <c r="G99" s="28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8.75" customHeight="1">
      <c r="A100" s="28" t="s">
        <v>985</v>
      </c>
      <c r="B100" s="28">
        <v>72.0</v>
      </c>
      <c r="C100" s="28">
        <v>4.25</v>
      </c>
      <c r="D100" s="28" t="s">
        <v>986</v>
      </c>
      <c r="E100" s="28" t="s">
        <v>987</v>
      </c>
      <c r="F100" s="28"/>
      <c r="G100" s="28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8.75" customHeight="1">
      <c r="A101" s="28" t="s">
        <v>989</v>
      </c>
      <c r="B101" s="28">
        <v>360.0</v>
      </c>
      <c r="C101" s="28">
        <v>4.53</v>
      </c>
      <c r="D101" s="28" t="s">
        <v>838</v>
      </c>
      <c r="E101" s="28" t="s">
        <v>990</v>
      </c>
      <c r="F101" s="28"/>
      <c r="G101" s="28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8.75" customHeight="1">
      <c r="A102" s="28" t="s">
        <v>992</v>
      </c>
      <c r="B102" s="28">
        <v>139.0</v>
      </c>
      <c r="C102" s="28">
        <v>3.64</v>
      </c>
      <c r="D102" s="28" t="s">
        <v>785</v>
      </c>
      <c r="E102" s="28" t="s">
        <v>993</v>
      </c>
      <c r="F102" s="28"/>
      <c r="G102" s="28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8.75" customHeight="1">
      <c r="A103" s="28" t="s">
        <v>995</v>
      </c>
      <c r="B103" s="28">
        <v>92.0</v>
      </c>
      <c r="C103" s="28">
        <v>3.63</v>
      </c>
      <c r="D103" s="28" t="s">
        <v>758</v>
      </c>
      <c r="E103" s="28" t="s">
        <v>996</v>
      </c>
      <c r="F103" s="28"/>
      <c r="G103" s="28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8.75" customHeight="1">
      <c r="A104" s="28" t="s">
        <v>997</v>
      </c>
      <c r="B104" s="28">
        <v>290.0</v>
      </c>
      <c r="C104" s="28">
        <v>4.01</v>
      </c>
      <c r="D104" s="28" t="s">
        <v>785</v>
      </c>
      <c r="E104" s="28" t="s">
        <v>998</v>
      </c>
      <c r="F104" s="28"/>
      <c r="G104" s="28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8.75" customHeight="1">
      <c r="A105" s="28" t="s">
        <v>999</v>
      </c>
      <c r="B105" s="28">
        <v>138.0</v>
      </c>
      <c r="C105" s="28">
        <v>3.6</v>
      </c>
      <c r="D105" s="28" t="s">
        <v>758</v>
      </c>
      <c r="E105" s="28" t="s">
        <v>1000</v>
      </c>
      <c r="F105" s="28"/>
      <c r="G105" s="28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8.75" customHeight="1">
      <c r="A106" s="28" t="s">
        <v>1001</v>
      </c>
      <c r="B106" s="28">
        <v>282.0</v>
      </c>
      <c r="C106" s="28">
        <v>4.98</v>
      </c>
      <c r="D106" s="28" t="s">
        <v>769</v>
      </c>
      <c r="E106" s="28" t="s">
        <v>1002</v>
      </c>
      <c r="F106" s="28"/>
      <c r="G106" s="28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8.75" customHeight="1">
      <c r="A107" s="28" t="s">
        <v>1003</v>
      </c>
      <c r="B107" s="28">
        <v>89.0</v>
      </c>
      <c r="C107" s="28">
        <v>4.81</v>
      </c>
      <c r="D107" s="28" t="s">
        <v>769</v>
      </c>
      <c r="E107" s="28" t="s">
        <v>1004</v>
      </c>
      <c r="F107" s="28"/>
      <c r="G107" s="28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8.75" customHeight="1">
      <c r="A108" s="28" t="s">
        <v>1005</v>
      </c>
      <c r="B108" s="28">
        <v>44.0</v>
      </c>
      <c r="C108" s="28">
        <v>4.74</v>
      </c>
      <c r="D108" s="28" t="s">
        <v>769</v>
      </c>
      <c r="E108" s="28" t="s">
        <v>1006</v>
      </c>
      <c r="F108" s="28"/>
      <c r="G108" s="28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8.75" customHeight="1">
      <c r="A109" s="28" t="s">
        <v>1007</v>
      </c>
      <c r="B109" s="28">
        <v>76.0</v>
      </c>
      <c r="C109" s="28">
        <v>4.21</v>
      </c>
      <c r="D109" s="28" t="s">
        <v>810</v>
      </c>
      <c r="E109" s="28" t="s">
        <v>1008</v>
      </c>
      <c r="F109" s="28"/>
      <c r="G109" s="28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8.75" customHeight="1">
      <c r="A110" s="28" t="s">
        <v>1009</v>
      </c>
      <c r="B110" s="28">
        <v>220.0</v>
      </c>
      <c r="C110" s="28">
        <v>4.45</v>
      </c>
      <c r="D110" s="28" t="s">
        <v>764</v>
      </c>
      <c r="E110" s="28" t="s">
        <v>1010</v>
      </c>
      <c r="F110" s="28"/>
      <c r="G110" s="28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8.75" customHeight="1">
      <c r="A111" s="28" t="s">
        <v>1011</v>
      </c>
      <c r="B111" s="28">
        <v>110.0</v>
      </c>
      <c r="C111" s="28">
        <v>3.94</v>
      </c>
      <c r="D111" s="28" t="s">
        <v>857</v>
      </c>
      <c r="E111" s="28" t="s">
        <v>1012</v>
      </c>
      <c r="F111" s="28"/>
      <c r="G111" s="28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8.75" customHeight="1">
      <c r="A112" s="28" t="s">
        <v>1013</v>
      </c>
      <c r="B112" s="28">
        <v>126.0</v>
      </c>
      <c r="C112" s="28">
        <v>4.88</v>
      </c>
      <c r="D112" s="28" t="s">
        <v>799</v>
      </c>
      <c r="E112" s="28" t="s">
        <v>1014</v>
      </c>
      <c r="F112" s="28"/>
      <c r="G112" s="28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8.75" customHeight="1">
      <c r="A113" s="28" t="s">
        <v>1015</v>
      </c>
      <c r="B113" s="28">
        <v>89.0</v>
      </c>
      <c r="C113" s="28">
        <v>4.84</v>
      </c>
      <c r="D113" s="28" t="s">
        <v>769</v>
      </c>
      <c r="E113" s="28" t="s">
        <v>1016</v>
      </c>
      <c r="F113" s="28"/>
      <c r="G113" s="28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8.75" customHeight="1">
      <c r="A114" s="28" t="s">
        <v>1017</v>
      </c>
      <c r="B114" s="28">
        <v>108.0</v>
      </c>
      <c r="C114" s="28">
        <v>3.86</v>
      </c>
      <c r="D114" s="28" t="s">
        <v>758</v>
      </c>
      <c r="E114" s="28" t="s">
        <v>1018</v>
      </c>
      <c r="F114" s="28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8.75" customHeight="1">
      <c r="A115" s="28" t="s">
        <v>1019</v>
      </c>
      <c r="B115" s="28">
        <v>93.0</v>
      </c>
      <c r="C115" s="28">
        <v>3.79</v>
      </c>
      <c r="D115" s="28" t="s">
        <v>785</v>
      </c>
      <c r="E115" s="28" t="s">
        <v>1020</v>
      </c>
      <c r="F115" s="28"/>
      <c r="G115" s="28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8.75" customHeight="1">
      <c r="A116" s="28" t="s">
        <v>1021</v>
      </c>
      <c r="B116" s="28">
        <v>51.0</v>
      </c>
      <c r="C116" s="28">
        <v>4.8</v>
      </c>
      <c r="D116" s="28" t="s">
        <v>1022</v>
      </c>
      <c r="E116" s="28" t="s">
        <v>1023</v>
      </c>
      <c r="F116" s="28"/>
      <c r="G116" s="28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8.75" customHeight="1">
      <c r="A117" s="28" t="s">
        <v>1024</v>
      </c>
      <c r="B117" s="28">
        <v>132.0</v>
      </c>
      <c r="C117" s="28">
        <v>4.78</v>
      </c>
      <c r="D117" s="28" t="s">
        <v>799</v>
      </c>
      <c r="E117" s="28" t="s">
        <v>1025</v>
      </c>
      <c r="F117" s="28"/>
      <c r="G117" s="28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8.75" customHeight="1">
      <c r="A118" s="28" t="s">
        <v>1026</v>
      </c>
      <c r="B118" s="28">
        <v>64.0</v>
      </c>
      <c r="C118" s="28">
        <v>4.79</v>
      </c>
      <c r="D118" s="28" t="s">
        <v>764</v>
      </c>
      <c r="E118" s="28" t="s">
        <v>1027</v>
      </c>
      <c r="F118" s="28"/>
      <c r="G118" s="28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8.75" customHeight="1">
      <c r="A119" s="28" t="s">
        <v>1028</v>
      </c>
      <c r="B119" s="28">
        <v>456.0</v>
      </c>
      <c r="C119" s="28">
        <v>4.85</v>
      </c>
      <c r="D119" s="28" t="s">
        <v>1022</v>
      </c>
      <c r="E119" s="28" t="s">
        <v>1029</v>
      </c>
      <c r="F119" s="28"/>
      <c r="G119" s="28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8.75" customHeight="1">
      <c r="A120" s="28" t="s">
        <v>1030</v>
      </c>
      <c r="B120" s="28">
        <v>89.0</v>
      </c>
      <c r="C120" s="28">
        <v>4.8</v>
      </c>
      <c r="D120" s="28" t="s">
        <v>769</v>
      </c>
      <c r="E120" s="28" t="s">
        <v>1031</v>
      </c>
      <c r="F120" s="28"/>
      <c r="G120" s="28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8.75" customHeight="1">
      <c r="A121" s="28" t="s">
        <v>1032</v>
      </c>
      <c r="B121" s="28">
        <v>90.0</v>
      </c>
      <c r="C121" s="28">
        <v>4.67</v>
      </c>
      <c r="D121" s="28" t="s">
        <v>867</v>
      </c>
      <c r="E121" s="28" t="s">
        <v>1033</v>
      </c>
      <c r="F121" s="28"/>
      <c r="G121" s="28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8.75" customHeight="1">
      <c r="A122" s="28" t="s">
        <v>1034</v>
      </c>
      <c r="B122" s="28">
        <v>91.0</v>
      </c>
      <c r="C122" s="28">
        <v>4.72</v>
      </c>
      <c r="D122" s="28" t="s">
        <v>764</v>
      </c>
      <c r="E122" s="28" t="s">
        <v>1035</v>
      </c>
      <c r="F122" s="28"/>
      <c r="G122" s="28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8.75" customHeight="1">
      <c r="A123" s="28" t="s">
        <v>1036</v>
      </c>
      <c r="B123" s="28">
        <v>152.0</v>
      </c>
      <c r="C123" s="28">
        <v>4.9</v>
      </c>
      <c r="D123" s="28" t="s">
        <v>799</v>
      </c>
      <c r="E123" s="28" t="s">
        <v>1037</v>
      </c>
      <c r="F123" s="28"/>
      <c r="G123" s="28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8.75" customHeight="1">
      <c r="A124" s="28" t="s">
        <v>1038</v>
      </c>
      <c r="B124" s="28">
        <v>48.0</v>
      </c>
      <c r="C124" s="28">
        <v>3.89</v>
      </c>
      <c r="D124" s="28" t="s">
        <v>857</v>
      </c>
      <c r="E124" s="28" t="s">
        <v>1039</v>
      </c>
      <c r="F124" s="28"/>
      <c r="G124" s="28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8.75" customHeight="1">
      <c r="A125" s="28" t="s">
        <v>1040</v>
      </c>
      <c r="B125" s="28">
        <v>57.0</v>
      </c>
      <c r="C125" s="28">
        <v>4.79</v>
      </c>
      <c r="D125" s="28" t="s">
        <v>715</v>
      </c>
      <c r="E125" s="28" t="s">
        <v>1041</v>
      </c>
      <c r="F125" s="28"/>
      <c r="G125" s="28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8.75" customHeight="1">
      <c r="A126" s="28" t="s">
        <v>1042</v>
      </c>
      <c r="B126" s="28">
        <v>138.0</v>
      </c>
      <c r="C126" s="28">
        <v>3.53</v>
      </c>
      <c r="D126" s="28" t="s">
        <v>758</v>
      </c>
      <c r="E126" s="28" t="s">
        <v>1043</v>
      </c>
      <c r="F126" s="28"/>
      <c r="G126" s="28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8.75" customHeight="1">
      <c r="A127" s="28" t="s">
        <v>1044</v>
      </c>
      <c r="B127" s="28">
        <v>89.0</v>
      </c>
      <c r="C127" s="28">
        <v>4.81</v>
      </c>
      <c r="D127" s="28" t="s">
        <v>769</v>
      </c>
      <c r="E127" s="28" t="s">
        <v>1045</v>
      </c>
      <c r="F127" s="28"/>
      <c r="G127" s="28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8.75" customHeight="1">
      <c r="A128" s="28" t="s">
        <v>1046</v>
      </c>
      <c r="B128" s="28">
        <v>36.0</v>
      </c>
      <c r="C128" s="28">
        <v>4.73</v>
      </c>
      <c r="D128" s="28" t="s">
        <v>911</v>
      </c>
      <c r="E128" s="28" t="s">
        <v>1047</v>
      </c>
      <c r="F128" s="28"/>
      <c r="G128" s="28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8.75" customHeight="1">
      <c r="A129" s="28" t="s">
        <v>1048</v>
      </c>
      <c r="B129" s="28">
        <v>24.0</v>
      </c>
      <c r="C129" s="28">
        <v>4.88</v>
      </c>
      <c r="D129" s="28" t="s">
        <v>911</v>
      </c>
      <c r="E129" s="28" t="s">
        <v>1049</v>
      </c>
      <c r="F129" s="28"/>
      <c r="G129" s="28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8.75" customHeight="1">
      <c r="A130" s="28" t="s">
        <v>1050</v>
      </c>
      <c r="B130" s="28">
        <v>158.0</v>
      </c>
      <c r="C130" s="28">
        <v>4.6</v>
      </c>
      <c r="D130" s="28" t="s">
        <v>764</v>
      </c>
      <c r="E130" s="28" t="s">
        <v>1051</v>
      </c>
      <c r="F130" s="28"/>
      <c r="G130" s="28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8.75" customHeight="1">
      <c r="A131" s="28" t="s">
        <v>1050</v>
      </c>
      <c r="B131" s="28">
        <v>480.0</v>
      </c>
      <c r="C131" s="28">
        <v>4.99</v>
      </c>
      <c r="D131" s="28" t="s">
        <v>764</v>
      </c>
      <c r="E131" s="28" t="s">
        <v>1051</v>
      </c>
      <c r="F131" s="28"/>
      <c r="G131" s="28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8.75" customHeight="1">
      <c r="A132" s="28" t="s">
        <v>1052</v>
      </c>
      <c r="B132" s="28">
        <v>601.0</v>
      </c>
      <c r="C132" s="28">
        <v>4.9</v>
      </c>
      <c r="D132" s="28" t="s">
        <v>769</v>
      </c>
      <c r="E132" s="28" t="s">
        <v>1053</v>
      </c>
      <c r="F132" s="28"/>
      <c r="G132" s="28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8.75" customHeight="1">
      <c r="A133" s="28"/>
      <c r="B133" s="28"/>
      <c r="C133" s="32"/>
      <c r="D133" s="32"/>
      <c r="E133" s="32"/>
      <c r="F133" s="28"/>
      <c r="G133" s="28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8.75" customHeight="1">
      <c r="A134" s="28"/>
      <c r="B134" s="28"/>
      <c r="C134" s="32"/>
      <c r="D134" s="32"/>
      <c r="E134" s="32"/>
      <c r="F134" s="28"/>
      <c r="G134" s="28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8.75" customHeight="1">
      <c r="A135" s="28"/>
      <c r="B135" s="28"/>
      <c r="C135" s="32"/>
      <c r="D135" s="32"/>
      <c r="E135" s="32"/>
      <c r="F135" s="28"/>
      <c r="G135" s="28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8.75" customHeight="1">
      <c r="A136" s="28"/>
      <c r="B136" s="28"/>
      <c r="C136" s="32"/>
      <c r="D136" s="32"/>
      <c r="E136" s="32"/>
      <c r="F136" s="28"/>
      <c r="G136" s="28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8.75" customHeight="1">
      <c r="A137" s="28"/>
      <c r="B137" s="28"/>
      <c r="C137" s="32"/>
      <c r="D137" s="32"/>
      <c r="E137" s="32"/>
      <c r="F137" s="28"/>
      <c r="G137" s="28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8.75" customHeight="1">
      <c r="A138" s="28"/>
      <c r="B138" s="28"/>
      <c r="C138" s="32"/>
      <c r="D138" s="32"/>
      <c r="E138" s="32"/>
      <c r="F138" s="28"/>
      <c r="G138" s="28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8.75" customHeight="1">
      <c r="A139" s="28"/>
      <c r="B139" s="28"/>
      <c r="C139" s="32"/>
      <c r="D139" s="32"/>
      <c r="E139" s="32"/>
      <c r="F139" s="28"/>
      <c r="G139" s="28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8.75" customHeight="1">
      <c r="A140" s="28"/>
      <c r="B140" s="28"/>
      <c r="C140" s="32"/>
      <c r="D140" s="32"/>
      <c r="E140" s="32"/>
      <c r="F140" s="28"/>
      <c r="G140" s="28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8.75" customHeight="1">
      <c r="A141" s="28"/>
      <c r="B141" s="28"/>
      <c r="C141" s="32"/>
      <c r="D141" s="32"/>
      <c r="E141" s="32"/>
      <c r="F141" s="28"/>
      <c r="G141" s="28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8.75" customHeight="1">
      <c r="A142" s="28"/>
      <c r="B142" s="28"/>
      <c r="C142" s="32"/>
      <c r="D142" s="32"/>
      <c r="E142" s="32"/>
      <c r="F142" s="28"/>
      <c r="G142" s="28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8.75" customHeight="1">
      <c r="A143" s="28"/>
      <c r="B143" s="28"/>
      <c r="C143" s="32"/>
      <c r="D143" s="32"/>
      <c r="E143" s="32"/>
      <c r="F143" s="28"/>
      <c r="G143" s="28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8.75" customHeight="1">
      <c r="A144" s="28"/>
      <c r="B144" s="28"/>
      <c r="C144" s="32"/>
      <c r="D144" s="32"/>
      <c r="E144" s="32"/>
      <c r="F144" s="28"/>
      <c r="G144" s="28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8.75" customHeight="1">
      <c r="A145" s="28"/>
      <c r="B145" s="28"/>
      <c r="C145" s="32"/>
      <c r="D145" s="32"/>
      <c r="E145" s="32"/>
      <c r="F145" s="28"/>
      <c r="G145" s="28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8.75" customHeight="1">
      <c r="A146" s="28"/>
      <c r="B146" s="28"/>
      <c r="C146" s="32"/>
      <c r="D146" s="32"/>
      <c r="E146" s="32"/>
      <c r="F146" s="28"/>
      <c r="G146" s="28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8.75" customHeight="1">
      <c r="A147" s="28"/>
      <c r="B147" s="28"/>
      <c r="C147" s="32"/>
      <c r="D147" s="32"/>
      <c r="E147" s="32"/>
      <c r="F147" s="28"/>
      <c r="G147" s="28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8.75" customHeight="1">
      <c r="A148" s="28"/>
      <c r="B148" s="28"/>
      <c r="C148" s="32"/>
      <c r="D148" s="32"/>
      <c r="E148" s="32"/>
      <c r="F148" s="28"/>
      <c r="G148" s="28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8.75" customHeight="1">
      <c r="A149" s="28"/>
      <c r="B149" s="28"/>
      <c r="C149" s="32"/>
      <c r="D149" s="32"/>
      <c r="E149" s="32"/>
      <c r="F149" s="28"/>
      <c r="G149" s="28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8.75" customHeight="1">
      <c r="A150" s="28"/>
      <c r="B150" s="28"/>
      <c r="C150" s="32"/>
      <c r="D150" s="32"/>
      <c r="E150" s="32"/>
      <c r="F150" s="28"/>
      <c r="G150" s="28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8.75" customHeight="1">
      <c r="A151" s="28"/>
      <c r="B151" s="28"/>
      <c r="C151" s="32"/>
      <c r="D151" s="32"/>
      <c r="E151" s="32"/>
      <c r="F151" s="28"/>
      <c r="G151" s="28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8.75" customHeight="1">
      <c r="A152" s="28"/>
      <c r="B152" s="28"/>
      <c r="C152" s="32"/>
      <c r="D152" s="32"/>
      <c r="E152" s="32"/>
      <c r="F152" s="28"/>
      <c r="G152" s="28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8.75" customHeight="1">
      <c r="A153" s="28"/>
      <c r="B153" s="28"/>
      <c r="C153" s="32"/>
      <c r="D153" s="32"/>
      <c r="E153" s="32"/>
      <c r="F153" s="28"/>
      <c r="G153" s="28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8.75" customHeight="1">
      <c r="A154" s="28"/>
      <c r="B154" s="28"/>
      <c r="C154" s="32"/>
      <c r="D154" s="32"/>
      <c r="E154" s="32"/>
      <c r="F154" s="28"/>
      <c r="G154" s="28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8.75" customHeight="1">
      <c r="A155" s="28"/>
      <c r="B155" s="28"/>
      <c r="C155" s="32"/>
      <c r="D155" s="32"/>
      <c r="E155" s="32"/>
      <c r="F155" s="28"/>
      <c r="G155" s="28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8.75" customHeight="1">
      <c r="A156" s="28"/>
      <c r="B156" s="28"/>
      <c r="C156" s="32"/>
      <c r="D156" s="32"/>
      <c r="E156" s="32"/>
      <c r="F156" s="28"/>
      <c r="G156" s="28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8.75" customHeight="1">
      <c r="A157" s="28"/>
      <c r="B157" s="28"/>
      <c r="C157" s="32"/>
      <c r="D157" s="32"/>
      <c r="E157" s="32"/>
      <c r="F157" s="28"/>
      <c r="G157" s="28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8.75" customHeight="1">
      <c r="A158" s="28"/>
      <c r="B158" s="28"/>
      <c r="C158" s="32"/>
      <c r="D158" s="32"/>
      <c r="E158" s="32"/>
      <c r="F158" s="28"/>
      <c r="G158" s="28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8.75" customHeight="1">
      <c r="A159" s="28"/>
      <c r="B159" s="28"/>
      <c r="C159" s="32"/>
      <c r="D159" s="32"/>
      <c r="E159" s="32"/>
      <c r="F159" s="28"/>
      <c r="G159" s="28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8.75" customHeight="1">
      <c r="A160" s="28"/>
      <c r="B160" s="28"/>
      <c r="C160" s="32"/>
      <c r="D160" s="32"/>
      <c r="E160" s="32"/>
      <c r="F160" s="28"/>
      <c r="G160" s="28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8.75" customHeight="1">
      <c r="A161" s="28"/>
      <c r="B161" s="28"/>
      <c r="C161" s="32"/>
      <c r="D161" s="32"/>
      <c r="E161" s="32"/>
      <c r="F161" s="28"/>
      <c r="G161" s="28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8.75" customHeight="1">
      <c r="A162" s="28"/>
      <c r="B162" s="28"/>
      <c r="C162" s="32"/>
      <c r="D162" s="32"/>
      <c r="E162" s="32"/>
      <c r="F162" s="28"/>
      <c r="G162" s="28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8.75" customHeight="1">
      <c r="A163" s="28"/>
      <c r="B163" s="28"/>
      <c r="C163" s="32"/>
      <c r="D163" s="32"/>
      <c r="E163" s="32"/>
      <c r="F163" s="28"/>
      <c r="G163" s="28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8.75" customHeight="1">
      <c r="A164" s="28"/>
      <c r="B164" s="28"/>
      <c r="C164" s="32"/>
      <c r="D164" s="32"/>
      <c r="E164" s="32"/>
      <c r="F164" s="28"/>
      <c r="G164" s="28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8.75" customHeight="1">
      <c r="A165" s="28"/>
      <c r="B165" s="28"/>
      <c r="C165" s="32"/>
      <c r="D165" s="32"/>
      <c r="E165" s="32"/>
      <c r="F165" s="28"/>
      <c r="G165" s="28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8.75" customHeight="1">
      <c r="A166" s="28"/>
      <c r="B166" s="28"/>
      <c r="C166" s="32"/>
      <c r="D166" s="32"/>
      <c r="E166" s="32"/>
      <c r="F166" s="28"/>
      <c r="G166" s="28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8.75" customHeight="1">
      <c r="A167" s="28"/>
      <c r="B167" s="28"/>
      <c r="C167" s="32"/>
      <c r="D167" s="32"/>
      <c r="E167" s="32"/>
      <c r="F167" s="28"/>
      <c r="G167" s="28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8.75" customHeight="1">
      <c r="A168" s="28"/>
      <c r="B168" s="28"/>
      <c r="C168" s="32"/>
      <c r="D168" s="32"/>
      <c r="E168" s="32"/>
      <c r="F168" s="28"/>
      <c r="G168" s="28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8.75" customHeight="1">
      <c r="A169" s="28"/>
      <c r="B169" s="28"/>
      <c r="C169" s="32"/>
      <c r="D169" s="32"/>
      <c r="E169" s="32"/>
      <c r="F169" s="28"/>
      <c r="G169" s="28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8.75" customHeight="1">
      <c r="A170" s="28"/>
      <c r="B170" s="28"/>
      <c r="C170" s="32"/>
      <c r="D170" s="32"/>
      <c r="E170" s="32"/>
      <c r="F170" s="28"/>
      <c r="G170" s="28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8.75" customHeight="1">
      <c r="A171" s="28"/>
      <c r="B171" s="28"/>
      <c r="C171" s="32"/>
      <c r="D171" s="32"/>
      <c r="E171" s="32"/>
      <c r="F171" s="28"/>
      <c r="G171" s="28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8.75" customHeight="1">
      <c r="A172" s="28"/>
      <c r="B172" s="28"/>
      <c r="C172" s="32"/>
      <c r="D172" s="32"/>
      <c r="E172" s="32"/>
      <c r="F172" s="28"/>
      <c r="G172" s="28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8.75" customHeight="1">
      <c r="A173" s="28"/>
      <c r="B173" s="28"/>
      <c r="C173" s="32"/>
      <c r="D173" s="32"/>
      <c r="E173" s="32"/>
      <c r="F173" s="28"/>
      <c r="G173" s="28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8.75" customHeight="1">
      <c r="A174" s="28"/>
      <c r="B174" s="28"/>
      <c r="C174" s="32"/>
      <c r="D174" s="32"/>
      <c r="E174" s="32"/>
      <c r="F174" s="28"/>
      <c r="G174" s="28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8.75" customHeight="1">
      <c r="A175" s="28"/>
      <c r="B175" s="28"/>
      <c r="C175" s="32"/>
      <c r="D175" s="32"/>
      <c r="E175" s="32"/>
      <c r="F175" s="28"/>
      <c r="G175" s="28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8.75" customHeight="1">
      <c r="A176" s="28"/>
      <c r="B176" s="28"/>
      <c r="C176" s="32"/>
      <c r="D176" s="32"/>
      <c r="E176" s="32"/>
      <c r="F176" s="28"/>
      <c r="G176" s="28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8.75" customHeight="1">
      <c r="A177" s="28"/>
      <c r="B177" s="28"/>
      <c r="C177" s="32"/>
      <c r="D177" s="32"/>
      <c r="E177" s="32"/>
      <c r="F177" s="28"/>
      <c r="G177" s="28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8.75" customHeight="1">
      <c r="A178" s="28"/>
      <c r="B178" s="28"/>
      <c r="C178" s="32"/>
      <c r="D178" s="32"/>
      <c r="E178" s="32"/>
      <c r="F178" s="28"/>
      <c r="G178" s="28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8.75" customHeight="1">
      <c r="A179" s="28"/>
      <c r="B179" s="28"/>
      <c r="C179" s="32"/>
      <c r="D179" s="32"/>
      <c r="E179" s="32"/>
      <c r="F179" s="28"/>
      <c r="G179" s="28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8.75" customHeight="1">
      <c r="A180" s="28"/>
      <c r="B180" s="28"/>
      <c r="C180" s="32"/>
      <c r="D180" s="32"/>
      <c r="E180" s="32"/>
      <c r="F180" s="28"/>
      <c r="G180" s="28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8.75" customHeight="1">
      <c r="A181" s="28"/>
      <c r="B181" s="28"/>
      <c r="C181" s="32"/>
      <c r="D181" s="32"/>
      <c r="E181" s="32"/>
      <c r="F181" s="28"/>
      <c r="G181" s="28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8.75" customHeight="1">
      <c r="A182" s="28"/>
      <c r="B182" s="28"/>
      <c r="C182" s="32"/>
      <c r="D182" s="32"/>
      <c r="E182" s="32"/>
      <c r="F182" s="28"/>
      <c r="G182" s="28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8.75" customHeight="1">
      <c r="A183" s="28"/>
      <c r="B183" s="28"/>
      <c r="C183" s="32"/>
      <c r="D183" s="32"/>
      <c r="E183" s="32"/>
      <c r="F183" s="28"/>
      <c r="G183" s="28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8.75" customHeight="1">
      <c r="A184" s="28"/>
      <c r="B184" s="28"/>
      <c r="C184" s="32"/>
      <c r="D184" s="32"/>
      <c r="E184" s="32"/>
      <c r="F184" s="28"/>
      <c r="G184" s="28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8.75" customHeight="1">
      <c r="A185" s="28"/>
      <c r="B185" s="28"/>
      <c r="C185" s="32"/>
      <c r="D185" s="32"/>
      <c r="E185" s="32"/>
      <c r="F185" s="28"/>
      <c r="G185" s="28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8.75" customHeight="1">
      <c r="A186" s="28"/>
      <c r="B186" s="28"/>
      <c r="C186" s="32"/>
      <c r="D186" s="32"/>
      <c r="E186" s="32"/>
      <c r="F186" s="28"/>
      <c r="G186" s="28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8.75" customHeight="1">
      <c r="A187" s="28"/>
      <c r="B187" s="28"/>
      <c r="C187" s="32"/>
      <c r="D187" s="32"/>
      <c r="E187" s="32"/>
      <c r="F187" s="28"/>
      <c r="G187" s="28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8.75" customHeight="1">
      <c r="A188" s="28"/>
      <c r="B188" s="28"/>
      <c r="C188" s="32"/>
      <c r="D188" s="32"/>
      <c r="E188" s="32"/>
      <c r="F188" s="28"/>
      <c r="G188" s="28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8.75" customHeight="1">
      <c r="A189" s="28"/>
      <c r="B189" s="28"/>
      <c r="C189" s="32"/>
      <c r="D189" s="32"/>
      <c r="E189" s="32"/>
      <c r="F189" s="28"/>
      <c r="G189" s="28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8.75" customHeight="1">
      <c r="A190" s="28"/>
      <c r="B190" s="28"/>
      <c r="C190" s="32"/>
      <c r="D190" s="32"/>
      <c r="E190" s="32"/>
      <c r="F190" s="28"/>
      <c r="G190" s="28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8.75" customHeight="1">
      <c r="A191" s="28"/>
      <c r="B191" s="28"/>
      <c r="C191" s="32"/>
      <c r="D191" s="32"/>
      <c r="E191" s="32"/>
      <c r="F191" s="28"/>
      <c r="G191" s="2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8.75" customHeight="1">
      <c r="A192" s="28"/>
      <c r="B192" s="28"/>
      <c r="C192" s="32"/>
      <c r="D192" s="32"/>
      <c r="E192" s="32"/>
      <c r="F192" s="28"/>
      <c r="G192" s="28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8.75" customHeight="1">
      <c r="A193" s="28"/>
      <c r="B193" s="28"/>
      <c r="C193" s="32"/>
      <c r="D193" s="32"/>
      <c r="E193" s="32"/>
      <c r="F193" s="28"/>
      <c r="G193" s="28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8.75" customHeight="1">
      <c r="A194" s="28"/>
      <c r="B194" s="28"/>
      <c r="C194" s="32"/>
      <c r="D194" s="32"/>
      <c r="E194" s="32"/>
      <c r="F194" s="28"/>
      <c r="G194" s="28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8.75" customHeight="1">
      <c r="A195" s="28"/>
      <c r="B195" s="28"/>
      <c r="C195" s="32"/>
      <c r="D195" s="32"/>
      <c r="E195" s="32"/>
      <c r="F195" s="28"/>
      <c r="G195" s="28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8.75" customHeight="1">
      <c r="A196" s="28"/>
      <c r="B196" s="28"/>
      <c r="C196" s="32"/>
      <c r="D196" s="32"/>
      <c r="E196" s="32"/>
      <c r="F196" s="28"/>
      <c r="G196" s="28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8.75" customHeight="1">
      <c r="A197" s="28"/>
      <c r="B197" s="28"/>
      <c r="C197" s="32"/>
      <c r="D197" s="32"/>
      <c r="E197" s="32"/>
      <c r="F197" s="28"/>
      <c r="G197" s="28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8.75" customHeight="1">
      <c r="A198" s="28"/>
      <c r="B198" s="28"/>
      <c r="C198" s="32"/>
      <c r="D198" s="32"/>
      <c r="E198" s="32"/>
      <c r="F198" s="28"/>
      <c r="G198" s="28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8.75" customHeight="1">
      <c r="A199" s="28"/>
      <c r="B199" s="28"/>
      <c r="C199" s="32"/>
      <c r="D199" s="32"/>
      <c r="E199" s="32"/>
      <c r="F199" s="28"/>
      <c r="G199" s="28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8.75" customHeight="1">
      <c r="A200" s="28"/>
      <c r="B200" s="28"/>
      <c r="C200" s="32"/>
      <c r="D200" s="32"/>
      <c r="E200" s="32"/>
      <c r="F200" s="28"/>
      <c r="G200" s="28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8.75" customHeight="1">
      <c r="A201" s="28"/>
      <c r="B201" s="28"/>
      <c r="C201" s="32"/>
      <c r="D201" s="32"/>
      <c r="E201" s="32"/>
      <c r="F201" s="28"/>
      <c r="G201" s="28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8.75" customHeight="1">
      <c r="A202" s="28"/>
      <c r="B202" s="28"/>
      <c r="C202" s="32"/>
      <c r="D202" s="32"/>
      <c r="E202" s="32"/>
      <c r="F202" s="28"/>
      <c r="G202" s="28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8.75" customHeight="1">
      <c r="A203" s="28"/>
      <c r="B203" s="28"/>
      <c r="C203" s="32"/>
      <c r="D203" s="32"/>
      <c r="E203" s="32"/>
      <c r="F203" s="28"/>
      <c r="G203" s="2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8.75" customHeight="1">
      <c r="A204" s="28"/>
      <c r="B204" s="28"/>
      <c r="C204" s="32"/>
      <c r="D204" s="32"/>
      <c r="E204" s="32"/>
      <c r="F204" s="28"/>
      <c r="G204" s="28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8.75" customHeight="1">
      <c r="A205" s="28"/>
      <c r="B205" s="28"/>
      <c r="C205" s="32"/>
      <c r="D205" s="32"/>
      <c r="E205" s="32"/>
      <c r="F205" s="28"/>
      <c r="G205" s="28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8.75" customHeight="1">
      <c r="A206" s="28"/>
      <c r="B206" s="28"/>
      <c r="C206" s="32"/>
      <c r="D206" s="32"/>
      <c r="E206" s="32"/>
      <c r="F206" s="28"/>
      <c r="G206" s="28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8.75" customHeight="1">
      <c r="A207" s="28"/>
      <c r="B207" s="28"/>
      <c r="C207" s="32"/>
      <c r="D207" s="32"/>
      <c r="E207" s="32"/>
      <c r="F207" s="28"/>
      <c r="G207" s="28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8.75" customHeight="1">
      <c r="A208" s="28"/>
      <c r="B208" s="28"/>
      <c r="C208" s="32"/>
      <c r="D208" s="32"/>
      <c r="E208" s="32"/>
      <c r="F208" s="28"/>
      <c r="G208" s="28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8.75" customHeight="1">
      <c r="A209" s="28"/>
      <c r="B209" s="28"/>
      <c r="C209" s="32"/>
      <c r="D209" s="32"/>
      <c r="E209" s="32"/>
      <c r="F209" s="28"/>
      <c r="G209" s="28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8.75" customHeight="1">
      <c r="A210" s="28"/>
      <c r="B210" s="28"/>
      <c r="C210" s="32"/>
      <c r="D210" s="32"/>
      <c r="E210" s="32"/>
      <c r="F210" s="28"/>
      <c r="G210" s="28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8.75" customHeight="1">
      <c r="A211" s="28"/>
      <c r="B211" s="28"/>
      <c r="C211" s="32"/>
      <c r="D211" s="32"/>
      <c r="E211" s="32"/>
      <c r="F211" s="28"/>
      <c r="G211" s="28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8.75" customHeight="1">
      <c r="A212" s="28"/>
      <c r="B212" s="28"/>
      <c r="C212" s="32"/>
      <c r="D212" s="32"/>
      <c r="E212" s="32"/>
      <c r="F212" s="28"/>
      <c r="G212" s="28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8.75" customHeight="1">
      <c r="A213" s="28"/>
      <c r="B213" s="28"/>
      <c r="C213" s="32"/>
      <c r="D213" s="32"/>
      <c r="E213" s="32"/>
      <c r="F213" s="28"/>
      <c r="G213" s="28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8.75" customHeight="1">
      <c r="A214" s="28"/>
      <c r="B214" s="28"/>
      <c r="C214" s="32"/>
      <c r="D214" s="32"/>
      <c r="E214" s="32"/>
      <c r="F214" s="28"/>
      <c r="G214" s="28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8.75" customHeight="1">
      <c r="A215" s="28"/>
      <c r="B215" s="28"/>
      <c r="C215" s="32"/>
      <c r="D215" s="32"/>
      <c r="E215" s="32"/>
      <c r="F215" s="28"/>
      <c r="G215" s="28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8.75" customHeight="1">
      <c r="A216" s="28"/>
      <c r="B216" s="28"/>
      <c r="C216" s="32"/>
      <c r="D216" s="32"/>
      <c r="E216" s="32"/>
      <c r="F216" s="28"/>
      <c r="G216" s="28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8.75" customHeight="1">
      <c r="A217" s="28"/>
      <c r="B217" s="28"/>
      <c r="C217" s="32"/>
      <c r="D217" s="32"/>
      <c r="E217" s="32"/>
      <c r="F217" s="28"/>
      <c r="G217" s="28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8.75" customHeight="1">
      <c r="A218" s="28"/>
      <c r="B218" s="28"/>
      <c r="C218" s="32"/>
      <c r="D218" s="32"/>
      <c r="E218" s="32"/>
      <c r="F218" s="28"/>
      <c r="G218" s="28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8.75" customHeight="1">
      <c r="A219" s="28"/>
      <c r="B219" s="28"/>
      <c r="C219" s="32"/>
      <c r="D219" s="32"/>
      <c r="E219" s="32"/>
      <c r="F219" s="28"/>
      <c r="G219" s="28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8.75" customHeight="1">
      <c r="A220" s="28"/>
      <c r="B220" s="28"/>
      <c r="C220" s="32"/>
      <c r="D220" s="32"/>
      <c r="E220" s="32"/>
      <c r="F220" s="28"/>
      <c r="G220" s="28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8.75" customHeight="1">
      <c r="A221" s="28"/>
      <c r="B221" s="28"/>
      <c r="C221" s="32"/>
      <c r="D221" s="32"/>
      <c r="E221" s="32"/>
      <c r="F221" s="28"/>
      <c r="G221" s="28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8.75" customHeight="1">
      <c r="A222" s="28"/>
      <c r="B222" s="28"/>
      <c r="C222" s="32"/>
      <c r="D222" s="32"/>
      <c r="E222" s="32"/>
      <c r="F222" s="28"/>
      <c r="G222" s="28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8.75" customHeight="1">
      <c r="A223" s="28"/>
      <c r="B223" s="28"/>
      <c r="C223" s="32"/>
      <c r="D223" s="32"/>
      <c r="E223" s="32"/>
      <c r="F223" s="28"/>
      <c r="G223" s="28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8.75" customHeight="1">
      <c r="A224" s="28"/>
      <c r="B224" s="28"/>
      <c r="C224" s="32"/>
      <c r="D224" s="32"/>
      <c r="E224" s="32"/>
      <c r="F224" s="28"/>
      <c r="G224" s="28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8.75" customHeight="1">
      <c r="A225" s="28"/>
      <c r="B225" s="28"/>
      <c r="C225" s="32"/>
      <c r="D225" s="32"/>
      <c r="E225" s="32"/>
      <c r="F225" s="28"/>
      <c r="G225" s="28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8.75" customHeight="1">
      <c r="A226" s="28"/>
      <c r="B226" s="28"/>
      <c r="C226" s="32"/>
      <c r="D226" s="32"/>
      <c r="E226" s="32"/>
      <c r="F226" s="28"/>
      <c r="G226" s="28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8.75" customHeight="1">
      <c r="A227" s="28"/>
      <c r="B227" s="28"/>
      <c r="C227" s="32"/>
      <c r="D227" s="32"/>
      <c r="E227" s="32"/>
      <c r="F227" s="28"/>
      <c r="G227" s="28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8.75" customHeight="1">
      <c r="A228" s="28"/>
      <c r="B228" s="28"/>
      <c r="C228" s="32"/>
      <c r="D228" s="32"/>
      <c r="E228" s="32"/>
      <c r="F228" s="28"/>
      <c r="G228" s="28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8.75" customHeight="1">
      <c r="A229" s="28"/>
      <c r="B229" s="28"/>
      <c r="C229" s="32"/>
      <c r="D229" s="32"/>
      <c r="E229" s="32"/>
      <c r="F229" s="28"/>
      <c r="G229" s="28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8.75" customHeight="1">
      <c r="A230" s="28"/>
      <c r="B230" s="28"/>
      <c r="C230" s="32"/>
      <c r="D230" s="32"/>
      <c r="E230" s="32"/>
      <c r="F230" s="28"/>
      <c r="G230" s="28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8.75" customHeight="1">
      <c r="A231" s="28"/>
      <c r="B231" s="28"/>
      <c r="C231" s="32"/>
      <c r="D231" s="32"/>
      <c r="E231" s="32"/>
      <c r="F231" s="28"/>
      <c r="G231" s="28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8.75" customHeight="1">
      <c r="A232" s="28"/>
      <c r="B232" s="28"/>
      <c r="C232" s="32"/>
      <c r="D232" s="32"/>
      <c r="E232" s="32"/>
      <c r="F232" s="28"/>
      <c r="G232" s="28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8.75" customHeight="1">
      <c r="A233" s="28"/>
      <c r="B233" s="28"/>
      <c r="C233" s="32"/>
      <c r="D233" s="32"/>
      <c r="E233" s="32"/>
      <c r="F233" s="28"/>
      <c r="G233" s="28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8.75" customHeight="1">
      <c r="A234" s="28"/>
      <c r="B234" s="28"/>
      <c r="C234" s="32"/>
      <c r="D234" s="32"/>
      <c r="E234" s="32"/>
      <c r="F234" s="28"/>
      <c r="G234" s="28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8.75" customHeight="1">
      <c r="A235" s="28"/>
      <c r="B235" s="28"/>
      <c r="C235" s="32"/>
      <c r="D235" s="32"/>
      <c r="E235" s="32"/>
      <c r="F235" s="28"/>
      <c r="G235" s="28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8.75" customHeight="1">
      <c r="A236" s="28"/>
      <c r="B236" s="28"/>
      <c r="C236" s="32"/>
      <c r="D236" s="32"/>
      <c r="E236" s="32"/>
      <c r="F236" s="28"/>
      <c r="G236" s="28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8.75" customHeight="1">
      <c r="A237" s="28"/>
      <c r="B237" s="28"/>
      <c r="C237" s="32"/>
      <c r="D237" s="32"/>
      <c r="E237" s="32"/>
      <c r="F237" s="28"/>
      <c r="G237" s="28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8.75" customHeight="1">
      <c r="A238" s="28"/>
      <c r="B238" s="28"/>
      <c r="C238" s="32"/>
      <c r="D238" s="32"/>
      <c r="E238" s="32"/>
      <c r="F238" s="28"/>
      <c r="G238" s="28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8.75" customHeight="1">
      <c r="A239" s="28"/>
      <c r="B239" s="28"/>
      <c r="C239" s="32"/>
      <c r="D239" s="32"/>
      <c r="E239" s="32"/>
      <c r="F239" s="28"/>
      <c r="G239" s="2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8.75" customHeight="1">
      <c r="A240" s="28"/>
      <c r="B240" s="28"/>
      <c r="C240" s="32"/>
      <c r="D240" s="32"/>
      <c r="E240" s="32"/>
      <c r="F240" s="28"/>
      <c r="G240" s="28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8.75" customHeight="1">
      <c r="A241" s="28"/>
      <c r="B241" s="28"/>
      <c r="C241" s="32"/>
      <c r="D241" s="32"/>
      <c r="E241" s="32"/>
      <c r="F241" s="28"/>
      <c r="G241" s="28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8.75" customHeight="1">
      <c r="A242" s="28"/>
      <c r="B242" s="28"/>
      <c r="C242" s="32"/>
      <c r="D242" s="32"/>
      <c r="E242" s="32"/>
      <c r="F242" s="28"/>
      <c r="G242" s="28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8.75" customHeight="1">
      <c r="A243" s="28"/>
      <c r="B243" s="28"/>
      <c r="C243" s="32"/>
      <c r="D243" s="32"/>
      <c r="E243" s="32"/>
      <c r="F243" s="28"/>
      <c r="G243" s="28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8.75" customHeight="1">
      <c r="A244" s="28"/>
      <c r="B244" s="28"/>
      <c r="C244" s="32"/>
      <c r="D244" s="32"/>
      <c r="E244" s="32"/>
      <c r="F244" s="28"/>
      <c r="G244" s="2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8.75" customHeight="1">
      <c r="A245" s="28"/>
      <c r="B245" s="28"/>
      <c r="C245" s="32"/>
      <c r="D245" s="32"/>
      <c r="E245" s="32"/>
      <c r="F245" s="28"/>
      <c r="G245" s="28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8.75" customHeight="1">
      <c r="A246" s="28"/>
      <c r="B246" s="28"/>
      <c r="C246" s="32"/>
      <c r="D246" s="32"/>
      <c r="E246" s="32"/>
      <c r="F246" s="28"/>
      <c r="G246" s="28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8.75" customHeight="1">
      <c r="A247" s="28"/>
      <c r="B247" s="28"/>
      <c r="C247" s="32"/>
      <c r="D247" s="32"/>
      <c r="E247" s="32"/>
      <c r="F247" s="28"/>
      <c r="G247" s="28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8.75" customHeight="1">
      <c r="A248" s="28"/>
      <c r="B248" s="28"/>
      <c r="C248" s="32"/>
      <c r="D248" s="32"/>
      <c r="E248" s="32"/>
      <c r="F248" s="28"/>
      <c r="G248" s="28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8.75" customHeight="1">
      <c r="A249" s="28"/>
      <c r="B249" s="28"/>
      <c r="C249" s="32"/>
      <c r="D249" s="32"/>
      <c r="E249" s="32"/>
      <c r="F249" s="28"/>
      <c r="G249" s="28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8.75" customHeight="1">
      <c r="A250" s="28"/>
      <c r="B250" s="28"/>
      <c r="C250" s="32"/>
      <c r="D250" s="32"/>
      <c r="E250" s="32"/>
      <c r="F250" s="28"/>
      <c r="G250" s="28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8.75" customHeight="1">
      <c r="A251" s="28"/>
      <c r="B251" s="28"/>
      <c r="C251" s="32"/>
      <c r="D251" s="32"/>
      <c r="E251" s="32"/>
      <c r="F251" s="28"/>
      <c r="G251" s="28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8.75" customHeight="1">
      <c r="A252" s="28"/>
      <c r="B252" s="28"/>
      <c r="C252" s="32"/>
      <c r="D252" s="32"/>
      <c r="E252" s="32"/>
      <c r="F252" s="28"/>
      <c r="G252" s="28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8.75" customHeight="1">
      <c r="A253" s="28"/>
      <c r="B253" s="28"/>
      <c r="C253" s="32"/>
      <c r="D253" s="32"/>
      <c r="E253" s="32"/>
      <c r="F253" s="28"/>
      <c r="G253" s="28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8.75" customHeight="1">
      <c r="A254" s="28"/>
      <c r="B254" s="28"/>
      <c r="C254" s="32"/>
      <c r="D254" s="32"/>
      <c r="E254" s="32"/>
      <c r="F254" s="28"/>
      <c r="G254" s="28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8.75" customHeight="1">
      <c r="A255" s="28"/>
      <c r="B255" s="28"/>
      <c r="C255" s="32"/>
      <c r="D255" s="32"/>
      <c r="E255" s="32"/>
      <c r="F255" s="28"/>
      <c r="G255" s="28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8.75" customHeight="1">
      <c r="A256" s="28"/>
      <c r="B256" s="28"/>
      <c r="C256" s="32"/>
      <c r="D256" s="32"/>
      <c r="E256" s="32"/>
      <c r="F256" s="28"/>
      <c r="G256" s="28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8.75" customHeight="1">
      <c r="A257" s="28"/>
      <c r="B257" s="28"/>
      <c r="C257" s="32"/>
      <c r="D257" s="32"/>
      <c r="E257" s="32"/>
      <c r="F257" s="28"/>
      <c r="G257" s="28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8.75" customHeight="1">
      <c r="A258" s="28"/>
      <c r="B258" s="28"/>
      <c r="C258" s="32"/>
      <c r="D258" s="32"/>
      <c r="E258" s="32"/>
      <c r="F258" s="28"/>
      <c r="G258" s="28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8.75" customHeight="1">
      <c r="A259" s="28"/>
      <c r="B259" s="28"/>
      <c r="C259" s="32"/>
      <c r="D259" s="32"/>
      <c r="E259" s="32"/>
      <c r="F259" s="28"/>
      <c r="G259" s="28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8.75" customHeight="1">
      <c r="A260" s="28"/>
      <c r="B260" s="28"/>
      <c r="C260" s="32"/>
      <c r="D260" s="32"/>
      <c r="E260" s="32"/>
      <c r="F260" s="28"/>
      <c r="G260" s="28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8.75" customHeight="1">
      <c r="A261" s="28"/>
      <c r="B261" s="28"/>
      <c r="C261" s="32"/>
      <c r="D261" s="32"/>
      <c r="E261" s="32"/>
      <c r="F261" s="28"/>
      <c r="G261" s="28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8.75" customHeight="1">
      <c r="A262" s="28"/>
      <c r="B262" s="28"/>
      <c r="C262" s="32"/>
      <c r="D262" s="32"/>
      <c r="E262" s="32"/>
      <c r="F262" s="28"/>
      <c r="G262" s="28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8.75" customHeight="1">
      <c r="A263" s="28"/>
      <c r="B263" s="28"/>
      <c r="C263" s="32"/>
      <c r="D263" s="32"/>
      <c r="E263" s="32"/>
      <c r="F263" s="28"/>
      <c r="G263" s="28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8.75" customHeight="1">
      <c r="A264" s="28"/>
      <c r="B264" s="28"/>
      <c r="C264" s="32"/>
      <c r="D264" s="32"/>
      <c r="E264" s="32"/>
      <c r="F264" s="28"/>
      <c r="G264" s="28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8.75" customHeight="1">
      <c r="A265" s="28"/>
      <c r="B265" s="28"/>
      <c r="C265" s="32"/>
      <c r="D265" s="32"/>
      <c r="E265" s="32"/>
      <c r="F265" s="28"/>
      <c r="G265" s="28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8.75" customHeight="1">
      <c r="A266" s="28"/>
      <c r="B266" s="28"/>
      <c r="C266" s="32"/>
      <c r="D266" s="32"/>
      <c r="E266" s="32"/>
      <c r="F266" s="28"/>
      <c r="G266" s="28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8.75" customHeight="1">
      <c r="A267" s="28"/>
      <c r="B267" s="28"/>
      <c r="C267" s="32"/>
      <c r="D267" s="32"/>
      <c r="E267" s="32"/>
      <c r="F267" s="28"/>
      <c r="G267" s="28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8.75" customHeight="1">
      <c r="A268" s="28"/>
      <c r="B268" s="28"/>
      <c r="C268" s="32"/>
      <c r="D268" s="32"/>
      <c r="E268" s="32"/>
      <c r="F268" s="28"/>
      <c r="G268" s="28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8.75" customHeight="1">
      <c r="A269" s="28"/>
      <c r="B269" s="28"/>
      <c r="C269" s="32"/>
      <c r="D269" s="32"/>
      <c r="E269" s="32"/>
      <c r="F269" s="28"/>
      <c r="G269" s="28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8.75" customHeight="1">
      <c r="A270" s="28"/>
      <c r="B270" s="28"/>
      <c r="C270" s="32"/>
      <c r="D270" s="32"/>
      <c r="E270" s="32"/>
      <c r="F270" s="28"/>
      <c r="G270" s="28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8.75" customHeight="1">
      <c r="A271" s="28"/>
      <c r="B271" s="28"/>
      <c r="C271" s="32"/>
      <c r="D271" s="32"/>
      <c r="E271" s="32"/>
      <c r="F271" s="28"/>
      <c r="G271" s="28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8.75" customHeight="1">
      <c r="A272" s="28"/>
      <c r="B272" s="28"/>
      <c r="C272" s="32"/>
      <c r="D272" s="32"/>
      <c r="E272" s="32"/>
      <c r="F272" s="28"/>
      <c r="G272" s="28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8.75" customHeight="1">
      <c r="A273" s="28"/>
      <c r="B273" s="28"/>
      <c r="C273" s="32"/>
      <c r="D273" s="32"/>
      <c r="E273" s="32"/>
      <c r="F273" s="28"/>
      <c r="G273" s="28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8.75" customHeight="1">
      <c r="A274" s="28"/>
      <c r="B274" s="28"/>
      <c r="C274" s="32"/>
      <c r="D274" s="32"/>
      <c r="E274" s="32"/>
      <c r="F274" s="28"/>
      <c r="G274" s="28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8.75" customHeight="1">
      <c r="A275" s="28"/>
      <c r="B275" s="28"/>
      <c r="C275" s="32"/>
      <c r="D275" s="32"/>
      <c r="E275" s="32"/>
      <c r="F275" s="28"/>
      <c r="G275" s="28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8.75" customHeight="1">
      <c r="A276" s="28"/>
      <c r="B276" s="28"/>
      <c r="C276" s="32"/>
      <c r="D276" s="32"/>
      <c r="E276" s="32"/>
      <c r="F276" s="28"/>
      <c r="G276" s="28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8.75" customHeight="1">
      <c r="A277" s="28"/>
      <c r="B277" s="28"/>
      <c r="C277" s="32"/>
      <c r="D277" s="32"/>
      <c r="E277" s="32"/>
      <c r="F277" s="28"/>
      <c r="G277" s="28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8.75" customHeight="1">
      <c r="A278" s="28"/>
      <c r="B278" s="28"/>
      <c r="C278" s="32"/>
      <c r="D278" s="32"/>
      <c r="E278" s="32"/>
      <c r="F278" s="28"/>
      <c r="G278" s="28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8.75" customHeight="1">
      <c r="A279" s="28"/>
      <c r="B279" s="28"/>
      <c r="C279" s="32"/>
      <c r="D279" s="32"/>
      <c r="E279" s="32"/>
      <c r="F279" s="28"/>
      <c r="G279" s="28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8.75" customHeight="1">
      <c r="A280" s="28"/>
      <c r="B280" s="28"/>
      <c r="C280" s="32"/>
      <c r="D280" s="32"/>
      <c r="E280" s="32"/>
      <c r="F280" s="28"/>
      <c r="G280" s="28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8.75" customHeight="1">
      <c r="A281" s="28"/>
      <c r="B281" s="28"/>
      <c r="C281" s="32"/>
      <c r="D281" s="32"/>
      <c r="E281" s="32"/>
      <c r="F281" s="28"/>
      <c r="G281" s="2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8.75" customHeight="1">
      <c r="A282" s="28"/>
      <c r="B282" s="28"/>
      <c r="C282" s="32"/>
      <c r="D282" s="32"/>
      <c r="E282" s="32"/>
      <c r="F282" s="28"/>
      <c r="G282" s="2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8.75" customHeight="1">
      <c r="A283" s="28"/>
      <c r="B283" s="28"/>
      <c r="C283" s="32"/>
      <c r="D283" s="32"/>
      <c r="E283" s="32"/>
      <c r="F283" s="28"/>
      <c r="G283" s="28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8.75" customHeight="1">
      <c r="A284" s="28"/>
      <c r="B284" s="28"/>
      <c r="C284" s="32"/>
      <c r="D284" s="32"/>
      <c r="E284" s="32"/>
      <c r="F284" s="28"/>
      <c r="G284" s="28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8.75" customHeight="1">
      <c r="A285" s="28"/>
      <c r="B285" s="28"/>
      <c r="C285" s="32"/>
      <c r="D285" s="32"/>
      <c r="E285" s="32"/>
      <c r="F285" s="28"/>
      <c r="G285" s="28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8.75" customHeight="1">
      <c r="A286" s="28"/>
      <c r="B286" s="28"/>
      <c r="C286" s="32"/>
      <c r="D286" s="32"/>
      <c r="E286" s="32"/>
      <c r="F286" s="28"/>
      <c r="G286" s="28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8.75" customHeight="1">
      <c r="A287" s="28"/>
      <c r="B287" s="28"/>
      <c r="C287" s="32"/>
      <c r="D287" s="32"/>
      <c r="E287" s="32"/>
      <c r="F287" s="28"/>
      <c r="G287" s="28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8.75" customHeight="1">
      <c r="A288" s="28"/>
      <c r="B288" s="28"/>
      <c r="C288" s="32"/>
      <c r="D288" s="32"/>
      <c r="E288" s="32"/>
      <c r="F288" s="28"/>
      <c r="G288" s="28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8.75" customHeight="1">
      <c r="A289" s="28"/>
      <c r="B289" s="28"/>
      <c r="C289" s="32"/>
      <c r="D289" s="32"/>
      <c r="E289" s="32"/>
      <c r="F289" s="28"/>
      <c r="G289" s="28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8.75" customHeight="1">
      <c r="A290" s="28"/>
      <c r="B290" s="28"/>
      <c r="C290" s="32"/>
      <c r="D290" s="32"/>
      <c r="E290" s="32"/>
      <c r="F290" s="28"/>
      <c r="G290" s="28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8.75" customHeight="1">
      <c r="A291" s="28"/>
      <c r="B291" s="28"/>
      <c r="C291" s="32"/>
      <c r="D291" s="32"/>
      <c r="E291" s="32"/>
      <c r="F291" s="28"/>
      <c r="G291" s="28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8.75" customHeight="1">
      <c r="A292" s="28"/>
      <c r="B292" s="28"/>
      <c r="C292" s="32"/>
      <c r="D292" s="32"/>
      <c r="E292" s="32"/>
      <c r="F292" s="28"/>
      <c r="G292" s="28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8.75" customHeight="1">
      <c r="A293" s="28"/>
      <c r="B293" s="28"/>
      <c r="C293" s="32"/>
      <c r="D293" s="32"/>
      <c r="E293" s="32"/>
      <c r="F293" s="28"/>
      <c r="G293" s="28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8.75" customHeight="1">
      <c r="A294" s="28"/>
      <c r="B294" s="28"/>
      <c r="C294" s="32"/>
      <c r="D294" s="32"/>
      <c r="E294" s="32"/>
      <c r="F294" s="28"/>
      <c r="G294" s="28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8.75" customHeight="1">
      <c r="A295" s="28"/>
      <c r="B295" s="28"/>
      <c r="C295" s="32"/>
      <c r="D295" s="32"/>
      <c r="E295" s="32"/>
      <c r="F295" s="28"/>
      <c r="G295" s="28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8.75" customHeight="1">
      <c r="A296" s="28"/>
      <c r="B296" s="28"/>
      <c r="C296" s="32"/>
      <c r="D296" s="32"/>
      <c r="E296" s="32"/>
      <c r="F296" s="28"/>
      <c r="G296" s="28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8.75" customHeight="1">
      <c r="A297" s="28"/>
      <c r="B297" s="28"/>
      <c r="C297" s="32"/>
      <c r="D297" s="32"/>
      <c r="E297" s="32"/>
      <c r="F297" s="28"/>
      <c r="G297" s="28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8.75" customHeight="1">
      <c r="A298" s="28"/>
      <c r="B298" s="28"/>
      <c r="C298" s="32"/>
      <c r="D298" s="32"/>
      <c r="E298" s="32"/>
      <c r="F298" s="28"/>
      <c r="G298" s="28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8.75" customHeight="1">
      <c r="A299" s="28"/>
      <c r="B299" s="28"/>
      <c r="C299" s="32"/>
      <c r="D299" s="32"/>
      <c r="E299" s="32"/>
      <c r="F299" s="28"/>
      <c r="G299" s="28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8.75" customHeight="1">
      <c r="A300" s="28"/>
      <c r="B300" s="28"/>
      <c r="C300" s="32"/>
      <c r="D300" s="32"/>
      <c r="E300" s="32"/>
      <c r="F300" s="28"/>
      <c r="G300" s="28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8.75" customHeight="1">
      <c r="A301" s="28"/>
      <c r="B301" s="28"/>
      <c r="C301" s="32"/>
      <c r="D301" s="32"/>
      <c r="E301" s="32"/>
      <c r="F301" s="28"/>
      <c r="G301" s="28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8.75" customHeight="1">
      <c r="A302" s="28"/>
      <c r="B302" s="28"/>
      <c r="C302" s="32"/>
      <c r="D302" s="32"/>
      <c r="E302" s="32"/>
      <c r="F302" s="28"/>
      <c r="G302" s="28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8.75" customHeight="1">
      <c r="A303" s="28"/>
      <c r="B303" s="28"/>
      <c r="C303" s="32"/>
      <c r="D303" s="32"/>
      <c r="E303" s="32"/>
      <c r="F303" s="28"/>
      <c r="G303" s="28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8.75" customHeight="1">
      <c r="A304" s="28"/>
      <c r="B304" s="28"/>
      <c r="C304" s="32"/>
      <c r="D304" s="32"/>
      <c r="E304" s="32"/>
      <c r="F304" s="28"/>
      <c r="G304" s="28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8.75" customHeight="1">
      <c r="A305" s="28"/>
      <c r="B305" s="28"/>
      <c r="C305" s="32"/>
      <c r="D305" s="32"/>
      <c r="E305" s="32"/>
      <c r="F305" s="28"/>
      <c r="G305" s="28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8.75" customHeight="1">
      <c r="A306" s="28"/>
      <c r="B306" s="28"/>
      <c r="C306" s="32"/>
      <c r="D306" s="32"/>
      <c r="E306" s="32"/>
      <c r="F306" s="28"/>
      <c r="G306" s="28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8.75" customHeight="1">
      <c r="A307" s="28"/>
      <c r="B307" s="28"/>
      <c r="C307" s="32"/>
      <c r="D307" s="32"/>
      <c r="E307" s="32"/>
      <c r="F307" s="28"/>
      <c r="G307" s="28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8.75" customHeight="1">
      <c r="A308" s="28"/>
      <c r="B308" s="28"/>
      <c r="C308" s="32"/>
      <c r="D308" s="32"/>
      <c r="E308" s="32"/>
      <c r="F308" s="28"/>
      <c r="G308" s="28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8.75" customHeight="1">
      <c r="A309" s="28"/>
      <c r="B309" s="28"/>
      <c r="C309" s="32"/>
      <c r="D309" s="32"/>
      <c r="E309" s="32"/>
      <c r="F309" s="28"/>
      <c r="G309" s="28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8.75" customHeight="1">
      <c r="A310" s="28"/>
      <c r="B310" s="28"/>
      <c r="C310" s="32"/>
      <c r="D310" s="32"/>
      <c r="E310" s="32"/>
      <c r="F310" s="28"/>
      <c r="G310" s="28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8.75" customHeight="1">
      <c r="A311" s="28"/>
      <c r="B311" s="28"/>
      <c r="C311" s="32"/>
      <c r="D311" s="32"/>
      <c r="E311" s="32"/>
      <c r="F311" s="28"/>
      <c r="G311" s="28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8.75" customHeight="1">
      <c r="A312" s="28"/>
      <c r="B312" s="28"/>
      <c r="C312" s="32"/>
      <c r="D312" s="32"/>
      <c r="E312" s="32"/>
      <c r="F312" s="28"/>
      <c r="G312" s="28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8.75" customHeight="1">
      <c r="A313" s="28"/>
      <c r="B313" s="28"/>
      <c r="C313" s="32"/>
      <c r="D313" s="32"/>
      <c r="E313" s="32"/>
      <c r="F313" s="28"/>
      <c r="G313" s="28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8.75" customHeight="1">
      <c r="A314" s="28"/>
      <c r="B314" s="28"/>
      <c r="C314" s="32"/>
      <c r="D314" s="32"/>
      <c r="E314" s="32"/>
      <c r="F314" s="28"/>
      <c r="G314" s="28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8.75" customHeight="1">
      <c r="A315" s="28"/>
      <c r="B315" s="28"/>
      <c r="C315" s="32"/>
      <c r="D315" s="32"/>
      <c r="E315" s="32"/>
      <c r="F315" s="28"/>
      <c r="G315" s="28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8.75" customHeight="1">
      <c r="A316" s="28"/>
      <c r="B316" s="28"/>
      <c r="C316" s="32"/>
      <c r="D316" s="32"/>
      <c r="E316" s="32"/>
      <c r="F316" s="28"/>
      <c r="G316" s="28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8.75" customHeight="1">
      <c r="A317" s="28"/>
      <c r="B317" s="28"/>
      <c r="C317" s="32"/>
      <c r="D317" s="32"/>
      <c r="E317" s="32"/>
      <c r="F317" s="28"/>
      <c r="G317" s="28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8.75" customHeight="1">
      <c r="A318" s="28"/>
      <c r="B318" s="28"/>
      <c r="C318" s="32"/>
      <c r="D318" s="32"/>
      <c r="E318" s="32"/>
      <c r="F318" s="28"/>
      <c r="G318" s="28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8.75" customHeight="1">
      <c r="A319" s="28"/>
      <c r="B319" s="28"/>
      <c r="C319" s="32"/>
      <c r="D319" s="32"/>
      <c r="E319" s="32"/>
      <c r="F319" s="28"/>
      <c r="G319" s="28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8.75" customHeight="1">
      <c r="A320" s="28"/>
      <c r="B320" s="28"/>
      <c r="C320" s="32"/>
      <c r="D320" s="32"/>
      <c r="E320" s="32"/>
      <c r="F320" s="28"/>
      <c r="G320" s="28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8.75" customHeight="1">
      <c r="A321" s="28"/>
      <c r="B321" s="28"/>
      <c r="C321" s="32"/>
      <c r="D321" s="32"/>
      <c r="E321" s="32"/>
      <c r="F321" s="28"/>
      <c r="G321" s="28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8.75" customHeight="1">
      <c r="A322" s="28"/>
      <c r="B322" s="28"/>
      <c r="C322" s="32"/>
      <c r="D322" s="32"/>
      <c r="E322" s="32"/>
      <c r="F322" s="28"/>
      <c r="G322" s="28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8.75" customHeight="1">
      <c r="A323" s="28"/>
      <c r="B323" s="28"/>
      <c r="C323" s="32"/>
      <c r="D323" s="32"/>
      <c r="E323" s="32"/>
      <c r="F323" s="28"/>
      <c r="G323" s="28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8.75" customHeight="1">
      <c r="A324" s="28"/>
      <c r="B324" s="28"/>
      <c r="C324" s="32"/>
      <c r="D324" s="32"/>
      <c r="E324" s="32"/>
      <c r="F324" s="28"/>
      <c r="G324" s="28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8.75" customHeight="1">
      <c r="A325" s="28"/>
      <c r="B325" s="28"/>
      <c r="C325" s="32"/>
      <c r="D325" s="32"/>
      <c r="E325" s="32"/>
      <c r="F325" s="28"/>
      <c r="G325" s="28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8.75" customHeight="1">
      <c r="A326" s="28"/>
      <c r="B326" s="28"/>
      <c r="C326" s="32"/>
      <c r="D326" s="32"/>
      <c r="E326" s="32"/>
      <c r="F326" s="28"/>
      <c r="G326" s="28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8.75" customHeight="1">
      <c r="A327" s="28"/>
      <c r="B327" s="28"/>
      <c r="C327" s="32"/>
      <c r="D327" s="32"/>
      <c r="E327" s="32"/>
      <c r="F327" s="28"/>
      <c r="G327" s="28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8.75" customHeight="1">
      <c r="A328" s="28"/>
      <c r="B328" s="28"/>
      <c r="C328" s="32"/>
      <c r="D328" s="32"/>
      <c r="E328" s="32"/>
      <c r="F328" s="28"/>
      <c r="G328" s="28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8.75" customHeight="1">
      <c r="A329" s="28"/>
      <c r="B329" s="28"/>
      <c r="C329" s="32"/>
      <c r="D329" s="32"/>
      <c r="E329" s="32"/>
      <c r="F329" s="28"/>
      <c r="G329" s="28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8.75" customHeight="1">
      <c r="A330" s="28"/>
      <c r="B330" s="28"/>
      <c r="C330" s="32"/>
      <c r="D330" s="32"/>
      <c r="E330" s="32"/>
      <c r="F330" s="28"/>
      <c r="G330" s="28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8.75" customHeight="1">
      <c r="A331" s="28"/>
      <c r="B331" s="28"/>
      <c r="C331" s="32"/>
      <c r="D331" s="32"/>
      <c r="E331" s="32"/>
      <c r="F331" s="28"/>
      <c r="G331" s="28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8.75" customHeight="1">
      <c r="A332" s="28"/>
      <c r="B332" s="28"/>
      <c r="C332" s="32"/>
      <c r="D332" s="32"/>
      <c r="E332" s="32"/>
      <c r="F332" s="28"/>
      <c r="G332" s="28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8.75" customHeight="1">
      <c r="A333" s="28"/>
      <c r="B333" s="28"/>
      <c r="C333" s="32"/>
      <c r="D333" s="32"/>
      <c r="E333" s="32"/>
      <c r="F333" s="28"/>
      <c r="G333" s="28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8.75" customHeight="1">
      <c r="A334" s="28"/>
      <c r="B334" s="28"/>
      <c r="C334" s="32"/>
      <c r="D334" s="32"/>
      <c r="E334" s="32"/>
      <c r="F334" s="28"/>
      <c r="G334" s="28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8.75" customHeight="1">
      <c r="A335" s="28"/>
      <c r="B335" s="28"/>
      <c r="C335" s="32"/>
      <c r="D335" s="32"/>
      <c r="E335" s="32"/>
      <c r="F335" s="28"/>
      <c r="G335" s="28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8.75" customHeight="1">
      <c r="A336" s="28"/>
      <c r="B336" s="28"/>
      <c r="C336" s="32"/>
      <c r="D336" s="32"/>
      <c r="E336" s="32"/>
      <c r="F336" s="28"/>
      <c r="G336" s="28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8.75" customHeight="1">
      <c r="A337" s="28"/>
      <c r="B337" s="28"/>
      <c r="C337" s="32"/>
      <c r="D337" s="32"/>
      <c r="E337" s="32"/>
      <c r="F337" s="28"/>
      <c r="G337" s="28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8.75" customHeight="1">
      <c r="A338" s="28"/>
      <c r="B338" s="28"/>
      <c r="C338" s="32"/>
      <c r="D338" s="32"/>
      <c r="E338" s="32"/>
      <c r="F338" s="28"/>
      <c r="G338" s="28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8.75" customHeight="1">
      <c r="A339" s="28"/>
      <c r="B339" s="28"/>
      <c r="C339" s="32"/>
      <c r="D339" s="32"/>
      <c r="E339" s="32"/>
      <c r="F339" s="28"/>
      <c r="G339" s="28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8.75" customHeight="1">
      <c r="A340" s="28"/>
      <c r="B340" s="28"/>
      <c r="C340" s="32"/>
      <c r="D340" s="32"/>
      <c r="E340" s="32"/>
      <c r="F340" s="28"/>
      <c r="G340" s="28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8.75" customHeight="1">
      <c r="A341" s="28"/>
      <c r="B341" s="28"/>
      <c r="C341" s="32"/>
      <c r="D341" s="32"/>
      <c r="E341" s="32"/>
      <c r="F341" s="28"/>
      <c r="G341" s="28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8.75" customHeight="1">
      <c r="A342" s="28"/>
      <c r="B342" s="28"/>
      <c r="C342" s="32"/>
      <c r="D342" s="32"/>
      <c r="E342" s="32"/>
      <c r="F342" s="28"/>
      <c r="G342" s="28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8.75" customHeight="1">
      <c r="A343" s="28"/>
      <c r="B343" s="28"/>
      <c r="C343" s="32"/>
      <c r="D343" s="32"/>
      <c r="E343" s="32"/>
      <c r="F343" s="28"/>
      <c r="G343" s="28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8.75" customHeight="1">
      <c r="A344" s="28"/>
      <c r="B344" s="28"/>
      <c r="C344" s="32"/>
      <c r="D344" s="32"/>
      <c r="E344" s="32"/>
      <c r="F344" s="28"/>
      <c r="G344" s="28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8.75" customHeight="1">
      <c r="A345" s="28"/>
      <c r="B345" s="28"/>
      <c r="C345" s="32"/>
      <c r="D345" s="32"/>
      <c r="E345" s="32"/>
      <c r="F345" s="28"/>
      <c r="G345" s="28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8.75" customHeight="1">
      <c r="A346" s="28"/>
      <c r="B346" s="28"/>
      <c r="C346" s="32"/>
      <c r="D346" s="32"/>
      <c r="E346" s="32"/>
      <c r="F346" s="28"/>
      <c r="G346" s="28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8.75" customHeight="1">
      <c r="A347" s="28"/>
      <c r="B347" s="28"/>
      <c r="C347" s="32"/>
      <c r="D347" s="32"/>
      <c r="E347" s="32"/>
      <c r="F347" s="28"/>
      <c r="G347" s="28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8.75" customHeight="1">
      <c r="A348" s="28"/>
      <c r="B348" s="28"/>
      <c r="C348" s="32"/>
      <c r="D348" s="32"/>
      <c r="E348" s="32"/>
      <c r="F348" s="28"/>
      <c r="G348" s="28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8.75" customHeight="1">
      <c r="A349" s="28"/>
      <c r="B349" s="28"/>
      <c r="C349" s="32"/>
      <c r="D349" s="32"/>
      <c r="E349" s="32"/>
      <c r="F349" s="28"/>
      <c r="G349" s="28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8.75" customHeight="1">
      <c r="A350" s="28"/>
      <c r="B350" s="28"/>
      <c r="C350" s="32"/>
      <c r="D350" s="32"/>
      <c r="E350" s="32"/>
      <c r="F350" s="28"/>
      <c r="G350" s="28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8.75" customHeight="1">
      <c r="A351" s="28"/>
      <c r="B351" s="28"/>
      <c r="C351" s="32"/>
      <c r="D351" s="32"/>
      <c r="E351" s="32"/>
      <c r="F351" s="28"/>
      <c r="G351" s="28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8.75" customHeight="1">
      <c r="A352" s="28"/>
      <c r="B352" s="28"/>
      <c r="C352" s="32"/>
      <c r="D352" s="32"/>
      <c r="E352" s="32"/>
      <c r="F352" s="28"/>
      <c r="G352" s="28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8.75" customHeight="1">
      <c r="A353" s="28"/>
      <c r="B353" s="28"/>
      <c r="C353" s="32"/>
      <c r="D353" s="32"/>
      <c r="E353" s="32"/>
      <c r="F353" s="28"/>
      <c r="G353" s="28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8.75" customHeight="1">
      <c r="A354" s="28"/>
      <c r="B354" s="28"/>
      <c r="C354" s="32"/>
      <c r="D354" s="32"/>
      <c r="E354" s="32"/>
      <c r="F354" s="28"/>
      <c r="G354" s="28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8.75" customHeight="1">
      <c r="A355" s="28"/>
      <c r="B355" s="28"/>
      <c r="C355" s="32"/>
      <c r="D355" s="32"/>
      <c r="E355" s="32"/>
      <c r="F355" s="28"/>
      <c r="G355" s="28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8.75" customHeight="1">
      <c r="A356" s="28"/>
      <c r="B356" s="28"/>
      <c r="C356" s="32"/>
      <c r="D356" s="32"/>
      <c r="E356" s="32"/>
      <c r="F356" s="28"/>
      <c r="G356" s="28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8.75" customHeight="1">
      <c r="A357" s="28"/>
      <c r="B357" s="28"/>
      <c r="C357" s="32"/>
      <c r="D357" s="32"/>
      <c r="E357" s="32"/>
      <c r="F357" s="28"/>
      <c r="G357" s="28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8.75" customHeight="1">
      <c r="A358" s="28"/>
      <c r="B358" s="28"/>
      <c r="C358" s="32"/>
      <c r="D358" s="32"/>
      <c r="E358" s="32"/>
      <c r="F358" s="28"/>
      <c r="G358" s="28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8.75" customHeight="1">
      <c r="A359" s="28"/>
      <c r="B359" s="28"/>
      <c r="C359" s="32"/>
      <c r="D359" s="32"/>
      <c r="E359" s="32"/>
      <c r="F359" s="28"/>
      <c r="G359" s="28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8.75" customHeight="1">
      <c r="A360" s="28"/>
      <c r="B360" s="28"/>
      <c r="C360" s="32"/>
      <c r="D360" s="32"/>
      <c r="E360" s="32"/>
      <c r="F360" s="28"/>
      <c r="G360" s="28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8.75" customHeight="1">
      <c r="A361" s="28"/>
      <c r="B361" s="28"/>
      <c r="C361" s="32"/>
      <c r="D361" s="32"/>
      <c r="E361" s="32"/>
      <c r="F361" s="28"/>
      <c r="G361" s="28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8.75" customHeight="1">
      <c r="A362" s="28"/>
      <c r="B362" s="28"/>
      <c r="C362" s="32"/>
      <c r="D362" s="32"/>
      <c r="E362" s="32"/>
      <c r="F362" s="28"/>
      <c r="G362" s="28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8.75" customHeight="1">
      <c r="A363" s="28"/>
      <c r="B363" s="28"/>
      <c r="C363" s="32"/>
      <c r="D363" s="32"/>
      <c r="E363" s="32"/>
      <c r="F363" s="28"/>
      <c r="G363" s="28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8.75" customHeight="1">
      <c r="A364" s="28"/>
      <c r="B364" s="28"/>
      <c r="C364" s="32"/>
      <c r="D364" s="32"/>
      <c r="E364" s="32"/>
      <c r="F364" s="28"/>
      <c r="G364" s="28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8.75" customHeight="1">
      <c r="A365" s="28"/>
      <c r="B365" s="28"/>
      <c r="C365" s="32"/>
      <c r="D365" s="32"/>
      <c r="E365" s="32"/>
      <c r="F365" s="28"/>
      <c r="G365" s="28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8.75" customHeight="1">
      <c r="A366" s="28"/>
      <c r="B366" s="28"/>
      <c r="C366" s="32"/>
      <c r="D366" s="32"/>
      <c r="E366" s="32"/>
      <c r="F366" s="28"/>
      <c r="G366" s="28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8.75" customHeight="1">
      <c r="A367" s="28"/>
      <c r="B367" s="28"/>
      <c r="C367" s="32"/>
      <c r="D367" s="32"/>
      <c r="E367" s="32"/>
      <c r="F367" s="28"/>
      <c r="G367" s="28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8.75" customHeight="1">
      <c r="A368" s="28"/>
      <c r="B368" s="28"/>
      <c r="C368" s="32"/>
      <c r="D368" s="32"/>
      <c r="E368" s="32"/>
      <c r="F368" s="28"/>
      <c r="G368" s="28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8.75" customHeight="1">
      <c r="A369" s="28"/>
      <c r="B369" s="28"/>
      <c r="C369" s="32"/>
      <c r="D369" s="32"/>
      <c r="E369" s="32"/>
      <c r="F369" s="28"/>
      <c r="G369" s="28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8.75" customHeight="1">
      <c r="A370" s="28"/>
      <c r="B370" s="28"/>
      <c r="C370" s="32"/>
      <c r="D370" s="32"/>
      <c r="E370" s="32"/>
      <c r="F370" s="28"/>
      <c r="G370" s="28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8.75" customHeight="1">
      <c r="A371" s="28"/>
      <c r="B371" s="28"/>
      <c r="C371" s="32"/>
      <c r="D371" s="32"/>
      <c r="E371" s="32"/>
      <c r="F371" s="28"/>
      <c r="G371" s="28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8.75" customHeight="1">
      <c r="A372" s="28"/>
      <c r="B372" s="28"/>
      <c r="C372" s="32"/>
      <c r="D372" s="32"/>
      <c r="E372" s="32"/>
      <c r="F372" s="28"/>
      <c r="G372" s="28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8.75" customHeight="1">
      <c r="A373" s="28"/>
      <c r="B373" s="28"/>
      <c r="C373" s="32"/>
      <c r="D373" s="32"/>
      <c r="E373" s="32"/>
      <c r="F373" s="28"/>
      <c r="G373" s="28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8.75" customHeight="1">
      <c r="A374" s="28"/>
      <c r="B374" s="28"/>
      <c r="C374" s="32"/>
      <c r="D374" s="32"/>
      <c r="E374" s="32"/>
      <c r="F374" s="28"/>
      <c r="G374" s="28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8.75" customHeight="1">
      <c r="A375" s="28"/>
      <c r="B375" s="28"/>
      <c r="C375" s="32"/>
      <c r="D375" s="32"/>
      <c r="E375" s="32"/>
      <c r="F375" s="28"/>
      <c r="G375" s="28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8.75" customHeight="1">
      <c r="A376" s="28"/>
      <c r="B376" s="28"/>
      <c r="C376" s="32"/>
      <c r="D376" s="32"/>
      <c r="E376" s="32"/>
      <c r="F376" s="28"/>
      <c r="G376" s="28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8.75" customHeight="1">
      <c r="A377" s="28"/>
      <c r="B377" s="28"/>
      <c r="C377" s="32"/>
      <c r="D377" s="32"/>
      <c r="E377" s="32"/>
      <c r="F377" s="28"/>
      <c r="G377" s="28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8.75" customHeight="1">
      <c r="A378" s="28"/>
      <c r="B378" s="28"/>
      <c r="C378" s="32"/>
      <c r="D378" s="32"/>
      <c r="E378" s="32"/>
      <c r="F378" s="28"/>
      <c r="G378" s="28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8.75" customHeight="1">
      <c r="A379" s="28"/>
      <c r="B379" s="28"/>
      <c r="C379" s="32"/>
      <c r="D379" s="32"/>
      <c r="E379" s="32"/>
      <c r="F379" s="28"/>
      <c r="G379" s="28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8.75" customHeight="1">
      <c r="A380" s="28"/>
      <c r="B380" s="28"/>
      <c r="C380" s="32"/>
      <c r="D380" s="32"/>
      <c r="E380" s="32"/>
      <c r="F380" s="28"/>
      <c r="G380" s="28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8.75" customHeight="1">
      <c r="A381" s="28"/>
      <c r="B381" s="28"/>
      <c r="C381" s="32"/>
      <c r="D381" s="32"/>
      <c r="E381" s="32"/>
      <c r="F381" s="28"/>
      <c r="G381" s="28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8.75" customHeight="1">
      <c r="A382" s="28"/>
      <c r="B382" s="28"/>
      <c r="C382" s="32"/>
      <c r="D382" s="32"/>
      <c r="E382" s="32"/>
      <c r="F382" s="28"/>
      <c r="G382" s="28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8.75" customHeight="1">
      <c r="A383" s="28"/>
      <c r="B383" s="28"/>
      <c r="C383" s="32"/>
      <c r="D383" s="32"/>
      <c r="E383" s="32"/>
      <c r="F383" s="28"/>
      <c r="G383" s="28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8.75" customHeight="1">
      <c r="A384" s="28"/>
      <c r="B384" s="28"/>
      <c r="C384" s="32"/>
      <c r="D384" s="32"/>
      <c r="E384" s="32"/>
      <c r="F384" s="28"/>
      <c r="G384" s="28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8.75" customHeight="1">
      <c r="A385" s="28"/>
      <c r="B385" s="28"/>
      <c r="C385" s="32"/>
      <c r="D385" s="32"/>
      <c r="E385" s="32"/>
      <c r="F385" s="28"/>
      <c r="G385" s="28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8.75" customHeight="1">
      <c r="A386" s="28"/>
      <c r="B386" s="28"/>
      <c r="C386" s="32"/>
      <c r="D386" s="32"/>
      <c r="E386" s="32"/>
      <c r="F386" s="28"/>
      <c r="G386" s="28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8.75" customHeight="1">
      <c r="A387" s="28"/>
      <c r="B387" s="28"/>
      <c r="C387" s="32"/>
      <c r="D387" s="32"/>
      <c r="E387" s="32"/>
      <c r="F387" s="28"/>
      <c r="G387" s="28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8.75" customHeight="1">
      <c r="A388" s="28"/>
      <c r="B388" s="28"/>
      <c r="C388" s="32"/>
      <c r="D388" s="32"/>
      <c r="E388" s="32"/>
      <c r="F388" s="28"/>
      <c r="G388" s="28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8.75" customHeight="1">
      <c r="A389" s="28"/>
      <c r="B389" s="28"/>
      <c r="C389" s="32"/>
      <c r="D389" s="32"/>
      <c r="E389" s="32"/>
      <c r="F389" s="28"/>
      <c r="G389" s="28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8.75" customHeight="1">
      <c r="A390" s="28"/>
      <c r="B390" s="28"/>
      <c r="C390" s="32"/>
      <c r="D390" s="32"/>
      <c r="E390" s="32"/>
      <c r="F390" s="28"/>
      <c r="G390" s="28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8.75" customHeight="1">
      <c r="A391" s="28"/>
      <c r="B391" s="28"/>
      <c r="C391" s="32"/>
      <c r="D391" s="32"/>
      <c r="E391" s="32"/>
      <c r="F391" s="28"/>
      <c r="G391" s="28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8.75" customHeight="1">
      <c r="A392" s="28"/>
      <c r="B392" s="28"/>
      <c r="C392" s="32"/>
      <c r="D392" s="32"/>
      <c r="E392" s="32"/>
      <c r="F392" s="28"/>
      <c r="G392" s="28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8.75" customHeight="1">
      <c r="A393" s="28"/>
      <c r="B393" s="28"/>
      <c r="C393" s="32"/>
      <c r="D393" s="32"/>
      <c r="E393" s="32"/>
      <c r="F393" s="28"/>
      <c r="G393" s="28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8.75" customHeight="1">
      <c r="A394" s="28"/>
      <c r="B394" s="28"/>
      <c r="C394" s="32"/>
      <c r="D394" s="32"/>
      <c r="E394" s="32"/>
      <c r="F394" s="28"/>
      <c r="G394" s="28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8.75" customHeight="1">
      <c r="A395" s="28"/>
      <c r="B395" s="28"/>
      <c r="C395" s="32"/>
      <c r="D395" s="32"/>
      <c r="E395" s="32"/>
      <c r="F395" s="28"/>
      <c r="G395" s="28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8.75" customHeight="1">
      <c r="A396" s="28"/>
      <c r="B396" s="28"/>
      <c r="C396" s="32"/>
      <c r="D396" s="32"/>
      <c r="E396" s="32"/>
      <c r="F396" s="28"/>
      <c r="G396" s="28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8.75" customHeight="1">
      <c r="A397" s="28"/>
      <c r="B397" s="28"/>
      <c r="C397" s="32"/>
      <c r="D397" s="32"/>
      <c r="E397" s="32"/>
      <c r="F397" s="28"/>
      <c r="G397" s="28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8.75" customHeight="1">
      <c r="A398" s="28"/>
      <c r="B398" s="28"/>
      <c r="C398" s="32"/>
      <c r="D398" s="32"/>
      <c r="E398" s="32"/>
      <c r="F398" s="28"/>
      <c r="G398" s="28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8.75" customHeight="1">
      <c r="A399" s="28"/>
      <c r="B399" s="28"/>
      <c r="C399" s="32"/>
      <c r="D399" s="32"/>
      <c r="E399" s="32"/>
      <c r="F399" s="28"/>
      <c r="G399" s="28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8.75" customHeight="1">
      <c r="A400" s="28"/>
      <c r="B400" s="28"/>
      <c r="C400" s="32"/>
      <c r="D400" s="32"/>
      <c r="E400" s="32"/>
      <c r="F400" s="28"/>
      <c r="G400" s="28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8.75" customHeight="1">
      <c r="A401" s="28"/>
      <c r="B401" s="28"/>
      <c r="C401" s="32"/>
      <c r="D401" s="32"/>
      <c r="E401" s="32"/>
      <c r="F401" s="28"/>
      <c r="G401" s="28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8.75" customHeight="1">
      <c r="A402" s="28"/>
      <c r="B402" s="28"/>
      <c r="C402" s="32"/>
      <c r="D402" s="32"/>
      <c r="E402" s="32"/>
      <c r="F402" s="28"/>
      <c r="G402" s="28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8.75" customHeight="1">
      <c r="A403" s="28"/>
      <c r="B403" s="28"/>
      <c r="C403" s="32"/>
      <c r="D403" s="32"/>
      <c r="E403" s="32"/>
      <c r="F403" s="28"/>
      <c r="G403" s="28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8.75" customHeight="1">
      <c r="A404" s="28"/>
      <c r="B404" s="28"/>
      <c r="C404" s="32"/>
      <c r="D404" s="32"/>
      <c r="E404" s="32"/>
      <c r="F404" s="28"/>
      <c r="G404" s="28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8.75" customHeight="1">
      <c r="A405" s="28"/>
      <c r="B405" s="28"/>
      <c r="C405" s="32"/>
      <c r="D405" s="32"/>
      <c r="E405" s="32"/>
      <c r="F405" s="28"/>
      <c r="G405" s="28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8.75" customHeight="1">
      <c r="A406" s="28"/>
      <c r="B406" s="28"/>
      <c r="C406" s="32"/>
      <c r="D406" s="32"/>
      <c r="E406" s="32"/>
      <c r="F406" s="28"/>
      <c r="G406" s="28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8.75" customHeight="1">
      <c r="A407" s="28"/>
      <c r="B407" s="28"/>
      <c r="C407" s="32"/>
      <c r="D407" s="32"/>
      <c r="E407" s="32"/>
      <c r="F407" s="28"/>
      <c r="G407" s="28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8.75" customHeight="1">
      <c r="A408" s="28"/>
      <c r="B408" s="28"/>
      <c r="C408" s="32"/>
      <c r="D408" s="32"/>
      <c r="E408" s="32"/>
      <c r="F408" s="28"/>
      <c r="G408" s="28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8.75" customHeight="1">
      <c r="A409" s="28"/>
      <c r="B409" s="28"/>
      <c r="C409" s="32"/>
      <c r="D409" s="32"/>
      <c r="E409" s="32"/>
      <c r="F409" s="28"/>
      <c r="G409" s="28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8.75" customHeight="1">
      <c r="A410" s="28"/>
      <c r="B410" s="28"/>
      <c r="C410" s="32"/>
      <c r="D410" s="32"/>
      <c r="E410" s="32"/>
      <c r="F410" s="28"/>
      <c r="G410" s="28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8.75" customHeight="1">
      <c r="A411" s="28"/>
      <c r="B411" s="28"/>
      <c r="C411" s="32"/>
      <c r="D411" s="32"/>
      <c r="E411" s="32"/>
      <c r="F411" s="28"/>
      <c r="G411" s="28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8.75" customHeight="1">
      <c r="A412" s="28"/>
      <c r="B412" s="28"/>
      <c r="C412" s="32"/>
      <c r="D412" s="32"/>
      <c r="E412" s="32"/>
      <c r="F412" s="28"/>
      <c r="G412" s="28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8.75" customHeight="1">
      <c r="A413" s="28"/>
      <c r="B413" s="28"/>
      <c r="C413" s="32"/>
      <c r="D413" s="32"/>
      <c r="E413" s="32"/>
      <c r="F413" s="28"/>
      <c r="G413" s="28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8.75" customHeight="1">
      <c r="A414" s="28"/>
      <c r="B414" s="28"/>
      <c r="C414" s="32"/>
      <c r="D414" s="32"/>
      <c r="E414" s="32"/>
      <c r="F414" s="28"/>
      <c r="G414" s="28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8.75" customHeight="1">
      <c r="A415" s="28"/>
      <c r="B415" s="28"/>
      <c r="C415" s="32"/>
      <c r="D415" s="32"/>
      <c r="E415" s="32"/>
      <c r="F415" s="28"/>
      <c r="G415" s="28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8.75" customHeight="1">
      <c r="A416" s="28"/>
      <c r="B416" s="28"/>
      <c r="C416" s="32"/>
      <c r="D416" s="32"/>
      <c r="E416" s="32"/>
      <c r="F416" s="28"/>
      <c r="G416" s="28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8.75" customHeight="1">
      <c r="A417" s="28"/>
      <c r="B417" s="28"/>
      <c r="C417" s="32"/>
      <c r="D417" s="32"/>
      <c r="E417" s="32"/>
      <c r="F417" s="28"/>
      <c r="G417" s="28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8.75" customHeight="1">
      <c r="A418" s="28"/>
      <c r="B418" s="28"/>
      <c r="C418" s="32"/>
      <c r="D418" s="32"/>
      <c r="E418" s="32"/>
      <c r="F418" s="28"/>
      <c r="G418" s="28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8.75" customHeight="1">
      <c r="A419" s="28"/>
      <c r="B419" s="28"/>
      <c r="C419" s="32"/>
      <c r="D419" s="32"/>
      <c r="E419" s="32"/>
      <c r="F419" s="28"/>
      <c r="G419" s="28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8.75" customHeight="1">
      <c r="A420" s="28"/>
      <c r="B420" s="28"/>
      <c r="C420" s="32"/>
      <c r="D420" s="32"/>
      <c r="E420" s="32"/>
      <c r="F420" s="28"/>
      <c r="G420" s="28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8.75" customHeight="1">
      <c r="A421" s="28"/>
      <c r="B421" s="28"/>
      <c r="C421" s="32"/>
      <c r="D421" s="32"/>
      <c r="E421" s="32"/>
      <c r="F421" s="28"/>
      <c r="G421" s="28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8.75" customHeight="1">
      <c r="A422" s="28"/>
      <c r="B422" s="28"/>
      <c r="C422" s="32"/>
      <c r="D422" s="32"/>
      <c r="E422" s="32"/>
      <c r="F422" s="28"/>
      <c r="G422" s="28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8.75" customHeight="1">
      <c r="A423" s="28"/>
      <c r="B423" s="28"/>
      <c r="C423" s="32"/>
      <c r="D423" s="32"/>
      <c r="E423" s="32"/>
      <c r="F423" s="28"/>
      <c r="G423" s="28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8.75" customHeight="1">
      <c r="A424" s="28"/>
      <c r="B424" s="28"/>
      <c r="C424" s="32"/>
      <c r="D424" s="32"/>
      <c r="E424" s="32"/>
      <c r="F424" s="28"/>
      <c r="G424" s="28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8.75" customHeight="1">
      <c r="A425" s="28"/>
      <c r="B425" s="28"/>
      <c r="C425" s="32"/>
      <c r="D425" s="32"/>
      <c r="E425" s="32"/>
      <c r="F425" s="28"/>
      <c r="G425" s="28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8.75" customHeight="1">
      <c r="A426" s="28"/>
      <c r="B426" s="28"/>
      <c r="C426" s="32"/>
      <c r="D426" s="32"/>
      <c r="E426" s="32"/>
      <c r="F426" s="28"/>
      <c r="G426" s="28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8.75" customHeight="1">
      <c r="A427" s="28"/>
      <c r="B427" s="28"/>
      <c r="C427" s="32"/>
      <c r="D427" s="32"/>
      <c r="E427" s="32"/>
      <c r="F427" s="28"/>
      <c r="G427" s="28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8.75" customHeight="1">
      <c r="A428" s="28"/>
      <c r="B428" s="28"/>
      <c r="C428" s="32"/>
      <c r="D428" s="32"/>
      <c r="E428" s="32"/>
      <c r="F428" s="28"/>
      <c r="G428" s="28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8.75" customHeight="1">
      <c r="A429" s="28"/>
      <c r="B429" s="28"/>
      <c r="C429" s="32"/>
      <c r="D429" s="32"/>
      <c r="E429" s="32"/>
      <c r="F429" s="28"/>
      <c r="G429" s="28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8.75" customHeight="1">
      <c r="A430" s="28"/>
      <c r="B430" s="28"/>
      <c r="C430" s="32"/>
      <c r="D430" s="32"/>
      <c r="E430" s="32"/>
      <c r="F430" s="28"/>
      <c r="G430" s="28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8.75" customHeight="1">
      <c r="A431" s="28"/>
      <c r="B431" s="28"/>
      <c r="C431" s="32"/>
      <c r="D431" s="32"/>
      <c r="E431" s="32"/>
      <c r="F431" s="28"/>
      <c r="G431" s="28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8.75" customHeight="1">
      <c r="A432" s="28"/>
      <c r="B432" s="28"/>
      <c r="C432" s="32"/>
      <c r="D432" s="32"/>
      <c r="E432" s="32"/>
      <c r="F432" s="28"/>
      <c r="G432" s="28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8.75" customHeight="1">
      <c r="A433" s="28"/>
      <c r="B433" s="28"/>
      <c r="C433" s="32"/>
      <c r="D433" s="32"/>
      <c r="E433" s="32"/>
      <c r="F433" s="28"/>
      <c r="G433" s="28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8.75" customHeight="1">
      <c r="A434" s="28"/>
      <c r="B434" s="28"/>
      <c r="C434" s="32"/>
      <c r="D434" s="32"/>
      <c r="E434" s="32"/>
      <c r="F434" s="28"/>
      <c r="G434" s="28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8.75" customHeight="1">
      <c r="A435" s="28"/>
      <c r="B435" s="28"/>
      <c r="C435" s="32"/>
      <c r="D435" s="32"/>
      <c r="E435" s="32"/>
      <c r="F435" s="28"/>
      <c r="G435" s="28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8.75" customHeight="1">
      <c r="A436" s="28"/>
      <c r="B436" s="28"/>
      <c r="C436" s="32"/>
      <c r="D436" s="32"/>
      <c r="E436" s="32"/>
      <c r="F436" s="28"/>
      <c r="G436" s="28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8.75" customHeight="1">
      <c r="A437" s="28"/>
      <c r="B437" s="28"/>
      <c r="C437" s="32"/>
      <c r="D437" s="32"/>
      <c r="E437" s="32"/>
      <c r="F437" s="28"/>
      <c r="G437" s="28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8.75" customHeight="1">
      <c r="A438" s="28"/>
      <c r="B438" s="28"/>
      <c r="C438" s="32"/>
      <c r="D438" s="32"/>
      <c r="E438" s="32"/>
      <c r="F438" s="28"/>
      <c r="G438" s="28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8.75" customHeight="1">
      <c r="A439" s="28"/>
      <c r="B439" s="28"/>
      <c r="C439" s="32"/>
      <c r="D439" s="32"/>
      <c r="E439" s="32"/>
      <c r="F439" s="28"/>
      <c r="G439" s="28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8.75" customHeight="1">
      <c r="A440" s="28"/>
      <c r="B440" s="28"/>
      <c r="C440" s="32"/>
      <c r="D440" s="32"/>
      <c r="E440" s="32"/>
      <c r="F440" s="28"/>
      <c r="G440" s="28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8.75" customHeight="1">
      <c r="A441" s="28"/>
      <c r="B441" s="28"/>
      <c r="C441" s="32"/>
      <c r="D441" s="32"/>
      <c r="E441" s="32"/>
      <c r="F441" s="28"/>
      <c r="G441" s="28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8.75" customHeight="1">
      <c r="A442" s="28"/>
      <c r="B442" s="28"/>
      <c r="C442" s="32"/>
      <c r="D442" s="32"/>
      <c r="E442" s="32"/>
      <c r="F442" s="28"/>
      <c r="G442" s="28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8.75" customHeight="1">
      <c r="A443" s="28"/>
      <c r="B443" s="28"/>
      <c r="C443" s="32"/>
      <c r="D443" s="32"/>
      <c r="E443" s="32"/>
      <c r="F443" s="28"/>
      <c r="G443" s="28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8.75" customHeight="1">
      <c r="A444" s="28"/>
      <c r="B444" s="28"/>
      <c r="C444" s="32"/>
      <c r="D444" s="32"/>
      <c r="E444" s="32"/>
      <c r="F444" s="28"/>
      <c r="G444" s="28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8.75" customHeight="1">
      <c r="A445" s="28"/>
      <c r="B445" s="28"/>
      <c r="C445" s="32"/>
      <c r="D445" s="32"/>
      <c r="E445" s="32"/>
      <c r="F445" s="28"/>
      <c r="G445" s="28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8.75" customHeight="1">
      <c r="A446" s="28"/>
      <c r="B446" s="28"/>
      <c r="C446" s="32"/>
      <c r="D446" s="32"/>
      <c r="E446" s="32"/>
      <c r="F446" s="28"/>
      <c r="G446" s="28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8.75" customHeight="1">
      <c r="A447" s="28"/>
      <c r="B447" s="28"/>
      <c r="C447" s="32"/>
      <c r="D447" s="32"/>
      <c r="E447" s="32"/>
      <c r="F447" s="28"/>
      <c r="G447" s="28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8.75" customHeight="1">
      <c r="A448" s="28"/>
      <c r="B448" s="28"/>
      <c r="C448" s="32"/>
      <c r="D448" s="32"/>
      <c r="E448" s="32"/>
      <c r="F448" s="28"/>
      <c r="G448" s="28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8.75" customHeight="1">
      <c r="A449" s="28"/>
      <c r="B449" s="28"/>
      <c r="C449" s="32"/>
      <c r="D449" s="32"/>
      <c r="E449" s="32"/>
      <c r="F449" s="28"/>
      <c r="G449" s="28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8.75" customHeight="1">
      <c r="A450" s="28"/>
      <c r="B450" s="28"/>
      <c r="C450" s="32"/>
      <c r="D450" s="32"/>
      <c r="E450" s="32"/>
      <c r="F450" s="28"/>
      <c r="G450" s="28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8.75" customHeight="1">
      <c r="A451" s="28"/>
      <c r="B451" s="28"/>
      <c r="C451" s="32"/>
      <c r="D451" s="32"/>
      <c r="E451" s="32"/>
      <c r="F451" s="28"/>
      <c r="G451" s="28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8.75" customHeight="1">
      <c r="A452" s="28"/>
      <c r="B452" s="28"/>
      <c r="C452" s="32"/>
      <c r="D452" s="32"/>
      <c r="E452" s="32"/>
      <c r="F452" s="28"/>
      <c r="G452" s="28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8.75" customHeight="1">
      <c r="A453" s="28"/>
      <c r="B453" s="28"/>
      <c r="C453" s="32"/>
      <c r="D453" s="32"/>
      <c r="E453" s="32"/>
      <c r="F453" s="28"/>
      <c r="G453" s="28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8.75" customHeight="1">
      <c r="A454" s="28"/>
      <c r="B454" s="28"/>
      <c r="C454" s="32"/>
      <c r="D454" s="32"/>
      <c r="E454" s="32"/>
      <c r="F454" s="28"/>
      <c r="G454" s="28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8.75" customHeight="1">
      <c r="A455" s="28"/>
      <c r="B455" s="28"/>
      <c r="C455" s="32"/>
      <c r="D455" s="32"/>
      <c r="E455" s="32"/>
      <c r="F455" s="28"/>
      <c r="G455" s="28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8.75" customHeight="1">
      <c r="A456" s="28"/>
      <c r="B456" s="28"/>
      <c r="C456" s="32"/>
      <c r="D456" s="32"/>
      <c r="E456" s="32"/>
      <c r="F456" s="28"/>
      <c r="G456" s="28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8.75" customHeight="1">
      <c r="A457" s="28"/>
      <c r="B457" s="28"/>
      <c r="C457" s="32"/>
      <c r="D457" s="32"/>
      <c r="E457" s="32"/>
      <c r="F457" s="28"/>
      <c r="G457" s="28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8.75" customHeight="1">
      <c r="A458" s="28"/>
      <c r="B458" s="28"/>
      <c r="C458" s="32"/>
      <c r="D458" s="32"/>
      <c r="E458" s="32"/>
      <c r="F458" s="28"/>
      <c r="G458" s="28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8.75" customHeight="1">
      <c r="A459" s="28"/>
      <c r="B459" s="28"/>
      <c r="C459" s="32"/>
      <c r="D459" s="32"/>
      <c r="E459" s="32"/>
      <c r="F459" s="28"/>
      <c r="G459" s="28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8.75" customHeight="1">
      <c r="A460" s="28"/>
      <c r="B460" s="28"/>
      <c r="C460" s="32"/>
      <c r="D460" s="32"/>
      <c r="E460" s="32"/>
      <c r="F460" s="28"/>
      <c r="G460" s="28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8.75" customHeight="1">
      <c r="A461" s="28"/>
      <c r="B461" s="28"/>
      <c r="C461" s="32"/>
      <c r="D461" s="32"/>
      <c r="E461" s="32"/>
      <c r="F461" s="28"/>
      <c r="G461" s="28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8.75" customHeight="1">
      <c r="A462" s="28"/>
      <c r="B462" s="28"/>
      <c r="C462" s="32"/>
      <c r="D462" s="32"/>
      <c r="E462" s="32"/>
      <c r="F462" s="28"/>
      <c r="G462" s="28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8.75" customHeight="1">
      <c r="A463" s="28"/>
      <c r="B463" s="28"/>
      <c r="C463" s="32"/>
      <c r="D463" s="32"/>
      <c r="E463" s="32"/>
      <c r="F463" s="28"/>
      <c r="G463" s="28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8.75" customHeight="1">
      <c r="A464" s="28"/>
      <c r="B464" s="28"/>
      <c r="C464" s="32"/>
      <c r="D464" s="32"/>
      <c r="E464" s="32"/>
      <c r="F464" s="28"/>
      <c r="G464" s="28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8.75" customHeight="1">
      <c r="A465" s="28"/>
      <c r="B465" s="28"/>
      <c r="C465" s="32"/>
      <c r="D465" s="32"/>
      <c r="E465" s="32"/>
      <c r="F465" s="28"/>
      <c r="G465" s="28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8.75" customHeight="1">
      <c r="A466" s="28"/>
      <c r="B466" s="28"/>
      <c r="C466" s="32"/>
      <c r="D466" s="32"/>
      <c r="E466" s="32"/>
      <c r="F466" s="28"/>
      <c r="G466" s="28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8.75" customHeight="1">
      <c r="A467" s="28"/>
      <c r="B467" s="28"/>
      <c r="C467" s="32"/>
      <c r="D467" s="32"/>
      <c r="E467" s="32"/>
      <c r="F467" s="28"/>
      <c r="G467" s="28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8.75" customHeight="1">
      <c r="A468" s="28"/>
      <c r="B468" s="28"/>
      <c r="C468" s="32"/>
      <c r="D468" s="32"/>
      <c r="E468" s="32"/>
      <c r="F468" s="28"/>
      <c r="G468" s="28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8.75" customHeight="1">
      <c r="A469" s="28"/>
      <c r="B469" s="28"/>
      <c r="C469" s="32"/>
      <c r="D469" s="32"/>
      <c r="E469" s="32"/>
      <c r="F469" s="28"/>
      <c r="G469" s="28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8.75" customHeight="1">
      <c r="A470" s="28"/>
      <c r="B470" s="28"/>
      <c r="C470" s="32"/>
      <c r="D470" s="32"/>
      <c r="E470" s="32"/>
      <c r="F470" s="28"/>
      <c r="G470" s="28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8.75" customHeight="1">
      <c r="A471" s="28"/>
      <c r="B471" s="28"/>
      <c r="C471" s="32"/>
      <c r="D471" s="32"/>
      <c r="E471" s="32"/>
      <c r="F471" s="28"/>
      <c r="G471" s="28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8.75" customHeight="1">
      <c r="A472" s="28"/>
      <c r="B472" s="28"/>
      <c r="C472" s="32"/>
      <c r="D472" s="32"/>
      <c r="E472" s="32"/>
      <c r="F472" s="28"/>
      <c r="G472" s="28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8.75" customHeight="1">
      <c r="A473" s="28"/>
      <c r="B473" s="28"/>
      <c r="C473" s="32"/>
      <c r="D473" s="32"/>
      <c r="E473" s="32"/>
      <c r="F473" s="28"/>
      <c r="G473" s="28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8.75" customHeight="1">
      <c r="A474" s="28"/>
      <c r="B474" s="28"/>
      <c r="C474" s="32"/>
      <c r="D474" s="32"/>
      <c r="E474" s="32"/>
      <c r="F474" s="28"/>
      <c r="G474" s="28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8.75" customHeight="1">
      <c r="A475" s="28"/>
      <c r="B475" s="28"/>
      <c r="C475" s="32"/>
      <c r="D475" s="32"/>
      <c r="E475" s="32"/>
      <c r="F475" s="28"/>
      <c r="G475" s="28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8.75" customHeight="1">
      <c r="A476" s="28"/>
      <c r="B476" s="28"/>
      <c r="C476" s="32"/>
      <c r="D476" s="32"/>
      <c r="E476" s="32"/>
      <c r="F476" s="28"/>
      <c r="G476" s="28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8.75" customHeight="1">
      <c r="A477" s="28"/>
      <c r="B477" s="28"/>
      <c r="C477" s="32"/>
      <c r="D477" s="32"/>
      <c r="E477" s="32"/>
      <c r="F477" s="28"/>
      <c r="G477" s="28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8.75" customHeight="1">
      <c r="A478" s="28"/>
      <c r="B478" s="28"/>
      <c r="C478" s="32"/>
      <c r="D478" s="32"/>
      <c r="E478" s="32"/>
      <c r="F478" s="28"/>
      <c r="G478" s="28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8.75" customHeight="1">
      <c r="A479" s="28"/>
      <c r="B479" s="28"/>
      <c r="C479" s="32"/>
      <c r="D479" s="32"/>
      <c r="E479" s="32"/>
      <c r="F479" s="28"/>
      <c r="G479" s="28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8.75" customHeight="1">
      <c r="A480" s="28"/>
      <c r="B480" s="28"/>
      <c r="C480" s="32"/>
      <c r="D480" s="32"/>
      <c r="E480" s="32"/>
      <c r="F480" s="28"/>
      <c r="G480" s="28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8.75" customHeight="1">
      <c r="A481" s="28"/>
      <c r="B481" s="28"/>
      <c r="C481" s="32"/>
      <c r="D481" s="32"/>
      <c r="E481" s="32"/>
      <c r="F481" s="28"/>
      <c r="G481" s="28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8.75" customHeight="1">
      <c r="A482" s="28"/>
      <c r="B482" s="28"/>
      <c r="C482" s="32"/>
      <c r="D482" s="32"/>
      <c r="E482" s="32"/>
      <c r="F482" s="28"/>
      <c r="G482" s="28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8.75" customHeight="1">
      <c r="A483" s="28"/>
      <c r="B483" s="28"/>
      <c r="C483" s="32"/>
      <c r="D483" s="32"/>
      <c r="E483" s="32"/>
      <c r="F483" s="28"/>
      <c r="G483" s="28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8.75" customHeight="1">
      <c r="A484" s="28"/>
      <c r="B484" s="28"/>
      <c r="C484" s="32"/>
      <c r="D484" s="32"/>
      <c r="E484" s="32"/>
      <c r="F484" s="28"/>
      <c r="G484" s="28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8.75" customHeight="1">
      <c r="A485" s="28"/>
      <c r="B485" s="28"/>
      <c r="C485" s="32"/>
      <c r="D485" s="32"/>
      <c r="E485" s="32"/>
      <c r="F485" s="28"/>
      <c r="G485" s="28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8.75" customHeight="1">
      <c r="A486" s="28"/>
      <c r="B486" s="28"/>
      <c r="C486" s="32"/>
      <c r="D486" s="32"/>
      <c r="E486" s="32"/>
      <c r="F486" s="28"/>
      <c r="G486" s="28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8.75" customHeight="1">
      <c r="A487" s="28"/>
      <c r="B487" s="28"/>
      <c r="C487" s="32"/>
      <c r="D487" s="32"/>
      <c r="E487" s="32"/>
      <c r="F487" s="28"/>
      <c r="G487" s="28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8.75" customHeight="1">
      <c r="A488" s="28"/>
      <c r="B488" s="28"/>
      <c r="C488" s="32"/>
      <c r="D488" s="32"/>
      <c r="E488" s="32"/>
      <c r="F488" s="28"/>
      <c r="G488" s="28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8.75" customHeight="1">
      <c r="A489" s="28"/>
      <c r="B489" s="28"/>
      <c r="C489" s="32"/>
      <c r="D489" s="32"/>
      <c r="E489" s="32"/>
      <c r="F489" s="28"/>
      <c r="G489" s="28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8.75" customHeight="1">
      <c r="A490" s="28"/>
      <c r="B490" s="28"/>
      <c r="C490" s="32"/>
      <c r="D490" s="32"/>
      <c r="E490" s="32"/>
      <c r="F490" s="28"/>
      <c r="G490" s="28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8.75" customHeight="1">
      <c r="A491" s="28"/>
      <c r="B491" s="28"/>
      <c r="C491" s="32"/>
      <c r="D491" s="32"/>
      <c r="E491" s="32"/>
      <c r="F491" s="28"/>
      <c r="G491" s="28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8.75" customHeight="1">
      <c r="A492" s="28"/>
      <c r="B492" s="28"/>
      <c r="C492" s="32"/>
      <c r="D492" s="32"/>
      <c r="E492" s="32"/>
      <c r="F492" s="28"/>
      <c r="G492" s="28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8.75" customHeight="1">
      <c r="A493" s="28"/>
      <c r="B493" s="28"/>
      <c r="C493" s="32"/>
      <c r="D493" s="32"/>
      <c r="E493" s="32"/>
      <c r="F493" s="28"/>
      <c r="G493" s="28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8.75" customHeight="1">
      <c r="A494" s="28"/>
      <c r="B494" s="28"/>
      <c r="C494" s="32"/>
      <c r="D494" s="32"/>
      <c r="E494" s="32"/>
      <c r="F494" s="28"/>
      <c r="G494" s="28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8.75" customHeight="1">
      <c r="A495" s="28"/>
      <c r="B495" s="28"/>
      <c r="C495" s="32"/>
      <c r="D495" s="32"/>
      <c r="E495" s="32"/>
      <c r="F495" s="28"/>
      <c r="G495" s="28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8.75" customHeight="1">
      <c r="A496" s="28"/>
      <c r="B496" s="28"/>
      <c r="C496" s="32"/>
      <c r="D496" s="32"/>
      <c r="E496" s="32"/>
      <c r="F496" s="28"/>
      <c r="G496" s="28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8.75" customHeight="1">
      <c r="A497" s="28"/>
      <c r="B497" s="28"/>
      <c r="C497" s="32"/>
      <c r="D497" s="32"/>
      <c r="E497" s="32"/>
      <c r="F497" s="28"/>
      <c r="G497" s="28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8.75" customHeight="1">
      <c r="A498" s="28"/>
      <c r="B498" s="28"/>
      <c r="C498" s="32"/>
      <c r="D498" s="32"/>
      <c r="E498" s="32"/>
      <c r="F498" s="28"/>
      <c r="G498" s="28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8.75" customHeight="1">
      <c r="A499" s="28"/>
      <c r="B499" s="28"/>
      <c r="C499" s="32"/>
      <c r="D499" s="32"/>
      <c r="E499" s="32"/>
      <c r="F499" s="28"/>
      <c r="G499" s="28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8.75" customHeight="1">
      <c r="A500" s="28"/>
      <c r="B500" s="28"/>
      <c r="C500" s="32"/>
      <c r="D500" s="32"/>
      <c r="E500" s="32"/>
      <c r="F500" s="28"/>
      <c r="G500" s="28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8.75" customHeight="1">
      <c r="A501" s="28"/>
      <c r="B501" s="28"/>
      <c r="C501" s="32"/>
      <c r="D501" s="32"/>
      <c r="E501" s="32"/>
      <c r="F501" s="28"/>
      <c r="G501" s="28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8.75" customHeight="1">
      <c r="A502" s="28"/>
      <c r="B502" s="28"/>
      <c r="C502" s="32"/>
      <c r="D502" s="32"/>
      <c r="E502" s="32"/>
      <c r="F502" s="28"/>
      <c r="G502" s="28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8.75" customHeight="1">
      <c r="A503" s="28"/>
      <c r="B503" s="28"/>
      <c r="C503" s="32"/>
      <c r="D503" s="32"/>
      <c r="E503" s="32"/>
      <c r="F503" s="28"/>
      <c r="G503" s="28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8.75" customHeight="1">
      <c r="A504" s="28"/>
      <c r="B504" s="28"/>
      <c r="C504" s="32"/>
      <c r="D504" s="32"/>
      <c r="E504" s="32"/>
      <c r="F504" s="28"/>
      <c r="G504" s="28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8.75" customHeight="1">
      <c r="A505" s="28"/>
      <c r="B505" s="28"/>
      <c r="C505" s="32"/>
      <c r="D505" s="32"/>
      <c r="E505" s="32"/>
      <c r="F505" s="28"/>
      <c r="G505" s="28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8.75" customHeight="1">
      <c r="A506" s="28"/>
      <c r="B506" s="28"/>
      <c r="C506" s="32"/>
      <c r="D506" s="32"/>
      <c r="E506" s="32"/>
      <c r="F506" s="28"/>
      <c r="G506" s="28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8.75" customHeight="1">
      <c r="A507" s="28"/>
      <c r="B507" s="28"/>
      <c r="C507" s="32"/>
      <c r="D507" s="32"/>
      <c r="E507" s="32"/>
      <c r="F507" s="28"/>
      <c r="G507" s="28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8.75" customHeight="1">
      <c r="A508" s="28"/>
      <c r="B508" s="28"/>
      <c r="C508" s="32"/>
      <c r="D508" s="32"/>
      <c r="E508" s="32"/>
      <c r="F508" s="28"/>
      <c r="G508" s="28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8.75" customHeight="1">
      <c r="A509" s="28"/>
      <c r="B509" s="28"/>
      <c r="C509" s="32"/>
      <c r="D509" s="32"/>
      <c r="E509" s="32"/>
      <c r="F509" s="28"/>
      <c r="G509" s="28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8.75" customHeight="1">
      <c r="A510" s="28"/>
      <c r="B510" s="28"/>
      <c r="C510" s="32"/>
      <c r="D510" s="32"/>
      <c r="E510" s="32"/>
      <c r="F510" s="28"/>
      <c r="G510" s="28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8.75" customHeight="1">
      <c r="A511" s="28"/>
      <c r="B511" s="28"/>
      <c r="C511" s="32"/>
      <c r="D511" s="32"/>
      <c r="E511" s="32"/>
      <c r="F511" s="28"/>
      <c r="G511" s="28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8.75" customHeight="1">
      <c r="A512" s="28"/>
      <c r="B512" s="28"/>
      <c r="C512" s="32"/>
      <c r="D512" s="32"/>
      <c r="E512" s="32"/>
      <c r="F512" s="28"/>
      <c r="G512" s="28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8.75" customHeight="1">
      <c r="A513" s="28"/>
      <c r="B513" s="28"/>
      <c r="C513" s="32"/>
      <c r="D513" s="32"/>
      <c r="E513" s="32"/>
      <c r="F513" s="28"/>
      <c r="G513" s="28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8.75" customHeight="1">
      <c r="A514" s="28"/>
      <c r="B514" s="28"/>
      <c r="C514" s="32"/>
      <c r="D514" s="32"/>
      <c r="E514" s="32"/>
      <c r="F514" s="28"/>
      <c r="G514" s="28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8.75" customHeight="1">
      <c r="A515" s="28"/>
      <c r="B515" s="28"/>
      <c r="C515" s="32"/>
      <c r="D515" s="32"/>
      <c r="E515" s="32"/>
      <c r="F515" s="28"/>
      <c r="G515" s="28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8.75" customHeight="1">
      <c r="A516" s="28"/>
      <c r="B516" s="28"/>
      <c r="C516" s="32"/>
      <c r="D516" s="32"/>
      <c r="E516" s="32"/>
      <c r="F516" s="28"/>
      <c r="G516" s="28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8.75" customHeight="1">
      <c r="A517" s="28"/>
      <c r="B517" s="28"/>
      <c r="C517" s="32"/>
      <c r="D517" s="32"/>
      <c r="E517" s="32"/>
      <c r="F517" s="28"/>
      <c r="G517" s="28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8.75" customHeight="1">
      <c r="A518" s="28"/>
      <c r="B518" s="28"/>
      <c r="C518" s="32"/>
      <c r="D518" s="32"/>
      <c r="E518" s="32"/>
      <c r="F518" s="28"/>
      <c r="G518" s="28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8.75" customHeight="1">
      <c r="A519" s="28"/>
      <c r="B519" s="28"/>
      <c r="C519" s="32"/>
      <c r="D519" s="32"/>
      <c r="E519" s="32"/>
      <c r="F519" s="28"/>
      <c r="G519" s="28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8.75" customHeight="1">
      <c r="A520" s="28"/>
      <c r="B520" s="28"/>
      <c r="C520" s="32"/>
      <c r="D520" s="32"/>
      <c r="E520" s="32"/>
      <c r="F520" s="28"/>
      <c r="G520" s="28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8.75" customHeight="1">
      <c r="A521" s="28"/>
      <c r="B521" s="28"/>
      <c r="C521" s="32"/>
      <c r="D521" s="32"/>
      <c r="E521" s="32"/>
      <c r="F521" s="28"/>
      <c r="G521" s="28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8.75" customHeight="1">
      <c r="A522" s="28"/>
      <c r="B522" s="28"/>
      <c r="C522" s="32"/>
      <c r="D522" s="32"/>
      <c r="E522" s="32"/>
      <c r="F522" s="28"/>
      <c r="G522" s="28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8.75" customHeight="1">
      <c r="A523" s="28"/>
      <c r="B523" s="28"/>
      <c r="C523" s="32"/>
      <c r="D523" s="32"/>
      <c r="E523" s="32"/>
      <c r="F523" s="28"/>
      <c r="G523" s="28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8.75" customHeight="1">
      <c r="A524" s="28"/>
      <c r="B524" s="28"/>
      <c r="C524" s="32"/>
      <c r="D524" s="32"/>
      <c r="E524" s="32"/>
      <c r="F524" s="28"/>
      <c r="G524" s="28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8.75" customHeight="1">
      <c r="A525" s="28"/>
      <c r="B525" s="28"/>
      <c r="C525" s="32"/>
      <c r="D525" s="32"/>
      <c r="E525" s="32"/>
      <c r="F525" s="28"/>
      <c r="G525" s="28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8.75" customHeight="1">
      <c r="A526" s="28"/>
      <c r="B526" s="28"/>
      <c r="C526" s="32"/>
      <c r="D526" s="32"/>
      <c r="E526" s="32"/>
      <c r="F526" s="28"/>
      <c r="G526" s="28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8.75" customHeight="1">
      <c r="A527" s="28"/>
      <c r="B527" s="28"/>
      <c r="C527" s="32"/>
      <c r="D527" s="32"/>
      <c r="E527" s="32"/>
      <c r="F527" s="28"/>
      <c r="G527" s="28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8.75" customHeight="1">
      <c r="A528" s="28"/>
      <c r="B528" s="28"/>
      <c r="C528" s="32"/>
      <c r="D528" s="32"/>
      <c r="E528" s="32"/>
      <c r="F528" s="28"/>
      <c r="G528" s="28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8.75" customHeight="1">
      <c r="A529" s="28"/>
      <c r="B529" s="28"/>
      <c r="C529" s="32"/>
      <c r="D529" s="32"/>
      <c r="E529" s="32"/>
      <c r="F529" s="28"/>
      <c r="G529" s="28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8.75" customHeight="1">
      <c r="A530" s="28"/>
      <c r="B530" s="28"/>
      <c r="C530" s="32"/>
      <c r="D530" s="32"/>
      <c r="E530" s="32"/>
      <c r="F530" s="28"/>
      <c r="G530" s="28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8.75" customHeight="1">
      <c r="A531" s="28"/>
      <c r="B531" s="28"/>
      <c r="C531" s="32"/>
      <c r="D531" s="32"/>
      <c r="E531" s="32"/>
      <c r="F531" s="28"/>
      <c r="G531" s="28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8.75" customHeight="1">
      <c r="A532" s="28"/>
      <c r="B532" s="28"/>
      <c r="C532" s="32"/>
      <c r="D532" s="32"/>
      <c r="E532" s="32"/>
      <c r="F532" s="28"/>
      <c r="G532" s="28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8.75" customHeight="1">
      <c r="A533" s="28"/>
      <c r="B533" s="28"/>
      <c r="C533" s="32"/>
      <c r="D533" s="32"/>
      <c r="E533" s="32"/>
      <c r="F533" s="28"/>
      <c r="G533" s="28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8.75" customHeight="1">
      <c r="A534" s="28"/>
      <c r="B534" s="28"/>
      <c r="C534" s="32"/>
      <c r="D534" s="32"/>
      <c r="E534" s="32"/>
      <c r="F534" s="28"/>
      <c r="G534" s="28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8.75" customHeight="1">
      <c r="A535" s="28"/>
      <c r="B535" s="28"/>
      <c r="C535" s="32"/>
      <c r="D535" s="32"/>
      <c r="E535" s="32"/>
      <c r="F535" s="28"/>
      <c r="G535" s="28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8.75" customHeight="1">
      <c r="A536" s="28"/>
      <c r="B536" s="28"/>
      <c r="C536" s="32"/>
      <c r="D536" s="32"/>
      <c r="E536" s="32"/>
      <c r="F536" s="28"/>
      <c r="G536" s="28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8.75" customHeight="1">
      <c r="A537" s="28"/>
      <c r="B537" s="28"/>
      <c r="C537" s="32"/>
      <c r="D537" s="32"/>
      <c r="E537" s="32"/>
      <c r="F537" s="28"/>
      <c r="G537" s="28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8.75" customHeight="1">
      <c r="A538" s="28"/>
      <c r="B538" s="28"/>
      <c r="C538" s="32"/>
      <c r="D538" s="32"/>
      <c r="E538" s="32"/>
      <c r="F538" s="28"/>
      <c r="G538" s="28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8.75" customHeight="1">
      <c r="A539" s="28"/>
      <c r="B539" s="28"/>
      <c r="C539" s="32"/>
      <c r="D539" s="32"/>
      <c r="E539" s="32"/>
      <c r="F539" s="28"/>
      <c r="G539" s="28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8.75" customHeight="1">
      <c r="A540" s="28"/>
      <c r="B540" s="28"/>
      <c r="C540" s="32"/>
      <c r="D540" s="32"/>
      <c r="E540" s="32"/>
      <c r="F540" s="28"/>
      <c r="G540" s="28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8.75" customHeight="1">
      <c r="A541" s="28"/>
      <c r="B541" s="28"/>
      <c r="C541" s="32"/>
      <c r="D541" s="32"/>
      <c r="E541" s="32"/>
      <c r="F541" s="28"/>
      <c r="G541" s="28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8.75" customHeight="1">
      <c r="A542" s="28"/>
      <c r="B542" s="28"/>
      <c r="C542" s="32"/>
      <c r="D542" s="32"/>
      <c r="E542" s="32"/>
      <c r="F542" s="28"/>
      <c r="G542" s="28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8.75" customHeight="1">
      <c r="A543" s="28"/>
      <c r="B543" s="28"/>
      <c r="C543" s="32"/>
      <c r="D543" s="32"/>
      <c r="E543" s="32"/>
      <c r="F543" s="28"/>
      <c r="G543" s="28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8.75" customHeight="1">
      <c r="A544" s="28"/>
      <c r="B544" s="28"/>
      <c r="C544" s="32"/>
      <c r="D544" s="32"/>
      <c r="E544" s="32"/>
      <c r="F544" s="28"/>
      <c r="G544" s="28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8.75" customHeight="1">
      <c r="A545" s="28"/>
      <c r="B545" s="28"/>
      <c r="C545" s="32"/>
      <c r="D545" s="32"/>
      <c r="E545" s="32"/>
      <c r="F545" s="28"/>
      <c r="G545" s="28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8.75" customHeight="1">
      <c r="A546" s="28"/>
      <c r="B546" s="28"/>
      <c r="C546" s="32"/>
      <c r="D546" s="32"/>
      <c r="E546" s="32"/>
      <c r="F546" s="28"/>
      <c r="G546" s="28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8.75" customHeight="1">
      <c r="A547" s="28"/>
      <c r="B547" s="28"/>
      <c r="C547" s="32"/>
      <c r="D547" s="32"/>
      <c r="E547" s="32"/>
      <c r="F547" s="28"/>
      <c r="G547" s="28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8.75" customHeight="1">
      <c r="A548" s="28"/>
      <c r="B548" s="28"/>
      <c r="C548" s="32"/>
      <c r="D548" s="32"/>
      <c r="E548" s="32"/>
      <c r="F548" s="28"/>
      <c r="G548" s="28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8.75" customHeight="1">
      <c r="A549" s="28"/>
      <c r="B549" s="28"/>
      <c r="C549" s="32"/>
      <c r="D549" s="32"/>
      <c r="E549" s="32"/>
      <c r="F549" s="28"/>
      <c r="G549" s="28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8.75" customHeight="1">
      <c r="A550" s="28"/>
      <c r="B550" s="28"/>
      <c r="C550" s="32"/>
      <c r="D550" s="32"/>
      <c r="E550" s="32"/>
      <c r="F550" s="28"/>
      <c r="G550" s="28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8.75" customHeight="1">
      <c r="A551" s="28"/>
      <c r="B551" s="28"/>
      <c r="C551" s="32"/>
      <c r="D551" s="32"/>
      <c r="E551" s="32"/>
      <c r="F551" s="28"/>
      <c r="G551" s="28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8.75" customHeight="1">
      <c r="A552" s="28"/>
      <c r="B552" s="28"/>
      <c r="C552" s="32"/>
      <c r="D552" s="32"/>
      <c r="E552" s="32"/>
      <c r="F552" s="28"/>
      <c r="G552" s="28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8.75" customHeight="1">
      <c r="A553" s="28"/>
      <c r="B553" s="28"/>
      <c r="C553" s="32"/>
      <c r="D553" s="32"/>
      <c r="E553" s="32"/>
      <c r="F553" s="28"/>
      <c r="G553" s="28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8.75" customHeight="1">
      <c r="A554" s="28"/>
      <c r="B554" s="28"/>
      <c r="C554" s="32"/>
      <c r="D554" s="32"/>
      <c r="E554" s="32"/>
      <c r="F554" s="28"/>
      <c r="G554" s="28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8.75" customHeight="1">
      <c r="A555" s="28"/>
      <c r="B555" s="28"/>
      <c r="C555" s="32"/>
      <c r="D555" s="32"/>
      <c r="E555" s="32"/>
      <c r="F555" s="28"/>
      <c r="G555" s="28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8.75" customHeight="1">
      <c r="A556" s="28"/>
      <c r="B556" s="28"/>
      <c r="C556" s="32"/>
      <c r="D556" s="32"/>
      <c r="E556" s="32"/>
      <c r="F556" s="28"/>
      <c r="G556" s="28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8.75" customHeight="1">
      <c r="A557" s="28"/>
      <c r="B557" s="28"/>
      <c r="C557" s="32"/>
      <c r="D557" s="32"/>
      <c r="E557" s="32"/>
      <c r="F557" s="28"/>
      <c r="G557" s="28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8.75" customHeight="1">
      <c r="A558" s="28"/>
      <c r="B558" s="28"/>
      <c r="C558" s="32"/>
      <c r="D558" s="32"/>
      <c r="E558" s="32"/>
      <c r="F558" s="28"/>
      <c r="G558" s="28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8.75" customHeight="1">
      <c r="A559" s="28"/>
      <c r="B559" s="28"/>
      <c r="C559" s="32"/>
      <c r="D559" s="32"/>
      <c r="E559" s="32"/>
      <c r="F559" s="28"/>
      <c r="G559" s="28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8.75" customHeight="1">
      <c r="A560" s="28"/>
      <c r="B560" s="28"/>
      <c r="C560" s="32"/>
      <c r="D560" s="32"/>
      <c r="E560" s="32"/>
      <c r="F560" s="28"/>
      <c r="G560" s="28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8.75" customHeight="1">
      <c r="A561" s="28"/>
      <c r="B561" s="28"/>
      <c r="C561" s="32"/>
      <c r="D561" s="32"/>
      <c r="E561" s="32"/>
      <c r="F561" s="28"/>
      <c r="G561" s="28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8.75" customHeight="1">
      <c r="A562" s="28"/>
      <c r="B562" s="28"/>
      <c r="C562" s="32"/>
      <c r="D562" s="32"/>
      <c r="E562" s="32"/>
      <c r="F562" s="28"/>
      <c r="G562" s="28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8.75" customHeight="1">
      <c r="A563" s="28"/>
      <c r="B563" s="28"/>
      <c r="C563" s="32"/>
      <c r="D563" s="32"/>
      <c r="E563" s="32"/>
      <c r="F563" s="28"/>
      <c r="G563" s="28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8.75" customHeight="1">
      <c r="A564" s="28"/>
      <c r="B564" s="28"/>
      <c r="C564" s="32"/>
      <c r="D564" s="32"/>
      <c r="E564" s="32"/>
      <c r="F564" s="28"/>
      <c r="G564" s="28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8.75" customHeight="1">
      <c r="A565" s="28"/>
      <c r="B565" s="28"/>
      <c r="C565" s="32"/>
      <c r="D565" s="32"/>
      <c r="E565" s="32"/>
      <c r="F565" s="28"/>
      <c r="G565" s="28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8.75" customHeight="1">
      <c r="A566" s="28"/>
      <c r="B566" s="28"/>
      <c r="C566" s="32"/>
      <c r="D566" s="32"/>
      <c r="E566" s="32"/>
      <c r="F566" s="28"/>
      <c r="G566" s="28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8.75" customHeight="1">
      <c r="A567" s="28"/>
      <c r="B567" s="28"/>
      <c r="C567" s="32"/>
      <c r="D567" s="32"/>
      <c r="E567" s="32"/>
      <c r="F567" s="28"/>
      <c r="G567" s="28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8.75" customHeight="1">
      <c r="A568" s="28"/>
      <c r="B568" s="28"/>
      <c r="C568" s="32"/>
      <c r="D568" s="32"/>
      <c r="E568" s="32"/>
      <c r="F568" s="28"/>
      <c r="G568" s="28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8.75" customHeight="1">
      <c r="A569" s="28"/>
      <c r="B569" s="28"/>
      <c r="C569" s="32"/>
      <c r="D569" s="32"/>
      <c r="E569" s="32"/>
      <c r="F569" s="28"/>
      <c r="G569" s="28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8.75" customHeight="1">
      <c r="A570" s="28"/>
      <c r="B570" s="28"/>
      <c r="C570" s="32"/>
      <c r="D570" s="32"/>
      <c r="E570" s="32"/>
      <c r="F570" s="28"/>
      <c r="G570" s="28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8.75" customHeight="1">
      <c r="A571" s="28"/>
      <c r="B571" s="28"/>
      <c r="C571" s="32"/>
      <c r="D571" s="32"/>
      <c r="E571" s="32"/>
      <c r="F571" s="28"/>
      <c r="G571" s="28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8.75" customHeight="1">
      <c r="A572" s="28"/>
      <c r="B572" s="28"/>
      <c r="C572" s="32"/>
      <c r="D572" s="32"/>
      <c r="E572" s="32"/>
      <c r="F572" s="28"/>
      <c r="G572" s="28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8.75" customHeight="1">
      <c r="A573" s="28"/>
      <c r="B573" s="28"/>
      <c r="C573" s="32"/>
      <c r="D573" s="32"/>
      <c r="E573" s="32"/>
      <c r="F573" s="28"/>
      <c r="G573" s="28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8.75" customHeight="1">
      <c r="A574" s="28"/>
      <c r="B574" s="28"/>
      <c r="C574" s="32"/>
      <c r="D574" s="32"/>
      <c r="E574" s="32"/>
      <c r="F574" s="28"/>
      <c r="G574" s="28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8.75" customHeight="1">
      <c r="A575" s="28"/>
      <c r="B575" s="28"/>
      <c r="C575" s="32"/>
      <c r="D575" s="32"/>
      <c r="E575" s="32"/>
      <c r="F575" s="28"/>
      <c r="G575" s="28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8.75" customHeight="1">
      <c r="A576" s="28"/>
      <c r="B576" s="28"/>
      <c r="C576" s="32"/>
      <c r="D576" s="32"/>
      <c r="E576" s="32"/>
      <c r="F576" s="28"/>
      <c r="G576" s="28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8.75" customHeight="1">
      <c r="A577" s="28"/>
      <c r="B577" s="28"/>
      <c r="C577" s="32"/>
      <c r="D577" s="32"/>
      <c r="E577" s="32"/>
      <c r="F577" s="28"/>
      <c r="G577" s="28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8.75" customHeight="1">
      <c r="A578" s="28"/>
      <c r="B578" s="28"/>
      <c r="C578" s="32"/>
      <c r="D578" s="32"/>
      <c r="E578" s="32"/>
      <c r="F578" s="28"/>
      <c r="G578" s="28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8.75" customHeight="1">
      <c r="A579" s="28"/>
      <c r="B579" s="28"/>
      <c r="C579" s="32"/>
      <c r="D579" s="32"/>
      <c r="E579" s="32"/>
      <c r="F579" s="28"/>
      <c r="G579" s="28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8.75" customHeight="1">
      <c r="A580" s="28"/>
      <c r="B580" s="28"/>
      <c r="C580" s="32"/>
      <c r="D580" s="32"/>
      <c r="E580" s="32"/>
      <c r="F580" s="28"/>
      <c r="G580" s="28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8.75" customHeight="1">
      <c r="A581" s="28"/>
      <c r="B581" s="28"/>
      <c r="C581" s="32"/>
      <c r="D581" s="32"/>
      <c r="E581" s="32"/>
      <c r="F581" s="28"/>
      <c r="G581" s="28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8.75" customHeight="1">
      <c r="A582" s="28"/>
      <c r="B582" s="28"/>
      <c r="C582" s="32"/>
      <c r="D582" s="32"/>
      <c r="E582" s="32"/>
      <c r="F582" s="28"/>
      <c r="G582" s="28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8.75" customHeight="1">
      <c r="A583" s="28"/>
      <c r="B583" s="28"/>
      <c r="C583" s="32"/>
      <c r="D583" s="32"/>
      <c r="E583" s="32"/>
      <c r="F583" s="28"/>
      <c r="G583" s="28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8.75" customHeight="1">
      <c r="A584" s="28"/>
      <c r="B584" s="28"/>
      <c r="C584" s="32"/>
      <c r="D584" s="32"/>
      <c r="E584" s="32"/>
      <c r="F584" s="28"/>
      <c r="G584" s="28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8.75" customHeight="1">
      <c r="A585" s="28"/>
      <c r="B585" s="28"/>
      <c r="C585" s="32"/>
      <c r="D585" s="32"/>
      <c r="E585" s="32"/>
      <c r="F585" s="28"/>
      <c r="G585" s="28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8.75" customHeight="1">
      <c r="A586" s="28"/>
      <c r="B586" s="28"/>
      <c r="C586" s="32"/>
      <c r="D586" s="32"/>
      <c r="E586" s="32"/>
      <c r="F586" s="28"/>
      <c r="G586" s="28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8.75" customHeight="1">
      <c r="A587" s="28"/>
      <c r="B587" s="28"/>
      <c r="C587" s="32"/>
      <c r="D587" s="32"/>
      <c r="E587" s="32"/>
      <c r="F587" s="28"/>
      <c r="G587" s="28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8.75" customHeight="1">
      <c r="A588" s="28"/>
      <c r="B588" s="28"/>
      <c r="C588" s="32"/>
      <c r="D588" s="32"/>
      <c r="E588" s="32"/>
      <c r="F588" s="28"/>
      <c r="G588" s="28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8.75" customHeight="1">
      <c r="A589" s="28"/>
      <c r="B589" s="28"/>
      <c r="C589" s="32"/>
      <c r="D589" s="32"/>
      <c r="E589" s="32"/>
      <c r="F589" s="28"/>
      <c r="G589" s="28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8.75" customHeight="1">
      <c r="A590" s="28"/>
      <c r="B590" s="28"/>
      <c r="C590" s="32"/>
      <c r="D590" s="32"/>
      <c r="E590" s="32"/>
      <c r="F590" s="28"/>
      <c r="G590" s="28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8.75" customHeight="1">
      <c r="A591" s="28"/>
      <c r="B591" s="28"/>
      <c r="C591" s="32"/>
      <c r="D591" s="32"/>
      <c r="E591" s="32"/>
      <c r="F591" s="28"/>
      <c r="G591" s="28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8.75" customHeight="1">
      <c r="A592" s="28"/>
      <c r="B592" s="28"/>
      <c r="C592" s="32"/>
      <c r="D592" s="32"/>
      <c r="E592" s="32"/>
      <c r="F592" s="28"/>
      <c r="G592" s="28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8.75" customHeight="1">
      <c r="A593" s="28"/>
      <c r="B593" s="28"/>
      <c r="C593" s="32"/>
      <c r="D593" s="32"/>
      <c r="E593" s="32"/>
      <c r="F593" s="28"/>
      <c r="G593" s="28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8.75" customHeight="1">
      <c r="A594" s="28"/>
      <c r="B594" s="28"/>
      <c r="C594" s="32"/>
      <c r="D594" s="32"/>
      <c r="E594" s="32"/>
      <c r="F594" s="28"/>
      <c r="G594" s="28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8.75" customHeight="1">
      <c r="A595" s="28"/>
      <c r="B595" s="28"/>
      <c r="C595" s="32"/>
      <c r="D595" s="32"/>
      <c r="E595" s="32"/>
      <c r="F595" s="28"/>
      <c r="G595" s="28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8.75" customHeight="1">
      <c r="A596" s="28"/>
      <c r="B596" s="28"/>
      <c r="C596" s="32"/>
      <c r="D596" s="32"/>
      <c r="E596" s="32"/>
      <c r="F596" s="28"/>
      <c r="G596" s="28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8.75" customHeight="1">
      <c r="A597" s="28"/>
      <c r="B597" s="28"/>
      <c r="C597" s="32"/>
      <c r="D597" s="32"/>
      <c r="E597" s="32"/>
      <c r="F597" s="28"/>
      <c r="G597" s="28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8.75" customHeight="1">
      <c r="A598" s="28"/>
      <c r="B598" s="28"/>
      <c r="C598" s="32"/>
      <c r="D598" s="32"/>
      <c r="E598" s="32"/>
      <c r="F598" s="28"/>
      <c r="G598" s="28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8.75" customHeight="1">
      <c r="A599" s="28"/>
      <c r="B599" s="28"/>
      <c r="C599" s="32"/>
      <c r="D599" s="32"/>
      <c r="E599" s="32"/>
      <c r="F599" s="28"/>
      <c r="G599" s="28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8.75" customHeight="1">
      <c r="A600" s="28"/>
      <c r="B600" s="28"/>
      <c r="C600" s="32"/>
      <c r="D600" s="32"/>
      <c r="E600" s="32"/>
      <c r="F600" s="28"/>
      <c r="G600" s="28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8.75" customHeight="1">
      <c r="A601" s="28"/>
      <c r="B601" s="28"/>
      <c r="C601" s="32"/>
      <c r="D601" s="32"/>
      <c r="E601" s="32"/>
      <c r="F601" s="28"/>
      <c r="G601" s="28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8.75" customHeight="1">
      <c r="A602" s="28"/>
      <c r="B602" s="28"/>
      <c r="C602" s="32"/>
      <c r="D602" s="32"/>
      <c r="E602" s="32"/>
      <c r="F602" s="28"/>
      <c r="G602" s="28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8.75" customHeight="1">
      <c r="A603" s="28"/>
      <c r="B603" s="28"/>
      <c r="C603" s="32"/>
      <c r="D603" s="32"/>
      <c r="E603" s="32"/>
      <c r="F603" s="28"/>
      <c r="G603" s="28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8.75" customHeight="1">
      <c r="A604" s="28"/>
      <c r="B604" s="28"/>
      <c r="C604" s="32"/>
      <c r="D604" s="32"/>
      <c r="E604" s="32"/>
      <c r="F604" s="28"/>
      <c r="G604" s="28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8.75" customHeight="1">
      <c r="A605" s="28"/>
      <c r="B605" s="28"/>
      <c r="C605" s="32"/>
      <c r="D605" s="32"/>
      <c r="E605" s="32"/>
      <c r="F605" s="28"/>
      <c r="G605" s="28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8.75" customHeight="1">
      <c r="A606" s="28"/>
      <c r="B606" s="28"/>
      <c r="C606" s="32"/>
      <c r="D606" s="32"/>
      <c r="E606" s="32"/>
      <c r="F606" s="28"/>
      <c r="G606" s="28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8.75" customHeight="1">
      <c r="A607" s="28"/>
      <c r="B607" s="28"/>
      <c r="C607" s="32"/>
      <c r="D607" s="32"/>
      <c r="E607" s="32"/>
      <c r="F607" s="28"/>
      <c r="G607" s="28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8.75" customHeight="1">
      <c r="A608" s="28"/>
      <c r="B608" s="28"/>
      <c r="C608" s="32"/>
      <c r="D608" s="32"/>
      <c r="E608" s="32"/>
      <c r="F608" s="28"/>
      <c r="G608" s="28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8.75" customHeight="1">
      <c r="A609" s="28"/>
      <c r="B609" s="28"/>
      <c r="C609" s="32"/>
      <c r="D609" s="32"/>
      <c r="E609" s="32"/>
      <c r="F609" s="28"/>
      <c r="G609" s="28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8.75" customHeight="1">
      <c r="A610" s="28"/>
      <c r="B610" s="28"/>
      <c r="C610" s="32"/>
      <c r="D610" s="32"/>
      <c r="E610" s="32"/>
      <c r="F610" s="28"/>
      <c r="G610" s="28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8.75" customHeight="1">
      <c r="A611" s="28"/>
      <c r="B611" s="28"/>
      <c r="C611" s="32"/>
      <c r="D611" s="32"/>
      <c r="E611" s="32"/>
      <c r="F611" s="28"/>
      <c r="G611" s="28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8.75" customHeight="1">
      <c r="A612" s="28"/>
      <c r="B612" s="28"/>
      <c r="C612" s="32"/>
      <c r="D612" s="32"/>
      <c r="E612" s="32"/>
      <c r="F612" s="28"/>
      <c r="G612" s="28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8.75" customHeight="1">
      <c r="A613" s="28"/>
      <c r="B613" s="28"/>
      <c r="C613" s="32"/>
      <c r="D613" s="32"/>
      <c r="E613" s="32"/>
      <c r="F613" s="28"/>
      <c r="G613" s="28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8.75" customHeight="1">
      <c r="A614" s="28"/>
      <c r="B614" s="28"/>
      <c r="C614" s="32"/>
      <c r="D614" s="32"/>
      <c r="E614" s="32"/>
      <c r="F614" s="28"/>
      <c r="G614" s="28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8.75" customHeight="1">
      <c r="A615" s="28"/>
      <c r="B615" s="28"/>
      <c r="C615" s="32"/>
      <c r="D615" s="32"/>
      <c r="E615" s="32"/>
      <c r="F615" s="28"/>
      <c r="G615" s="28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8.75" customHeight="1">
      <c r="A616" s="28"/>
      <c r="B616" s="28"/>
      <c r="C616" s="32"/>
      <c r="D616" s="32"/>
      <c r="E616" s="32"/>
      <c r="F616" s="28"/>
      <c r="G616" s="28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8.75" customHeight="1">
      <c r="A617" s="28"/>
      <c r="B617" s="28"/>
      <c r="C617" s="32"/>
      <c r="D617" s="32"/>
      <c r="E617" s="32"/>
      <c r="F617" s="28"/>
      <c r="G617" s="28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8.75" customHeight="1">
      <c r="A618" s="28"/>
      <c r="B618" s="28"/>
      <c r="C618" s="32"/>
      <c r="D618" s="32"/>
      <c r="E618" s="32"/>
      <c r="F618" s="28"/>
      <c r="G618" s="28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8.75" customHeight="1">
      <c r="A619" s="28"/>
      <c r="B619" s="28"/>
      <c r="C619" s="32"/>
      <c r="D619" s="32"/>
      <c r="E619" s="32"/>
      <c r="F619" s="28"/>
      <c r="G619" s="28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8.75" customHeight="1">
      <c r="A620" s="28"/>
      <c r="B620" s="28"/>
      <c r="C620" s="32"/>
      <c r="D620" s="32"/>
      <c r="E620" s="32"/>
      <c r="F620" s="28"/>
      <c r="G620" s="28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8.75" customHeight="1">
      <c r="A621" s="28"/>
      <c r="B621" s="28"/>
      <c r="C621" s="32"/>
      <c r="D621" s="32"/>
      <c r="E621" s="32"/>
      <c r="F621" s="28"/>
      <c r="G621" s="28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8.75" customHeight="1">
      <c r="A622" s="28"/>
      <c r="B622" s="28"/>
      <c r="C622" s="32"/>
      <c r="D622" s="32"/>
      <c r="E622" s="32"/>
      <c r="F622" s="28"/>
      <c r="G622" s="28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8.75" customHeight="1">
      <c r="A623" s="28"/>
      <c r="B623" s="28"/>
      <c r="C623" s="32"/>
      <c r="D623" s="32"/>
      <c r="E623" s="32"/>
      <c r="F623" s="28"/>
      <c r="G623" s="28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8.75" customHeight="1">
      <c r="A624" s="28"/>
      <c r="B624" s="28"/>
      <c r="C624" s="32"/>
      <c r="D624" s="32"/>
      <c r="E624" s="32"/>
      <c r="F624" s="28"/>
      <c r="G624" s="28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8.75" customHeight="1">
      <c r="A625" s="28"/>
      <c r="B625" s="28"/>
      <c r="C625" s="32"/>
      <c r="D625" s="32"/>
      <c r="E625" s="32"/>
      <c r="F625" s="28"/>
      <c r="G625" s="28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8.75" customHeight="1">
      <c r="A626" s="28"/>
      <c r="B626" s="28"/>
      <c r="C626" s="32"/>
      <c r="D626" s="32"/>
      <c r="E626" s="32"/>
      <c r="F626" s="28"/>
      <c r="G626" s="28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8.75" customHeight="1">
      <c r="A627" s="28"/>
      <c r="B627" s="28"/>
      <c r="C627" s="32"/>
      <c r="D627" s="32"/>
      <c r="E627" s="32"/>
      <c r="F627" s="28"/>
      <c r="G627" s="28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8.75" customHeight="1">
      <c r="A628" s="28"/>
      <c r="B628" s="28"/>
      <c r="C628" s="32"/>
      <c r="D628" s="32"/>
      <c r="E628" s="32"/>
      <c r="F628" s="28"/>
      <c r="G628" s="28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8.75" customHeight="1">
      <c r="A629" s="28"/>
      <c r="B629" s="28"/>
      <c r="C629" s="32"/>
      <c r="D629" s="32"/>
      <c r="E629" s="32"/>
      <c r="F629" s="28"/>
      <c r="G629" s="28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8.75" customHeight="1">
      <c r="A630" s="28"/>
      <c r="B630" s="28"/>
      <c r="C630" s="32"/>
      <c r="D630" s="32"/>
      <c r="E630" s="32"/>
      <c r="F630" s="28"/>
      <c r="G630" s="28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8.75" customHeight="1">
      <c r="A631" s="28"/>
      <c r="B631" s="28"/>
      <c r="C631" s="32"/>
      <c r="D631" s="32"/>
      <c r="E631" s="32"/>
      <c r="F631" s="28"/>
      <c r="G631" s="28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8.75" customHeight="1">
      <c r="A632" s="28"/>
      <c r="B632" s="28"/>
      <c r="C632" s="32"/>
      <c r="D632" s="32"/>
      <c r="E632" s="32"/>
      <c r="F632" s="28"/>
      <c r="G632" s="28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8.75" customHeight="1">
      <c r="A633" s="28"/>
      <c r="B633" s="28"/>
      <c r="C633" s="32"/>
      <c r="D633" s="32"/>
      <c r="E633" s="32"/>
      <c r="F633" s="28"/>
      <c r="G633" s="28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8.75" customHeight="1">
      <c r="A634" s="28"/>
      <c r="B634" s="28"/>
      <c r="C634" s="32"/>
      <c r="D634" s="32"/>
      <c r="E634" s="32"/>
      <c r="F634" s="28"/>
      <c r="G634" s="28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8.75" customHeight="1">
      <c r="A635" s="28"/>
      <c r="B635" s="28"/>
      <c r="C635" s="32"/>
      <c r="D635" s="32"/>
      <c r="E635" s="32"/>
      <c r="F635" s="28"/>
      <c r="G635" s="28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8.75" customHeight="1">
      <c r="A636" s="28"/>
      <c r="B636" s="28"/>
      <c r="C636" s="32"/>
      <c r="D636" s="32"/>
      <c r="E636" s="32"/>
      <c r="F636" s="28"/>
      <c r="G636" s="28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8.75" customHeight="1">
      <c r="A637" s="28"/>
      <c r="B637" s="28"/>
      <c r="C637" s="32"/>
      <c r="D637" s="32"/>
      <c r="E637" s="32"/>
      <c r="F637" s="28"/>
      <c r="G637" s="28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8.75" customHeight="1">
      <c r="A638" s="28"/>
      <c r="B638" s="28"/>
      <c r="C638" s="32"/>
      <c r="D638" s="32"/>
      <c r="E638" s="32"/>
      <c r="F638" s="28"/>
      <c r="G638" s="28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8.75" customHeight="1">
      <c r="A639" s="28"/>
      <c r="B639" s="28"/>
      <c r="C639" s="32"/>
      <c r="D639" s="32"/>
      <c r="E639" s="32"/>
      <c r="F639" s="28"/>
      <c r="G639" s="28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8.75" customHeight="1">
      <c r="A640" s="28"/>
      <c r="B640" s="28"/>
      <c r="C640" s="32"/>
      <c r="D640" s="32"/>
      <c r="E640" s="32"/>
      <c r="F640" s="28"/>
      <c r="G640" s="28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8.75" customHeight="1">
      <c r="A641" s="28"/>
      <c r="B641" s="28"/>
      <c r="C641" s="32"/>
      <c r="D641" s="32"/>
      <c r="E641" s="32"/>
      <c r="F641" s="28"/>
      <c r="G641" s="28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8.75" customHeight="1">
      <c r="A642" s="28"/>
      <c r="B642" s="28"/>
      <c r="C642" s="32"/>
      <c r="D642" s="32"/>
      <c r="E642" s="32"/>
      <c r="F642" s="28"/>
      <c r="G642" s="28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8.75" customHeight="1">
      <c r="A643" s="28"/>
      <c r="B643" s="28"/>
      <c r="C643" s="32"/>
      <c r="D643" s="32"/>
      <c r="E643" s="32"/>
      <c r="F643" s="28"/>
      <c r="G643" s="28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8.75" customHeight="1">
      <c r="A644" s="28"/>
      <c r="B644" s="28"/>
      <c r="C644" s="32"/>
      <c r="D644" s="32"/>
      <c r="E644" s="32"/>
      <c r="F644" s="28"/>
      <c r="G644" s="28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8.75" customHeight="1">
      <c r="A645" s="28"/>
      <c r="B645" s="28"/>
      <c r="C645" s="32"/>
      <c r="D645" s="32"/>
      <c r="E645" s="32"/>
      <c r="F645" s="28"/>
      <c r="G645" s="28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8.75" customHeight="1">
      <c r="A646" s="28"/>
      <c r="B646" s="28"/>
      <c r="C646" s="32"/>
      <c r="D646" s="32"/>
      <c r="E646" s="32"/>
      <c r="F646" s="28"/>
      <c r="G646" s="28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8.75" customHeight="1">
      <c r="A647" s="28"/>
      <c r="B647" s="28"/>
      <c r="C647" s="32"/>
      <c r="D647" s="32"/>
      <c r="E647" s="32"/>
      <c r="F647" s="28"/>
      <c r="G647" s="28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8.75" customHeight="1">
      <c r="A648" s="28"/>
      <c r="B648" s="28"/>
      <c r="C648" s="32"/>
      <c r="D648" s="32"/>
      <c r="E648" s="32"/>
      <c r="F648" s="28"/>
      <c r="G648" s="28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8.75" customHeight="1">
      <c r="A649" s="28"/>
      <c r="B649" s="28"/>
      <c r="C649" s="32"/>
      <c r="D649" s="32"/>
      <c r="E649" s="32"/>
      <c r="F649" s="28"/>
      <c r="G649" s="28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8.75" customHeight="1">
      <c r="A650" s="28"/>
      <c r="B650" s="28"/>
      <c r="C650" s="32"/>
      <c r="D650" s="32"/>
      <c r="E650" s="32"/>
      <c r="F650" s="28"/>
      <c r="G650" s="28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8.75" customHeight="1">
      <c r="A651" s="28"/>
      <c r="B651" s="28"/>
      <c r="C651" s="32"/>
      <c r="D651" s="32"/>
      <c r="E651" s="32"/>
      <c r="F651" s="28"/>
      <c r="G651" s="28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8.75" customHeight="1">
      <c r="A652" s="28"/>
      <c r="B652" s="28"/>
      <c r="C652" s="32"/>
      <c r="D652" s="32"/>
      <c r="E652" s="32"/>
      <c r="F652" s="28"/>
      <c r="G652" s="28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8.75" customHeight="1">
      <c r="A653" s="28"/>
      <c r="B653" s="28"/>
      <c r="C653" s="32"/>
      <c r="D653" s="32"/>
      <c r="E653" s="32"/>
      <c r="F653" s="28"/>
      <c r="G653" s="28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8.75" customHeight="1">
      <c r="A654" s="28"/>
      <c r="B654" s="28"/>
      <c r="C654" s="32"/>
      <c r="D654" s="32"/>
      <c r="E654" s="32"/>
      <c r="F654" s="28"/>
      <c r="G654" s="28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8.75" customHeight="1">
      <c r="A655" s="28"/>
      <c r="B655" s="28"/>
      <c r="C655" s="32"/>
      <c r="D655" s="32"/>
      <c r="E655" s="32"/>
      <c r="F655" s="28"/>
      <c r="G655" s="28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8.75" customHeight="1">
      <c r="A656" s="28"/>
      <c r="B656" s="28"/>
      <c r="C656" s="32"/>
      <c r="D656" s="32"/>
      <c r="E656" s="32"/>
      <c r="F656" s="28"/>
      <c r="G656" s="28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8.75" customHeight="1">
      <c r="A657" s="28"/>
      <c r="B657" s="28"/>
      <c r="C657" s="32"/>
      <c r="D657" s="32"/>
      <c r="E657" s="32"/>
      <c r="F657" s="28"/>
      <c r="G657" s="28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8.75" customHeight="1">
      <c r="A658" s="28"/>
      <c r="B658" s="28"/>
      <c r="C658" s="32"/>
      <c r="D658" s="32"/>
      <c r="E658" s="32"/>
      <c r="F658" s="28"/>
      <c r="G658" s="28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8.75" customHeight="1">
      <c r="A659" s="28"/>
      <c r="B659" s="28"/>
      <c r="C659" s="32"/>
      <c r="D659" s="32"/>
      <c r="E659" s="32"/>
      <c r="F659" s="28"/>
      <c r="G659" s="28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8.75" customHeight="1">
      <c r="A660" s="28"/>
      <c r="B660" s="28"/>
      <c r="C660" s="32"/>
      <c r="D660" s="32"/>
      <c r="E660" s="32"/>
      <c r="F660" s="28"/>
      <c r="G660" s="28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8.75" customHeight="1">
      <c r="A661" s="28"/>
      <c r="B661" s="28"/>
      <c r="C661" s="32"/>
      <c r="D661" s="32"/>
      <c r="E661" s="32"/>
      <c r="F661" s="28"/>
      <c r="G661" s="28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8.75" customHeight="1">
      <c r="A662" s="28"/>
      <c r="B662" s="28"/>
      <c r="C662" s="32"/>
      <c r="D662" s="32"/>
      <c r="E662" s="32"/>
      <c r="F662" s="28"/>
      <c r="G662" s="28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8.75" customHeight="1">
      <c r="A663" s="28"/>
      <c r="B663" s="28"/>
      <c r="C663" s="32"/>
      <c r="D663" s="32"/>
      <c r="E663" s="32"/>
      <c r="F663" s="28"/>
      <c r="G663" s="28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8.75" customHeight="1">
      <c r="A664" s="28"/>
      <c r="B664" s="28"/>
      <c r="C664" s="32"/>
      <c r="D664" s="32"/>
      <c r="E664" s="32"/>
      <c r="F664" s="28"/>
      <c r="G664" s="28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8.75" customHeight="1">
      <c r="A665" s="28"/>
      <c r="B665" s="28"/>
      <c r="C665" s="32"/>
      <c r="D665" s="32"/>
      <c r="E665" s="32"/>
      <c r="F665" s="28"/>
      <c r="G665" s="28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8.75" customHeight="1">
      <c r="A666" s="28"/>
      <c r="B666" s="28"/>
      <c r="C666" s="32"/>
      <c r="D666" s="32"/>
      <c r="E666" s="32"/>
      <c r="F666" s="28"/>
      <c r="G666" s="28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8.75" customHeight="1">
      <c r="A667" s="28"/>
      <c r="B667" s="28"/>
      <c r="C667" s="32"/>
      <c r="D667" s="32"/>
      <c r="E667" s="32"/>
      <c r="F667" s="28"/>
      <c r="G667" s="28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8.75" customHeight="1">
      <c r="A668" s="28"/>
      <c r="B668" s="28"/>
      <c r="C668" s="32"/>
      <c r="D668" s="32"/>
      <c r="E668" s="32"/>
      <c r="F668" s="28"/>
      <c r="G668" s="28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8.75" customHeight="1">
      <c r="A669" s="28"/>
      <c r="B669" s="28"/>
      <c r="C669" s="32"/>
      <c r="D669" s="32"/>
      <c r="E669" s="32"/>
      <c r="F669" s="28"/>
      <c r="G669" s="28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8.75" customHeight="1">
      <c r="A670" s="28"/>
      <c r="B670" s="28"/>
      <c r="C670" s="32"/>
      <c r="D670" s="32"/>
      <c r="E670" s="32"/>
      <c r="F670" s="28"/>
      <c r="G670" s="28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8.75" customHeight="1">
      <c r="A671" s="28"/>
      <c r="B671" s="28"/>
      <c r="C671" s="32"/>
      <c r="D671" s="32"/>
      <c r="E671" s="32"/>
      <c r="F671" s="28"/>
      <c r="G671" s="28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8.75" customHeight="1">
      <c r="A672" s="28"/>
      <c r="B672" s="28"/>
      <c r="C672" s="32"/>
      <c r="D672" s="32"/>
      <c r="E672" s="32"/>
      <c r="F672" s="28"/>
      <c r="G672" s="28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8.75" customHeight="1">
      <c r="A673" s="28"/>
      <c r="B673" s="28"/>
      <c r="C673" s="32"/>
      <c r="D673" s="32"/>
      <c r="E673" s="32"/>
      <c r="F673" s="28"/>
      <c r="G673" s="28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8.75" customHeight="1">
      <c r="A674" s="28"/>
      <c r="B674" s="28"/>
      <c r="C674" s="32"/>
      <c r="D674" s="32"/>
      <c r="E674" s="32"/>
      <c r="F674" s="28"/>
      <c r="G674" s="28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8.75" customHeight="1">
      <c r="A675" s="28"/>
      <c r="B675" s="28"/>
      <c r="C675" s="32"/>
      <c r="D675" s="32"/>
      <c r="E675" s="32"/>
      <c r="F675" s="28"/>
      <c r="G675" s="28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8.75" customHeight="1">
      <c r="A676" s="28"/>
      <c r="B676" s="28"/>
      <c r="C676" s="32"/>
      <c r="D676" s="32"/>
      <c r="E676" s="32"/>
      <c r="F676" s="28"/>
      <c r="G676" s="28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8.75" customHeight="1">
      <c r="A677" s="28"/>
      <c r="B677" s="28"/>
      <c r="C677" s="32"/>
      <c r="D677" s="32"/>
      <c r="E677" s="32"/>
      <c r="F677" s="28"/>
      <c r="G677" s="28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8.75" customHeight="1">
      <c r="A678" s="28"/>
      <c r="B678" s="28"/>
      <c r="C678" s="32"/>
      <c r="D678" s="32"/>
      <c r="E678" s="32"/>
      <c r="F678" s="28"/>
      <c r="G678" s="28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8.75" customHeight="1">
      <c r="A679" s="28"/>
      <c r="B679" s="28"/>
      <c r="C679" s="32"/>
      <c r="D679" s="32"/>
      <c r="E679" s="32"/>
      <c r="F679" s="28"/>
      <c r="G679" s="28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8.75" customHeight="1">
      <c r="A680" s="28"/>
      <c r="B680" s="28"/>
      <c r="C680" s="32"/>
      <c r="D680" s="32"/>
      <c r="E680" s="32"/>
      <c r="F680" s="28"/>
      <c r="G680" s="28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8.75" customHeight="1">
      <c r="A681" s="28"/>
      <c r="B681" s="28"/>
      <c r="C681" s="32"/>
      <c r="D681" s="32"/>
      <c r="E681" s="32"/>
      <c r="F681" s="28"/>
      <c r="G681" s="28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8.75" customHeight="1">
      <c r="A682" s="28"/>
      <c r="B682" s="28"/>
      <c r="C682" s="32"/>
      <c r="D682" s="32"/>
      <c r="E682" s="32"/>
      <c r="F682" s="28"/>
      <c r="G682" s="28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8.75" customHeight="1">
      <c r="A683" s="28"/>
      <c r="B683" s="28"/>
      <c r="C683" s="32"/>
      <c r="D683" s="32"/>
      <c r="E683" s="32"/>
      <c r="F683" s="28"/>
      <c r="G683" s="28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8.75" customHeight="1">
      <c r="A684" s="28"/>
      <c r="B684" s="28"/>
      <c r="C684" s="32"/>
      <c r="D684" s="32"/>
      <c r="E684" s="32"/>
      <c r="F684" s="28"/>
      <c r="G684" s="28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8.75" customHeight="1">
      <c r="A685" s="28"/>
      <c r="B685" s="28"/>
      <c r="C685" s="32"/>
      <c r="D685" s="32"/>
      <c r="E685" s="32"/>
      <c r="F685" s="28"/>
      <c r="G685" s="28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8.75" customHeight="1">
      <c r="A686" s="28"/>
      <c r="B686" s="28"/>
      <c r="C686" s="32"/>
      <c r="D686" s="32"/>
      <c r="E686" s="32"/>
      <c r="F686" s="28"/>
      <c r="G686" s="28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8.75" customHeight="1">
      <c r="A687" s="28"/>
      <c r="B687" s="28"/>
      <c r="C687" s="32"/>
      <c r="D687" s="32"/>
      <c r="E687" s="32"/>
      <c r="F687" s="28"/>
      <c r="G687" s="28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8.75" customHeight="1">
      <c r="A688" s="28"/>
      <c r="B688" s="28"/>
      <c r="C688" s="32"/>
      <c r="D688" s="32"/>
      <c r="E688" s="32"/>
      <c r="F688" s="28"/>
      <c r="G688" s="28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8.75" customHeight="1">
      <c r="A689" s="28"/>
      <c r="B689" s="28"/>
      <c r="C689" s="32"/>
      <c r="D689" s="32"/>
      <c r="E689" s="32"/>
      <c r="F689" s="28"/>
      <c r="G689" s="28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8.75" customHeight="1">
      <c r="A690" s="28"/>
      <c r="B690" s="28"/>
      <c r="C690" s="32"/>
      <c r="D690" s="32"/>
      <c r="E690" s="32"/>
      <c r="F690" s="28"/>
      <c r="G690" s="28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8.75" customHeight="1">
      <c r="A691" s="28"/>
      <c r="B691" s="28"/>
      <c r="C691" s="32"/>
      <c r="D691" s="32"/>
      <c r="E691" s="32"/>
      <c r="F691" s="28"/>
      <c r="G691" s="28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8.75" customHeight="1">
      <c r="A692" s="28"/>
      <c r="B692" s="28"/>
      <c r="C692" s="32"/>
      <c r="D692" s="32"/>
      <c r="E692" s="32"/>
      <c r="F692" s="28"/>
      <c r="G692" s="28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8.75" customHeight="1">
      <c r="A693" s="28"/>
      <c r="B693" s="28"/>
      <c r="C693" s="32"/>
      <c r="D693" s="32"/>
      <c r="E693" s="32"/>
      <c r="F693" s="28"/>
      <c r="G693" s="28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8.75" customHeight="1">
      <c r="A694" s="28"/>
      <c r="B694" s="28"/>
      <c r="C694" s="32"/>
      <c r="D694" s="32"/>
      <c r="E694" s="32"/>
      <c r="F694" s="28"/>
      <c r="G694" s="28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8.75" customHeight="1">
      <c r="A695" s="28"/>
      <c r="B695" s="28"/>
      <c r="C695" s="32"/>
      <c r="D695" s="32"/>
      <c r="E695" s="32"/>
      <c r="F695" s="28"/>
      <c r="G695" s="28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8.75" customHeight="1">
      <c r="A696" s="28"/>
      <c r="B696" s="28"/>
      <c r="C696" s="32"/>
      <c r="D696" s="32"/>
      <c r="E696" s="32"/>
      <c r="F696" s="28"/>
      <c r="G696" s="28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8.75" customHeight="1">
      <c r="A697" s="28"/>
      <c r="B697" s="28"/>
      <c r="C697" s="32"/>
      <c r="D697" s="32"/>
      <c r="E697" s="32"/>
      <c r="F697" s="28"/>
      <c r="G697" s="28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8.75" customHeight="1">
      <c r="A698" s="28"/>
      <c r="B698" s="28"/>
      <c r="C698" s="32"/>
      <c r="D698" s="32"/>
      <c r="E698" s="32"/>
      <c r="F698" s="28"/>
      <c r="G698" s="28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8.75" customHeight="1">
      <c r="A699" s="28"/>
      <c r="B699" s="28"/>
      <c r="C699" s="32"/>
      <c r="D699" s="32"/>
      <c r="E699" s="32"/>
      <c r="F699" s="28"/>
      <c r="G699" s="28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8.75" customHeight="1">
      <c r="A700" s="28"/>
      <c r="B700" s="28"/>
      <c r="C700" s="32"/>
      <c r="D700" s="32"/>
      <c r="E700" s="32"/>
      <c r="F700" s="28"/>
      <c r="G700" s="28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8.75" customHeight="1">
      <c r="A701" s="28"/>
      <c r="B701" s="28"/>
      <c r="C701" s="32"/>
      <c r="D701" s="32"/>
      <c r="E701" s="32"/>
      <c r="F701" s="28"/>
      <c r="G701" s="28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8.75" customHeight="1">
      <c r="A702" s="28"/>
      <c r="B702" s="28"/>
      <c r="C702" s="32"/>
      <c r="D702" s="32"/>
      <c r="E702" s="32"/>
      <c r="F702" s="28"/>
      <c r="G702" s="28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8.75" customHeight="1">
      <c r="A703" s="28"/>
      <c r="B703" s="28"/>
      <c r="C703" s="32"/>
      <c r="D703" s="32"/>
      <c r="E703" s="32"/>
      <c r="F703" s="28"/>
      <c r="G703" s="28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8.75" customHeight="1">
      <c r="A704" s="28"/>
      <c r="B704" s="28"/>
      <c r="C704" s="32"/>
      <c r="D704" s="32"/>
      <c r="E704" s="32"/>
      <c r="F704" s="28"/>
      <c r="G704" s="28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8.75" customHeight="1">
      <c r="A705" s="28"/>
      <c r="B705" s="28"/>
      <c r="C705" s="32"/>
      <c r="D705" s="32"/>
      <c r="E705" s="32"/>
      <c r="F705" s="28"/>
      <c r="G705" s="28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8.75" customHeight="1">
      <c r="A706" s="28"/>
      <c r="B706" s="28"/>
      <c r="C706" s="32"/>
      <c r="D706" s="32"/>
      <c r="E706" s="32"/>
      <c r="F706" s="28"/>
      <c r="G706" s="28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8.75" customHeight="1">
      <c r="A707" s="28"/>
      <c r="B707" s="28"/>
      <c r="C707" s="32"/>
      <c r="D707" s="32"/>
      <c r="E707" s="32"/>
      <c r="F707" s="28"/>
      <c r="G707" s="28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8.75" customHeight="1">
      <c r="A708" s="28"/>
      <c r="B708" s="28"/>
      <c r="C708" s="32"/>
      <c r="D708" s="32"/>
      <c r="E708" s="32"/>
      <c r="F708" s="28"/>
      <c r="G708" s="28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8.75" customHeight="1">
      <c r="A709" s="28"/>
      <c r="B709" s="28"/>
      <c r="C709" s="32"/>
      <c r="D709" s="32"/>
      <c r="E709" s="32"/>
      <c r="F709" s="28"/>
      <c r="G709" s="28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8.75" customHeight="1">
      <c r="A710" s="28"/>
      <c r="B710" s="28"/>
      <c r="C710" s="32"/>
      <c r="D710" s="32"/>
      <c r="E710" s="32"/>
      <c r="F710" s="28"/>
      <c r="G710" s="28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8.75" customHeight="1">
      <c r="A711" s="28"/>
      <c r="B711" s="28"/>
      <c r="C711" s="32"/>
      <c r="D711" s="32"/>
      <c r="E711" s="32"/>
      <c r="F711" s="28"/>
      <c r="G711" s="28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8.75" customHeight="1">
      <c r="A712" s="28"/>
      <c r="B712" s="28"/>
      <c r="C712" s="32"/>
      <c r="D712" s="32"/>
      <c r="E712" s="32"/>
      <c r="F712" s="28"/>
      <c r="G712" s="28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8.75" customHeight="1">
      <c r="A713" s="28"/>
      <c r="B713" s="28"/>
      <c r="C713" s="32"/>
      <c r="D713" s="32"/>
      <c r="E713" s="32"/>
      <c r="F713" s="28"/>
      <c r="G713" s="28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8.75" customHeight="1">
      <c r="A714" s="28"/>
      <c r="B714" s="28"/>
      <c r="C714" s="32"/>
      <c r="D714" s="32"/>
      <c r="E714" s="32"/>
      <c r="F714" s="28"/>
      <c r="G714" s="28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8.75" customHeight="1">
      <c r="A715" s="28"/>
      <c r="B715" s="28"/>
      <c r="C715" s="32"/>
      <c r="D715" s="32"/>
      <c r="E715" s="32"/>
      <c r="F715" s="28"/>
      <c r="G715" s="28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8.75" customHeight="1">
      <c r="A716" s="28"/>
      <c r="B716" s="28"/>
      <c r="C716" s="32"/>
      <c r="D716" s="32"/>
      <c r="E716" s="32"/>
      <c r="F716" s="28"/>
      <c r="G716" s="28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8.75" customHeight="1">
      <c r="A717" s="28"/>
      <c r="B717" s="28"/>
      <c r="C717" s="32"/>
      <c r="D717" s="32"/>
      <c r="E717" s="32"/>
      <c r="F717" s="28"/>
      <c r="G717" s="28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8.75" customHeight="1">
      <c r="A718" s="28"/>
      <c r="B718" s="28"/>
      <c r="C718" s="32"/>
      <c r="D718" s="32"/>
      <c r="E718" s="32"/>
      <c r="F718" s="28"/>
      <c r="G718" s="28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8.75" customHeight="1">
      <c r="A719" s="28"/>
      <c r="B719" s="28"/>
      <c r="C719" s="32"/>
      <c r="D719" s="32"/>
      <c r="E719" s="32"/>
      <c r="F719" s="28"/>
      <c r="G719" s="28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8.75" customHeight="1">
      <c r="A720" s="28"/>
      <c r="B720" s="28"/>
      <c r="C720" s="32"/>
      <c r="D720" s="32"/>
      <c r="E720" s="32"/>
      <c r="F720" s="28"/>
      <c r="G720" s="28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8.75" customHeight="1">
      <c r="A721" s="28"/>
      <c r="B721" s="28"/>
      <c r="C721" s="32"/>
      <c r="D721" s="32"/>
      <c r="E721" s="32"/>
      <c r="F721" s="28"/>
      <c r="G721" s="28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8.75" customHeight="1">
      <c r="A722" s="28"/>
      <c r="B722" s="28"/>
      <c r="C722" s="32"/>
      <c r="D722" s="32"/>
      <c r="E722" s="32"/>
      <c r="F722" s="28"/>
      <c r="G722" s="28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8.75" customHeight="1">
      <c r="A723" s="28"/>
      <c r="B723" s="28"/>
      <c r="C723" s="32"/>
      <c r="D723" s="32"/>
      <c r="E723" s="32"/>
      <c r="F723" s="28"/>
      <c r="G723" s="28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8.75" customHeight="1">
      <c r="A724" s="28"/>
      <c r="B724" s="28"/>
      <c r="C724" s="32"/>
      <c r="D724" s="32"/>
      <c r="E724" s="32"/>
      <c r="F724" s="28"/>
      <c r="G724" s="28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8.75" customHeight="1">
      <c r="A725" s="28"/>
      <c r="B725" s="28"/>
      <c r="C725" s="32"/>
      <c r="D725" s="32"/>
      <c r="E725" s="32"/>
      <c r="F725" s="28"/>
      <c r="G725" s="28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8.75" customHeight="1">
      <c r="A726" s="28"/>
      <c r="B726" s="28"/>
      <c r="C726" s="32"/>
      <c r="D726" s="32"/>
      <c r="E726" s="32"/>
      <c r="F726" s="28"/>
      <c r="G726" s="28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8.75" customHeight="1">
      <c r="A727" s="28"/>
      <c r="B727" s="28"/>
      <c r="C727" s="32"/>
      <c r="D727" s="32"/>
      <c r="E727" s="32"/>
      <c r="F727" s="28"/>
      <c r="G727" s="28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8.75" customHeight="1">
      <c r="A728" s="28"/>
      <c r="B728" s="28"/>
      <c r="C728" s="32"/>
      <c r="D728" s="32"/>
      <c r="E728" s="32"/>
      <c r="F728" s="28"/>
      <c r="G728" s="28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8.75" customHeight="1">
      <c r="A729" s="28"/>
      <c r="B729" s="28"/>
      <c r="C729" s="32"/>
      <c r="D729" s="32"/>
      <c r="E729" s="32"/>
      <c r="F729" s="28"/>
      <c r="G729" s="28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8.75" customHeight="1">
      <c r="A730" s="28"/>
      <c r="B730" s="28"/>
      <c r="C730" s="32"/>
      <c r="D730" s="32"/>
      <c r="E730" s="32"/>
      <c r="F730" s="28"/>
      <c r="G730" s="28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8.75" customHeight="1">
      <c r="A731" s="28"/>
      <c r="B731" s="28"/>
      <c r="C731" s="32"/>
      <c r="D731" s="32"/>
      <c r="E731" s="32"/>
      <c r="F731" s="28"/>
      <c r="G731" s="28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8.75" customHeight="1">
      <c r="A732" s="28"/>
      <c r="B732" s="28"/>
      <c r="C732" s="32"/>
      <c r="D732" s="32"/>
      <c r="E732" s="32"/>
      <c r="F732" s="28"/>
      <c r="G732" s="28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8.75" customHeight="1">
      <c r="A733" s="28"/>
      <c r="B733" s="28"/>
      <c r="C733" s="32"/>
      <c r="D733" s="32"/>
      <c r="E733" s="32"/>
      <c r="F733" s="28"/>
      <c r="G733" s="28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8.75" customHeight="1">
      <c r="A734" s="28"/>
      <c r="B734" s="28"/>
      <c r="C734" s="32"/>
      <c r="D734" s="32"/>
      <c r="E734" s="32"/>
      <c r="F734" s="28"/>
      <c r="G734" s="28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8.75" customHeight="1">
      <c r="A735" s="28"/>
      <c r="B735" s="28"/>
      <c r="C735" s="32"/>
      <c r="D735" s="32"/>
      <c r="E735" s="32"/>
      <c r="F735" s="28"/>
      <c r="G735" s="28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8.75" customHeight="1">
      <c r="A736" s="28"/>
      <c r="B736" s="28"/>
      <c r="C736" s="32"/>
      <c r="D736" s="32"/>
      <c r="E736" s="32"/>
      <c r="F736" s="28"/>
      <c r="G736" s="28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8.75" customHeight="1">
      <c r="A737" s="28"/>
      <c r="B737" s="28"/>
      <c r="C737" s="32"/>
      <c r="D737" s="32"/>
      <c r="E737" s="32"/>
      <c r="F737" s="28"/>
      <c r="G737" s="28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8.75" customHeight="1">
      <c r="A738" s="28"/>
      <c r="B738" s="28"/>
      <c r="C738" s="32"/>
      <c r="D738" s="32"/>
      <c r="E738" s="32"/>
      <c r="F738" s="28"/>
      <c r="G738" s="28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8.75" customHeight="1">
      <c r="A739" s="28"/>
      <c r="B739" s="28"/>
      <c r="C739" s="32"/>
      <c r="D739" s="32"/>
      <c r="E739" s="32"/>
      <c r="F739" s="28"/>
      <c r="G739" s="28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8.75" customHeight="1">
      <c r="A740" s="28"/>
      <c r="B740" s="28"/>
      <c r="C740" s="32"/>
      <c r="D740" s="32"/>
      <c r="E740" s="32"/>
      <c r="F740" s="28"/>
      <c r="G740" s="28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8.75" customHeight="1">
      <c r="A741" s="28"/>
      <c r="B741" s="28"/>
      <c r="C741" s="32"/>
      <c r="D741" s="32"/>
      <c r="E741" s="32"/>
      <c r="F741" s="28"/>
      <c r="G741" s="28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8.75" customHeight="1">
      <c r="A742" s="28"/>
      <c r="B742" s="28"/>
      <c r="C742" s="32"/>
      <c r="D742" s="32"/>
      <c r="E742" s="32"/>
      <c r="F742" s="28"/>
      <c r="G742" s="28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8.75" customHeight="1">
      <c r="A743" s="28"/>
      <c r="B743" s="28"/>
      <c r="C743" s="32"/>
      <c r="D743" s="32"/>
      <c r="E743" s="32"/>
      <c r="F743" s="28"/>
      <c r="G743" s="28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8.75" customHeight="1">
      <c r="A744" s="28"/>
      <c r="B744" s="28"/>
      <c r="C744" s="32"/>
      <c r="D744" s="32"/>
      <c r="E744" s="32"/>
      <c r="F744" s="28"/>
      <c r="G744" s="28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8.75" customHeight="1">
      <c r="A745" s="28"/>
      <c r="B745" s="28"/>
      <c r="C745" s="32"/>
      <c r="D745" s="32"/>
      <c r="E745" s="32"/>
      <c r="F745" s="28"/>
      <c r="G745" s="28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8.75" customHeight="1">
      <c r="A746" s="28"/>
      <c r="B746" s="28"/>
      <c r="C746" s="32"/>
      <c r="D746" s="32"/>
      <c r="E746" s="32"/>
      <c r="F746" s="28"/>
      <c r="G746" s="28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8.75" customHeight="1">
      <c r="A747" s="28"/>
      <c r="B747" s="28"/>
      <c r="C747" s="32"/>
      <c r="D747" s="32"/>
      <c r="E747" s="32"/>
      <c r="F747" s="28"/>
      <c r="G747" s="28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8.75" customHeight="1">
      <c r="A748" s="28"/>
      <c r="B748" s="28"/>
      <c r="C748" s="32"/>
      <c r="D748" s="32"/>
      <c r="E748" s="32"/>
      <c r="F748" s="28"/>
      <c r="G748" s="28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8.75" customHeight="1">
      <c r="A749" s="28"/>
      <c r="B749" s="28"/>
      <c r="C749" s="32"/>
      <c r="D749" s="32"/>
      <c r="E749" s="32"/>
      <c r="F749" s="28"/>
      <c r="G749" s="28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8.75" customHeight="1">
      <c r="A750" s="28"/>
      <c r="B750" s="28"/>
      <c r="C750" s="32"/>
      <c r="D750" s="32"/>
      <c r="E750" s="32"/>
      <c r="F750" s="28"/>
      <c r="G750" s="28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8.75" customHeight="1">
      <c r="A751" s="28"/>
      <c r="B751" s="28"/>
      <c r="C751" s="32"/>
      <c r="D751" s="32"/>
      <c r="E751" s="32"/>
      <c r="F751" s="28"/>
      <c r="G751" s="28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8.75" customHeight="1">
      <c r="A752" s="28"/>
      <c r="B752" s="28"/>
      <c r="C752" s="32"/>
      <c r="D752" s="32"/>
      <c r="E752" s="32"/>
      <c r="F752" s="28"/>
      <c r="G752" s="28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8.75" customHeight="1">
      <c r="A753" s="28"/>
      <c r="B753" s="28"/>
      <c r="C753" s="32"/>
      <c r="D753" s="32"/>
      <c r="E753" s="32"/>
      <c r="F753" s="28"/>
      <c r="G753" s="28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8.75" customHeight="1">
      <c r="A754" s="28"/>
      <c r="B754" s="28"/>
      <c r="C754" s="32"/>
      <c r="D754" s="32"/>
      <c r="E754" s="32"/>
      <c r="F754" s="28"/>
      <c r="G754" s="28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8.75" customHeight="1">
      <c r="A755" s="28"/>
      <c r="B755" s="28"/>
      <c r="C755" s="32"/>
      <c r="D755" s="32"/>
      <c r="E755" s="32"/>
      <c r="F755" s="28"/>
      <c r="G755" s="28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8.75" customHeight="1">
      <c r="A756" s="28"/>
      <c r="B756" s="28"/>
      <c r="C756" s="32"/>
      <c r="D756" s="32"/>
      <c r="E756" s="32"/>
      <c r="F756" s="28"/>
      <c r="G756" s="28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8.75" customHeight="1">
      <c r="A757" s="28"/>
      <c r="B757" s="28"/>
      <c r="C757" s="32"/>
      <c r="D757" s="32"/>
      <c r="E757" s="32"/>
      <c r="F757" s="28"/>
      <c r="G757" s="28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8.75" customHeight="1">
      <c r="A758" s="28"/>
      <c r="B758" s="28"/>
      <c r="C758" s="32"/>
      <c r="D758" s="32"/>
      <c r="E758" s="32"/>
      <c r="F758" s="28"/>
      <c r="G758" s="28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8.75" customHeight="1">
      <c r="A759" s="28"/>
      <c r="B759" s="28"/>
      <c r="C759" s="32"/>
      <c r="D759" s="32"/>
      <c r="E759" s="32"/>
      <c r="F759" s="28"/>
      <c r="G759" s="28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8.75" customHeight="1">
      <c r="A760" s="28"/>
      <c r="B760" s="28"/>
      <c r="C760" s="32"/>
      <c r="D760" s="32"/>
      <c r="E760" s="32"/>
      <c r="F760" s="28"/>
      <c r="G760" s="28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8.75" customHeight="1">
      <c r="A761" s="28"/>
      <c r="B761" s="28"/>
      <c r="C761" s="32"/>
      <c r="D761" s="32"/>
      <c r="E761" s="32"/>
      <c r="F761" s="28"/>
      <c r="G761" s="28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8.75" customHeight="1">
      <c r="A762" s="28"/>
      <c r="B762" s="28"/>
      <c r="C762" s="32"/>
      <c r="D762" s="32"/>
      <c r="E762" s="32"/>
      <c r="F762" s="28"/>
      <c r="G762" s="28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8.75" customHeight="1">
      <c r="A763" s="28"/>
      <c r="B763" s="28"/>
      <c r="C763" s="32"/>
      <c r="D763" s="32"/>
      <c r="E763" s="32"/>
      <c r="F763" s="28"/>
      <c r="G763" s="28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8.75" customHeight="1">
      <c r="A764" s="28"/>
      <c r="B764" s="28"/>
      <c r="C764" s="32"/>
      <c r="D764" s="32"/>
      <c r="E764" s="32"/>
      <c r="F764" s="28"/>
      <c r="G764" s="28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8.75" customHeight="1">
      <c r="A765" s="28"/>
      <c r="B765" s="28"/>
      <c r="C765" s="32"/>
      <c r="D765" s="32"/>
      <c r="E765" s="32"/>
      <c r="F765" s="28"/>
      <c r="G765" s="28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8.75" customHeight="1">
      <c r="A766" s="28"/>
      <c r="B766" s="28"/>
      <c r="C766" s="32"/>
      <c r="D766" s="32"/>
      <c r="E766" s="32"/>
      <c r="F766" s="28"/>
      <c r="G766" s="28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8.75" customHeight="1">
      <c r="A767" s="28"/>
      <c r="B767" s="28"/>
      <c r="C767" s="32"/>
      <c r="D767" s="32"/>
      <c r="E767" s="32"/>
      <c r="F767" s="28"/>
      <c r="G767" s="28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8.75" customHeight="1">
      <c r="A768" s="28"/>
      <c r="B768" s="28"/>
      <c r="C768" s="32"/>
      <c r="D768" s="32"/>
      <c r="E768" s="32"/>
      <c r="F768" s="28"/>
      <c r="G768" s="28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8.75" customHeight="1">
      <c r="A769" s="28"/>
      <c r="B769" s="28"/>
      <c r="C769" s="32"/>
      <c r="D769" s="32"/>
      <c r="E769" s="32"/>
      <c r="F769" s="28"/>
      <c r="G769" s="28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8.75" customHeight="1">
      <c r="A770" s="28"/>
      <c r="B770" s="28"/>
      <c r="C770" s="32"/>
      <c r="D770" s="32"/>
      <c r="E770" s="32"/>
      <c r="F770" s="28"/>
      <c r="G770" s="28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8.75" customHeight="1">
      <c r="A771" s="28"/>
      <c r="B771" s="28"/>
      <c r="C771" s="32"/>
      <c r="D771" s="32"/>
      <c r="E771" s="32"/>
      <c r="F771" s="28"/>
      <c r="G771" s="28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8.75" customHeight="1">
      <c r="A772" s="28"/>
      <c r="B772" s="28"/>
      <c r="C772" s="32"/>
      <c r="D772" s="32"/>
      <c r="E772" s="32"/>
      <c r="F772" s="28"/>
      <c r="G772" s="28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8.75" customHeight="1">
      <c r="A773" s="28"/>
      <c r="B773" s="28"/>
      <c r="C773" s="32"/>
      <c r="D773" s="32"/>
      <c r="E773" s="32"/>
      <c r="F773" s="28"/>
      <c r="G773" s="28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8.75" customHeight="1">
      <c r="A774" s="28"/>
      <c r="B774" s="28"/>
      <c r="C774" s="32"/>
      <c r="D774" s="32"/>
      <c r="E774" s="32"/>
      <c r="F774" s="28"/>
      <c r="G774" s="28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8.75" customHeight="1">
      <c r="A775" s="28"/>
      <c r="B775" s="28"/>
      <c r="C775" s="32"/>
      <c r="D775" s="32"/>
      <c r="E775" s="32"/>
      <c r="F775" s="28"/>
      <c r="G775" s="28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8.75" customHeight="1">
      <c r="A776" s="28"/>
      <c r="B776" s="28"/>
      <c r="C776" s="32"/>
      <c r="D776" s="32"/>
      <c r="E776" s="32"/>
      <c r="F776" s="28"/>
      <c r="G776" s="28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8.75" customHeight="1">
      <c r="A777" s="28"/>
      <c r="B777" s="28"/>
      <c r="C777" s="32"/>
      <c r="D777" s="32"/>
      <c r="E777" s="32"/>
      <c r="F777" s="28"/>
      <c r="G777" s="28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8.75" customHeight="1">
      <c r="A778" s="28"/>
      <c r="B778" s="28"/>
      <c r="C778" s="32"/>
      <c r="D778" s="32"/>
      <c r="E778" s="32"/>
      <c r="F778" s="28"/>
      <c r="G778" s="28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8.75" customHeight="1">
      <c r="A779" s="28"/>
      <c r="B779" s="28"/>
      <c r="C779" s="32"/>
      <c r="D779" s="32"/>
      <c r="E779" s="32"/>
      <c r="F779" s="28"/>
      <c r="G779" s="28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8.75" customHeight="1">
      <c r="A780" s="28"/>
      <c r="B780" s="28"/>
      <c r="C780" s="32"/>
      <c r="D780" s="32"/>
      <c r="E780" s="32"/>
      <c r="F780" s="28"/>
      <c r="G780" s="28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8.75" customHeight="1">
      <c r="A781" s="28"/>
      <c r="B781" s="28"/>
      <c r="C781" s="32"/>
      <c r="D781" s="32"/>
      <c r="E781" s="32"/>
      <c r="F781" s="28"/>
      <c r="G781" s="28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8.75" customHeight="1">
      <c r="A782" s="28"/>
      <c r="B782" s="28"/>
      <c r="C782" s="32"/>
      <c r="D782" s="32"/>
      <c r="E782" s="32"/>
      <c r="F782" s="28"/>
      <c r="G782" s="28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8.75" customHeight="1">
      <c r="A783" s="28"/>
      <c r="B783" s="28"/>
      <c r="C783" s="32"/>
      <c r="D783" s="32"/>
      <c r="E783" s="32"/>
      <c r="F783" s="28"/>
      <c r="G783" s="28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8.75" customHeight="1">
      <c r="A784" s="28"/>
      <c r="B784" s="28"/>
      <c r="C784" s="32"/>
      <c r="D784" s="32"/>
      <c r="E784" s="32"/>
      <c r="F784" s="28"/>
      <c r="G784" s="28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8.75" customHeight="1">
      <c r="A785" s="28"/>
      <c r="B785" s="28"/>
      <c r="C785" s="32"/>
      <c r="D785" s="32"/>
      <c r="E785" s="32"/>
      <c r="F785" s="28"/>
      <c r="G785" s="28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8.75" customHeight="1">
      <c r="A786" s="28"/>
      <c r="B786" s="28"/>
      <c r="C786" s="32"/>
      <c r="D786" s="32"/>
      <c r="E786" s="32"/>
      <c r="F786" s="28"/>
      <c r="G786" s="28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8.75" customHeight="1">
      <c r="A787" s="28"/>
      <c r="B787" s="28"/>
      <c r="C787" s="32"/>
      <c r="D787" s="32"/>
      <c r="E787" s="32"/>
      <c r="F787" s="28"/>
      <c r="G787" s="28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8.75" customHeight="1">
      <c r="A788" s="28"/>
      <c r="B788" s="28"/>
      <c r="C788" s="32"/>
      <c r="D788" s="32"/>
      <c r="E788" s="32"/>
      <c r="F788" s="28"/>
      <c r="G788" s="28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8.75" customHeight="1">
      <c r="A789" s="28"/>
      <c r="B789" s="28"/>
      <c r="C789" s="32"/>
      <c r="D789" s="32"/>
      <c r="E789" s="32"/>
      <c r="F789" s="28"/>
      <c r="G789" s="28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8.75" customHeight="1">
      <c r="A790" s="28"/>
      <c r="B790" s="28"/>
      <c r="C790" s="32"/>
      <c r="D790" s="32"/>
      <c r="E790" s="32"/>
      <c r="F790" s="28"/>
      <c r="G790" s="28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8.75" customHeight="1">
      <c r="A791" s="28"/>
      <c r="B791" s="28"/>
      <c r="C791" s="32"/>
      <c r="D791" s="32"/>
      <c r="E791" s="32"/>
      <c r="F791" s="28"/>
      <c r="G791" s="28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8.75" customHeight="1">
      <c r="A792" s="28"/>
      <c r="B792" s="28"/>
      <c r="C792" s="32"/>
      <c r="D792" s="32"/>
      <c r="E792" s="32"/>
      <c r="F792" s="28"/>
      <c r="G792" s="28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8.75" customHeight="1">
      <c r="A793" s="28"/>
      <c r="B793" s="28"/>
      <c r="C793" s="32"/>
      <c r="D793" s="32"/>
      <c r="E793" s="32"/>
      <c r="F793" s="28"/>
      <c r="G793" s="28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8.75" customHeight="1">
      <c r="A794" s="28"/>
      <c r="B794" s="28"/>
      <c r="C794" s="32"/>
      <c r="D794" s="32"/>
      <c r="E794" s="32"/>
      <c r="F794" s="28"/>
      <c r="G794" s="28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8.75" customHeight="1">
      <c r="A795" s="28"/>
      <c r="B795" s="28"/>
      <c r="C795" s="32"/>
      <c r="D795" s="32"/>
      <c r="E795" s="32"/>
      <c r="F795" s="28"/>
      <c r="G795" s="28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8.75" customHeight="1">
      <c r="A796" s="28"/>
      <c r="B796" s="28"/>
      <c r="C796" s="32"/>
      <c r="D796" s="32"/>
      <c r="E796" s="32"/>
      <c r="F796" s="28"/>
      <c r="G796" s="28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8.75" customHeight="1">
      <c r="A797" s="28"/>
      <c r="B797" s="28"/>
      <c r="C797" s="32"/>
      <c r="D797" s="32"/>
      <c r="E797" s="32"/>
      <c r="F797" s="28"/>
      <c r="G797" s="28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8.75" customHeight="1">
      <c r="A798" s="28"/>
      <c r="B798" s="28"/>
      <c r="C798" s="32"/>
      <c r="D798" s="32"/>
      <c r="E798" s="32"/>
      <c r="F798" s="28"/>
      <c r="G798" s="28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8.75" customHeight="1">
      <c r="A799" s="28"/>
      <c r="B799" s="28"/>
      <c r="C799" s="32"/>
      <c r="D799" s="32"/>
      <c r="E799" s="32"/>
      <c r="F799" s="28"/>
      <c r="G799" s="28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8.75" customHeight="1">
      <c r="A800" s="28"/>
      <c r="B800" s="28"/>
      <c r="C800" s="32"/>
      <c r="D800" s="32"/>
      <c r="E800" s="32"/>
      <c r="F800" s="28"/>
      <c r="G800" s="28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8.75" customHeight="1">
      <c r="A801" s="28"/>
      <c r="B801" s="28"/>
      <c r="C801" s="32"/>
      <c r="D801" s="32"/>
      <c r="E801" s="32"/>
      <c r="F801" s="28"/>
      <c r="G801" s="28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8.75" customHeight="1">
      <c r="A802" s="28"/>
      <c r="B802" s="28"/>
      <c r="C802" s="32"/>
      <c r="D802" s="32"/>
      <c r="E802" s="32"/>
      <c r="F802" s="28"/>
      <c r="G802" s="28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8.75" customHeight="1">
      <c r="A803" s="28"/>
      <c r="B803" s="28"/>
      <c r="C803" s="32"/>
      <c r="D803" s="32"/>
      <c r="E803" s="32"/>
      <c r="F803" s="28"/>
      <c r="G803" s="28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8.75" customHeight="1">
      <c r="A804" s="28"/>
      <c r="B804" s="28"/>
      <c r="C804" s="32"/>
      <c r="D804" s="32"/>
      <c r="E804" s="32"/>
      <c r="F804" s="28"/>
      <c r="G804" s="28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8.75" customHeight="1">
      <c r="A805" s="28"/>
      <c r="B805" s="28"/>
      <c r="C805" s="32"/>
      <c r="D805" s="32"/>
      <c r="E805" s="32"/>
      <c r="F805" s="28"/>
      <c r="G805" s="28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8.75" customHeight="1">
      <c r="A806" s="28"/>
      <c r="B806" s="28"/>
      <c r="C806" s="32"/>
      <c r="D806" s="32"/>
      <c r="E806" s="32"/>
      <c r="F806" s="28"/>
      <c r="G806" s="28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8.75" customHeight="1">
      <c r="A807" s="28"/>
      <c r="B807" s="28"/>
      <c r="C807" s="32"/>
      <c r="D807" s="32"/>
      <c r="E807" s="32"/>
      <c r="F807" s="28"/>
      <c r="G807" s="28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8.75" customHeight="1">
      <c r="A808" s="28"/>
      <c r="B808" s="28"/>
      <c r="C808" s="32"/>
      <c r="D808" s="32"/>
      <c r="E808" s="32"/>
      <c r="F808" s="28"/>
      <c r="G808" s="28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8.75" customHeight="1">
      <c r="A809" s="28"/>
      <c r="B809" s="28"/>
      <c r="C809" s="32"/>
      <c r="D809" s="32"/>
      <c r="E809" s="32"/>
      <c r="F809" s="28"/>
      <c r="G809" s="28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8.75" customHeight="1">
      <c r="A810" s="28"/>
      <c r="B810" s="28"/>
      <c r="C810" s="32"/>
      <c r="D810" s="32"/>
      <c r="E810" s="32"/>
      <c r="F810" s="28"/>
      <c r="G810" s="28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8.75" customHeight="1">
      <c r="A811" s="28"/>
      <c r="B811" s="28"/>
      <c r="C811" s="32"/>
      <c r="D811" s="32"/>
      <c r="E811" s="32"/>
      <c r="F811" s="28"/>
      <c r="G811" s="28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8.75" customHeight="1">
      <c r="A812" s="28"/>
      <c r="B812" s="28"/>
      <c r="C812" s="32"/>
      <c r="D812" s="32"/>
      <c r="E812" s="32"/>
      <c r="F812" s="28"/>
      <c r="G812" s="28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8.75" customHeight="1">
      <c r="A813" s="28"/>
      <c r="B813" s="28"/>
      <c r="C813" s="32"/>
      <c r="D813" s="32"/>
      <c r="E813" s="32"/>
      <c r="F813" s="28"/>
      <c r="G813" s="28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8.75" customHeight="1">
      <c r="A814" s="28"/>
      <c r="B814" s="28"/>
      <c r="C814" s="32"/>
      <c r="D814" s="32"/>
      <c r="E814" s="32"/>
      <c r="F814" s="28"/>
      <c r="G814" s="28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8.75" customHeight="1">
      <c r="A815" s="28"/>
      <c r="B815" s="28"/>
      <c r="C815" s="32"/>
      <c r="D815" s="32"/>
      <c r="E815" s="32"/>
      <c r="F815" s="28"/>
      <c r="G815" s="28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8.75" customHeight="1">
      <c r="A816" s="28"/>
      <c r="B816" s="28"/>
      <c r="C816" s="32"/>
      <c r="D816" s="32"/>
      <c r="E816" s="32"/>
      <c r="F816" s="28"/>
      <c r="G816" s="28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8.75" customHeight="1">
      <c r="A817" s="28"/>
      <c r="B817" s="28"/>
      <c r="C817" s="32"/>
      <c r="D817" s="32"/>
      <c r="E817" s="32"/>
      <c r="F817" s="28"/>
      <c r="G817" s="28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8.75" customHeight="1">
      <c r="A818" s="28"/>
      <c r="B818" s="28"/>
      <c r="C818" s="32"/>
      <c r="D818" s="32"/>
      <c r="E818" s="32"/>
      <c r="F818" s="28"/>
      <c r="G818" s="28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8.75" customHeight="1">
      <c r="A819" s="28"/>
      <c r="B819" s="28"/>
      <c r="C819" s="32"/>
      <c r="D819" s="32"/>
      <c r="E819" s="32"/>
      <c r="F819" s="28"/>
      <c r="G819" s="28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8.75" customHeight="1">
      <c r="A820" s="28"/>
      <c r="B820" s="28"/>
      <c r="C820" s="32"/>
      <c r="D820" s="32"/>
      <c r="E820" s="32"/>
      <c r="F820" s="28"/>
      <c r="G820" s="28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8.75" customHeight="1">
      <c r="A821" s="28"/>
      <c r="B821" s="28"/>
      <c r="C821" s="32"/>
      <c r="D821" s="32"/>
      <c r="E821" s="32"/>
      <c r="F821" s="28"/>
      <c r="G821" s="28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8.75" customHeight="1">
      <c r="A822" s="28"/>
      <c r="B822" s="28"/>
      <c r="C822" s="32"/>
      <c r="D822" s="32"/>
      <c r="E822" s="32"/>
      <c r="F822" s="28"/>
      <c r="G822" s="28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8.75" customHeight="1">
      <c r="A823" s="28"/>
      <c r="B823" s="28"/>
      <c r="C823" s="32"/>
      <c r="D823" s="32"/>
      <c r="E823" s="32"/>
      <c r="F823" s="28"/>
      <c r="G823" s="28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8.75" customHeight="1">
      <c r="A824" s="28"/>
      <c r="B824" s="28"/>
      <c r="C824" s="32"/>
      <c r="D824" s="32"/>
      <c r="E824" s="32"/>
      <c r="F824" s="28"/>
      <c r="G824" s="28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8.75" customHeight="1">
      <c r="A825" s="28"/>
      <c r="B825" s="28"/>
      <c r="C825" s="32"/>
      <c r="D825" s="32"/>
      <c r="E825" s="32"/>
      <c r="F825" s="28"/>
      <c r="G825" s="28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8.75" customHeight="1">
      <c r="A826" s="28"/>
      <c r="B826" s="28"/>
      <c r="C826" s="32"/>
      <c r="D826" s="32"/>
      <c r="E826" s="32"/>
      <c r="F826" s="28"/>
      <c r="G826" s="28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8.75" customHeight="1">
      <c r="A827" s="28"/>
      <c r="B827" s="28"/>
      <c r="C827" s="32"/>
      <c r="D827" s="32"/>
      <c r="E827" s="32"/>
      <c r="F827" s="28"/>
      <c r="G827" s="28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8.75" customHeight="1">
      <c r="A828" s="28"/>
      <c r="B828" s="28"/>
      <c r="C828" s="32"/>
      <c r="D828" s="32"/>
      <c r="E828" s="32"/>
      <c r="F828" s="28"/>
      <c r="G828" s="28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8.75" customHeight="1">
      <c r="A829" s="28"/>
      <c r="B829" s="28"/>
      <c r="C829" s="32"/>
      <c r="D829" s="32"/>
      <c r="E829" s="32"/>
      <c r="F829" s="28"/>
      <c r="G829" s="28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8.75" customHeight="1">
      <c r="A830" s="28"/>
      <c r="B830" s="28"/>
      <c r="C830" s="32"/>
      <c r="D830" s="32"/>
      <c r="E830" s="32"/>
      <c r="F830" s="28"/>
      <c r="G830" s="28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8.75" customHeight="1">
      <c r="A831" s="28"/>
      <c r="B831" s="28"/>
      <c r="C831" s="32"/>
      <c r="D831" s="32"/>
      <c r="E831" s="32"/>
      <c r="F831" s="28"/>
      <c r="G831" s="28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8.75" customHeight="1">
      <c r="A832" s="28"/>
      <c r="B832" s="28"/>
      <c r="C832" s="32"/>
      <c r="D832" s="32"/>
      <c r="E832" s="32"/>
      <c r="F832" s="28"/>
      <c r="G832" s="28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8.75" customHeight="1">
      <c r="A833" s="28"/>
      <c r="B833" s="28"/>
      <c r="C833" s="32"/>
      <c r="D833" s="32"/>
      <c r="E833" s="32"/>
      <c r="F833" s="28"/>
      <c r="G833" s="28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8.75" customHeight="1">
      <c r="A834" s="28"/>
      <c r="B834" s="28"/>
      <c r="C834" s="32"/>
      <c r="D834" s="32"/>
      <c r="E834" s="32"/>
      <c r="F834" s="28"/>
      <c r="G834" s="28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8.75" customHeight="1">
      <c r="A835" s="28"/>
      <c r="B835" s="28"/>
      <c r="C835" s="32"/>
      <c r="D835" s="32"/>
      <c r="E835" s="32"/>
      <c r="F835" s="28"/>
      <c r="G835" s="28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8.75" customHeight="1">
      <c r="A836" s="28"/>
      <c r="B836" s="28"/>
      <c r="C836" s="32"/>
      <c r="D836" s="32"/>
      <c r="E836" s="32"/>
      <c r="F836" s="28"/>
      <c r="G836" s="28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8.75" customHeight="1">
      <c r="A837" s="28"/>
      <c r="B837" s="28"/>
      <c r="C837" s="32"/>
      <c r="D837" s="32"/>
      <c r="E837" s="32"/>
      <c r="F837" s="28"/>
      <c r="G837" s="28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8.75" customHeight="1">
      <c r="A838" s="28"/>
      <c r="B838" s="28"/>
      <c r="C838" s="32"/>
      <c r="D838" s="32"/>
      <c r="E838" s="32"/>
      <c r="F838" s="28"/>
      <c r="G838" s="28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8.75" customHeight="1">
      <c r="A839" s="28"/>
      <c r="B839" s="28"/>
      <c r="C839" s="32"/>
      <c r="D839" s="32"/>
      <c r="E839" s="32"/>
      <c r="F839" s="28"/>
      <c r="G839" s="28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8.75" customHeight="1">
      <c r="A840" s="28"/>
      <c r="B840" s="28"/>
      <c r="C840" s="32"/>
      <c r="D840" s="32"/>
      <c r="E840" s="32"/>
      <c r="F840" s="28"/>
      <c r="G840" s="28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8.75" customHeight="1">
      <c r="A841" s="28"/>
      <c r="B841" s="28"/>
      <c r="C841" s="32"/>
      <c r="D841" s="32"/>
      <c r="E841" s="32"/>
      <c r="F841" s="28"/>
      <c r="G841" s="28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8.75" customHeight="1">
      <c r="A842" s="28"/>
      <c r="B842" s="28"/>
      <c r="C842" s="32"/>
      <c r="D842" s="32"/>
      <c r="E842" s="32"/>
      <c r="F842" s="28"/>
      <c r="G842" s="28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8.75" customHeight="1">
      <c r="A843" s="28"/>
      <c r="B843" s="28"/>
      <c r="C843" s="32"/>
      <c r="D843" s="32"/>
      <c r="E843" s="32"/>
      <c r="F843" s="28"/>
      <c r="G843" s="28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8.75" customHeight="1">
      <c r="A844" s="28"/>
      <c r="B844" s="28"/>
      <c r="C844" s="32"/>
      <c r="D844" s="32"/>
      <c r="E844" s="32"/>
      <c r="F844" s="28"/>
      <c r="G844" s="28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8.75" customHeight="1">
      <c r="A845" s="28"/>
      <c r="B845" s="28"/>
      <c r="C845" s="32"/>
      <c r="D845" s="32"/>
      <c r="E845" s="32"/>
      <c r="F845" s="28"/>
      <c r="G845" s="28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8.75" customHeight="1">
      <c r="A846" s="28"/>
      <c r="B846" s="28"/>
      <c r="C846" s="32"/>
      <c r="D846" s="32"/>
      <c r="E846" s="32"/>
      <c r="F846" s="28"/>
      <c r="G846" s="28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8.75" customHeight="1">
      <c r="A847" s="28"/>
      <c r="B847" s="28"/>
      <c r="C847" s="32"/>
      <c r="D847" s="32"/>
      <c r="E847" s="32"/>
      <c r="F847" s="28"/>
      <c r="G847" s="28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8.75" customHeight="1">
      <c r="A848" s="28"/>
      <c r="B848" s="28"/>
      <c r="C848" s="32"/>
      <c r="D848" s="32"/>
      <c r="E848" s="32"/>
      <c r="F848" s="28"/>
      <c r="G848" s="28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8.75" customHeight="1">
      <c r="A849" s="28"/>
      <c r="B849" s="28"/>
      <c r="C849" s="32"/>
      <c r="D849" s="32"/>
      <c r="E849" s="32"/>
      <c r="F849" s="28"/>
      <c r="G849" s="28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8.75" customHeight="1">
      <c r="A850" s="28"/>
      <c r="B850" s="28"/>
      <c r="C850" s="32"/>
      <c r="D850" s="32"/>
      <c r="E850" s="32"/>
      <c r="F850" s="28"/>
      <c r="G850" s="28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8.75" customHeight="1">
      <c r="A851" s="28"/>
      <c r="B851" s="28"/>
      <c r="C851" s="32"/>
      <c r="D851" s="32"/>
      <c r="E851" s="32"/>
      <c r="F851" s="28"/>
      <c r="G851" s="28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8.75" customHeight="1">
      <c r="A852" s="28"/>
      <c r="B852" s="28"/>
      <c r="C852" s="32"/>
      <c r="D852" s="32"/>
      <c r="E852" s="32"/>
      <c r="F852" s="28"/>
      <c r="G852" s="28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8.75" customHeight="1">
      <c r="A853" s="28"/>
      <c r="B853" s="28"/>
      <c r="C853" s="32"/>
      <c r="D853" s="32"/>
      <c r="E853" s="32"/>
      <c r="F853" s="28"/>
      <c r="G853" s="28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8.75" customHeight="1">
      <c r="A854" s="28"/>
      <c r="B854" s="28"/>
      <c r="C854" s="32"/>
      <c r="D854" s="32"/>
      <c r="E854" s="32"/>
      <c r="F854" s="28"/>
      <c r="G854" s="28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8.75" customHeight="1">
      <c r="A855" s="28"/>
      <c r="B855" s="28"/>
      <c r="C855" s="32"/>
      <c r="D855" s="32"/>
      <c r="E855" s="32"/>
      <c r="F855" s="28"/>
      <c r="G855" s="28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8.75" customHeight="1">
      <c r="A856" s="28"/>
      <c r="B856" s="28"/>
      <c r="C856" s="32"/>
      <c r="D856" s="32"/>
      <c r="E856" s="32"/>
      <c r="F856" s="28"/>
      <c r="G856" s="28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8.75" customHeight="1">
      <c r="A857" s="28"/>
      <c r="B857" s="28"/>
      <c r="C857" s="32"/>
      <c r="D857" s="32"/>
      <c r="E857" s="32"/>
      <c r="F857" s="28"/>
      <c r="G857" s="28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8.75" customHeight="1">
      <c r="A858" s="28"/>
      <c r="B858" s="28"/>
      <c r="C858" s="32"/>
      <c r="D858" s="32"/>
      <c r="E858" s="32"/>
      <c r="F858" s="28"/>
      <c r="G858" s="28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8.75" customHeight="1">
      <c r="A859" s="28"/>
      <c r="B859" s="28"/>
      <c r="C859" s="32"/>
      <c r="D859" s="32"/>
      <c r="E859" s="32"/>
      <c r="F859" s="28"/>
      <c r="G859" s="28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8.75" customHeight="1">
      <c r="A860" s="28"/>
      <c r="B860" s="28"/>
      <c r="C860" s="32"/>
      <c r="D860" s="32"/>
      <c r="E860" s="32"/>
      <c r="F860" s="28"/>
      <c r="G860" s="28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8.75" customHeight="1">
      <c r="A861" s="28"/>
      <c r="B861" s="28"/>
      <c r="C861" s="32"/>
      <c r="D861" s="32"/>
      <c r="E861" s="32"/>
      <c r="F861" s="28"/>
      <c r="G861" s="28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8.75" customHeight="1">
      <c r="A862" s="28"/>
      <c r="B862" s="28"/>
      <c r="C862" s="32"/>
      <c r="D862" s="32"/>
      <c r="E862" s="32"/>
      <c r="F862" s="28"/>
      <c r="G862" s="28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8.75" customHeight="1">
      <c r="A863" s="28"/>
      <c r="B863" s="28"/>
      <c r="C863" s="32"/>
      <c r="D863" s="32"/>
      <c r="E863" s="32"/>
      <c r="F863" s="28"/>
      <c r="G863" s="28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8.75" customHeight="1">
      <c r="A864" s="28"/>
      <c r="B864" s="28"/>
      <c r="C864" s="32"/>
      <c r="D864" s="32"/>
      <c r="E864" s="32"/>
      <c r="F864" s="28"/>
      <c r="G864" s="28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8.75" customHeight="1">
      <c r="A865" s="28"/>
      <c r="B865" s="28"/>
      <c r="C865" s="32"/>
      <c r="D865" s="32"/>
      <c r="E865" s="32"/>
      <c r="F865" s="28"/>
      <c r="G865" s="28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8.75" customHeight="1">
      <c r="A866" s="28"/>
      <c r="B866" s="28"/>
      <c r="C866" s="32"/>
      <c r="D866" s="32"/>
      <c r="E866" s="32"/>
      <c r="F866" s="28"/>
      <c r="G866" s="28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8.75" customHeight="1">
      <c r="A867" s="28"/>
      <c r="B867" s="28"/>
      <c r="C867" s="32"/>
      <c r="D867" s="32"/>
      <c r="E867" s="32"/>
      <c r="F867" s="28"/>
      <c r="G867" s="28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8.75" customHeight="1">
      <c r="A868" s="28"/>
      <c r="B868" s="28"/>
      <c r="C868" s="32"/>
      <c r="D868" s="32"/>
      <c r="E868" s="32"/>
      <c r="F868" s="28"/>
      <c r="G868" s="28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8.75" customHeight="1">
      <c r="A869" s="28"/>
      <c r="B869" s="28"/>
      <c r="C869" s="32"/>
      <c r="D869" s="32"/>
      <c r="E869" s="32"/>
      <c r="F869" s="28"/>
      <c r="G869" s="28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8.75" customHeight="1">
      <c r="A870" s="28"/>
      <c r="B870" s="28"/>
      <c r="C870" s="32"/>
      <c r="D870" s="32"/>
      <c r="E870" s="32"/>
      <c r="F870" s="28"/>
      <c r="G870" s="28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8.75" customHeight="1">
      <c r="A871" s="28"/>
      <c r="B871" s="28"/>
      <c r="C871" s="32"/>
      <c r="D871" s="32"/>
      <c r="E871" s="32"/>
      <c r="F871" s="28"/>
      <c r="G871" s="28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8.75" customHeight="1">
      <c r="A872" s="28"/>
      <c r="B872" s="28"/>
      <c r="C872" s="32"/>
      <c r="D872" s="32"/>
      <c r="E872" s="32"/>
      <c r="F872" s="28"/>
      <c r="G872" s="28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8.75" customHeight="1">
      <c r="A873" s="28"/>
      <c r="B873" s="28"/>
      <c r="C873" s="32"/>
      <c r="D873" s="32"/>
      <c r="E873" s="32"/>
      <c r="F873" s="28"/>
      <c r="G873" s="28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8.75" customHeight="1">
      <c r="A874" s="28"/>
      <c r="B874" s="28"/>
      <c r="C874" s="32"/>
      <c r="D874" s="32"/>
      <c r="E874" s="32"/>
      <c r="F874" s="28"/>
      <c r="G874" s="28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8.75" customHeight="1">
      <c r="A875" s="28"/>
      <c r="B875" s="28"/>
      <c r="C875" s="32"/>
      <c r="D875" s="32"/>
      <c r="E875" s="32"/>
      <c r="F875" s="28"/>
      <c r="G875" s="28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8.75" customHeight="1">
      <c r="A876" s="28"/>
      <c r="B876" s="28"/>
      <c r="C876" s="32"/>
      <c r="D876" s="32"/>
      <c r="E876" s="32"/>
      <c r="F876" s="28"/>
      <c r="G876" s="28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8.75" customHeight="1">
      <c r="A877" s="28"/>
      <c r="B877" s="28"/>
      <c r="C877" s="32"/>
      <c r="D877" s="32"/>
      <c r="E877" s="32"/>
      <c r="F877" s="28"/>
      <c r="G877" s="28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8.75" customHeight="1">
      <c r="A878" s="28"/>
      <c r="B878" s="28"/>
      <c r="C878" s="32"/>
      <c r="D878" s="32"/>
      <c r="E878" s="32"/>
      <c r="F878" s="28"/>
      <c r="G878" s="28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8.75" customHeight="1">
      <c r="A879" s="28"/>
      <c r="B879" s="28"/>
      <c r="C879" s="32"/>
      <c r="D879" s="32"/>
      <c r="E879" s="32"/>
      <c r="F879" s="28"/>
      <c r="G879" s="28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8.75" customHeight="1">
      <c r="A880" s="28"/>
      <c r="B880" s="28"/>
      <c r="C880" s="32"/>
      <c r="D880" s="32"/>
      <c r="E880" s="32"/>
      <c r="F880" s="28"/>
      <c r="G880" s="28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8.75" customHeight="1">
      <c r="A881" s="28"/>
      <c r="B881" s="28"/>
      <c r="C881" s="32"/>
      <c r="D881" s="32"/>
      <c r="E881" s="32"/>
      <c r="F881" s="28"/>
      <c r="G881" s="28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8.75" customHeight="1">
      <c r="A882" s="28"/>
      <c r="B882" s="28"/>
      <c r="C882" s="32"/>
      <c r="D882" s="32"/>
      <c r="E882" s="32"/>
      <c r="F882" s="28"/>
      <c r="G882" s="28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8.75" customHeight="1">
      <c r="A883" s="28"/>
      <c r="B883" s="28"/>
      <c r="C883" s="32"/>
      <c r="D883" s="32"/>
      <c r="E883" s="32"/>
      <c r="F883" s="28"/>
      <c r="G883" s="28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8.75" customHeight="1">
      <c r="A884" s="28"/>
      <c r="B884" s="28"/>
      <c r="C884" s="32"/>
      <c r="D884" s="32"/>
      <c r="E884" s="32"/>
      <c r="F884" s="28"/>
      <c r="G884" s="28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8.75" customHeight="1">
      <c r="A885" s="28"/>
      <c r="B885" s="28"/>
      <c r="C885" s="32"/>
      <c r="D885" s="32"/>
      <c r="E885" s="32"/>
      <c r="F885" s="28"/>
      <c r="G885" s="28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8.75" customHeight="1">
      <c r="A886" s="28"/>
      <c r="B886" s="28"/>
      <c r="C886" s="32"/>
      <c r="D886" s="32"/>
      <c r="E886" s="32"/>
      <c r="F886" s="28"/>
      <c r="G886" s="28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8.75" customHeight="1">
      <c r="A887" s="28"/>
      <c r="B887" s="28"/>
      <c r="C887" s="32"/>
      <c r="D887" s="32"/>
      <c r="E887" s="32"/>
      <c r="F887" s="28"/>
      <c r="G887" s="28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8.75" customHeight="1">
      <c r="A888" s="28"/>
      <c r="B888" s="28"/>
      <c r="C888" s="32"/>
      <c r="D888" s="32"/>
      <c r="E888" s="32"/>
      <c r="F888" s="28"/>
      <c r="G888" s="28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8.75" customHeight="1">
      <c r="A889" s="28"/>
      <c r="B889" s="28"/>
      <c r="C889" s="32"/>
      <c r="D889" s="32"/>
      <c r="E889" s="32"/>
      <c r="F889" s="28"/>
      <c r="G889" s="28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8.75" customHeight="1">
      <c r="A890" s="28"/>
      <c r="B890" s="28"/>
      <c r="C890" s="32"/>
      <c r="D890" s="32"/>
      <c r="E890" s="32"/>
      <c r="F890" s="28"/>
      <c r="G890" s="28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8.75" customHeight="1">
      <c r="A891" s="28"/>
      <c r="B891" s="28"/>
      <c r="C891" s="32"/>
      <c r="D891" s="32"/>
      <c r="E891" s="32"/>
      <c r="F891" s="28"/>
      <c r="G891" s="28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8.75" customHeight="1">
      <c r="A892" s="28"/>
      <c r="B892" s="28"/>
      <c r="C892" s="32"/>
      <c r="D892" s="32"/>
      <c r="E892" s="32"/>
      <c r="F892" s="28"/>
      <c r="G892" s="28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8.75" customHeight="1">
      <c r="A893" s="28"/>
      <c r="B893" s="28"/>
      <c r="C893" s="32"/>
      <c r="D893" s="32"/>
      <c r="E893" s="32"/>
      <c r="F893" s="28"/>
      <c r="G893" s="28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8.75" customHeight="1">
      <c r="A894" s="28"/>
      <c r="B894" s="28"/>
      <c r="C894" s="32"/>
      <c r="D894" s="32"/>
      <c r="E894" s="32"/>
      <c r="F894" s="28"/>
      <c r="G894" s="28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8.75" customHeight="1">
      <c r="A895" s="28"/>
      <c r="B895" s="28"/>
      <c r="C895" s="32"/>
      <c r="D895" s="32"/>
      <c r="E895" s="32"/>
      <c r="F895" s="28"/>
      <c r="G895" s="28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8.75" customHeight="1">
      <c r="A896" s="28"/>
      <c r="B896" s="28"/>
      <c r="C896" s="32"/>
      <c r="D896" s="32"/>
      <c r="E896" s="32"/>
      <c r="F896" s="28"/>
      <c r="G896" s="28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8.75" customHeight="1">
      <c r="A897" s="28"/>
      <c r="B897" s="28"/>
      <c r="C897" s="32"/>
      <c r="D897" s="32"/>
      <c r="E897" s="32"/>
      <c r="F897" s="28"/>
      <c r="G897" s="28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8.75" customHeight="1">
      <c r="A898" s="28"/>
      <c r="B898" s="28"/>
      <c r="C898" s="32"/>
      <c r="D898" s="32"/>
      <c r="E898" s="32"/>
      <c r="F898" s="28"/>
      <c r="G898" s="28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8.75" customHeight="1">
      <c r="A899" s="28"/>
      <c r="B899" s="28"/>
      <c r="C899" s="32"/>
      <c r="D899" s="32"/>
      <c r="E899" s="32"/>
      <c r="F899" s="28"/>
      <c r="G899" s="28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8.75" customHeight="1">
      <c r="A900" s="28"/>
      <c r="B900" s="28"/>
      <c r="C900" s="32"/>
      <c r="D900" s="32"/>
      <c r="E900" s="32"/>
      <c r="F900" s="28"/>
      <c r="G900" s="28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8.75" customHeight="1">
      <c r="A901" s="28"/>
      <c r="B901" s="28"/>
      <c r="C901" s="32"/>
      <c r="D901" s="32"/>
      <c r="E901" s="32"/>
      <c r="F901" s="28"/>
      <c r="G901" s="28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8.75" customHeight="1">
      <c r="A902" s="28"/>
      <c r="B902" s="28"/>
      <c r="C902" s="32"/>
      <c r="D902" s="32"/>
      <c r="E902" s="32"/>
      <c r="F902" s="28"/>
      <c r="G902" s="28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8.75" customHeight="1">
      <c r="A903" s="28"/>
      <c r="B903" s="28"/>
      <c r="C903" s="32"/>
      <c r="D903" s="32"/>
      <c r="E903" s="32"/>
      <c r="F903" s="28"/>
      <c r="G903" s="28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8.75" customHeight="1">
      <c r="A904" s="28"/>
      <c r="B904" s="28"/>
      <c r="C904" s="32"/>
      <c r="D904" s="32"/>
      <c r="E904" s="32"/>
      <c r="F904" s="28"/>
      <c r="G904" s="28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8.75" customHeight="1">
      <c r="A905" s="28"/>
      <c r="B905" s="28"/>
      <c r="C905" s="32"/>
      <c r="D905" s="32"/>
      <c r="E905" s="32"/>
      <c r="F905" s="28"/>
      <c r="G905" s="28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8.75" customHeight="1">
      <c r="A906" s="28"/>
      <c r="B906" s="28"/>
      <c r="C906" s="32"/>
      <c r="D906" s="32"/>
      <c r="E906" s="32"/>
      <c r="F906" s="28"/>
      <c r="G906" s="28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8.75" customHeight="1">
      <c r="A907" s="28"/>
      <c r="B907" s="28"/>
      <c r="C907" s="32"/>
      <c r="D907" s="32"/>
      <c r="E907" s="32"/>
      <c r="F907" s="28"/>
      <c r="G907" s="28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8.75" customHeight="1">
      <c r="A908" s="28"/>
      <c r="B908" s="28"/>
      <c r="C908" s="32"/>
      <c r="D908" s="32"/>
      <c r="E908" s="32"/>
      <c r="F908" s="28"/>
      <c r="G908" s="28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8.75" customHeight="1">
      <c r="A909" s="28"/>
      <c r="B909" s="28"/>
      <c r="C909" s="32"/>
      <c r="D909" s="32"/>
      <c r="E909" s="32"/>
      <c r="F909" s="28"/>
      <c r="G909" s="28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8.75" customHeight="1">
      <c r="A910" s="28"/>
      <c r="B910" s="28"/>
      <c r="C910" s="32"/>
      <c r="D910" s="32"/>
      <c r="E910" s="32"/>
      <c r="F910" s="28"/>
      <c r="G910" s="28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8.75" customHeight="1">
      <c r="A911" s="28"/>
      <c r="B911" s="28"/>
      <c r="C911" s="32"/>
      <c r="D911" s="32"/>
      <c r="E911" s="32"/>
      <c r="F911" s="28"/>
      <c r="G911" s="28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8.75" customHeight="1">
      <c r="A912" s="28"/>
      <c r="B912" s="28"/>
      <c r="C912" s="32"/>
      <c r="D912" s="32"/>
      <c r="E912" s="32"/>
      <c r="F912" s="28"/>
      <c r="G912" s="28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8.75" customHeight="1">
      <c r="A913" s="28"/>
      <c r="B913" s="28"/>
      <c r="C913" s="32"/>
      <c r="D913" s="32"/>
      <c r="E913" s="32"/>
      <c r="F913" s="28"/>
      <c r="G913" s="28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8.75" customHeight="1">
      <c r="A914" s="28"/>
      <c r="B914" s="28"/>
      <c r="C914" s="32"/>
      <c r="D914" s="32"/>
      <c r="E914" s="32"/>
      <c r="F914" s="28"/>
      <c r="G914" s="28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8.75" customHeight="1">
      <c r="A915" s="28"/>
      <c r="B915" s="28"/>
      <c r="C915" s="32"/>
      <c r="D915" s="32"/>
      <c r="E915" s="32"/>
      <c r="F915" s="28"/>
      <c r="G915" s="28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8.75" customHeight="1">
      <c r="A916" s="28"/>
      <c r="B916" s="28"/>
      <c r="C916" s="32"/>
      <c r="D916" s="32"/>
      <c r="E916" s="32"/>
      <c r="F916" s="28"/>
      <c r="G916" s="28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8.75" customHeight="1">
      <c r="A917" s="28"/>
      <c r="B917" s="28"/>
      <c r="C917" s="32"/>
      <c r="D917" s="32"/>
      <c r="E917" s="32"/>
      <c r="F917" s="28"/>
      <c r="G917" s="28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8.75" customHeight="1">
      <c r="A918" s="28"/>
      <c r="B918" s="28"/>
      <c r="C918" s="32"/>
      <c r="D918" s="32"/>
      <c r="E918" s="32"/>
      <c r="F918" s="28"/>
      <c r="G918" s="28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8.75" customHeight="1">
      <c r="A919" s="28"/>
      <c r="B919" s="28"/>
      <c r="C919" s="32"/>
      <c r="D919" s="32"/>
      <c r="E919" s="32"/>
      <c r="F919" s="28"/>
      <c r="G919" s="28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8.75" customHeight="1">
      <c r="A920" s="28"/>
      <c r="B920" s="28"/>
      <c r="C920" s="32"/>
      <c r="D920" s="32"/>
      <c r="E920" s="32"/>
      <c r="F920" s="28"/>
      <c r="G920" s="28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8.75" customHeight="1">
      <c r="A921" s="28"/>
      <c r="B921" s="28"/>
      <c r="C921" s="32"/>
      <c r="D921" s="32"/>
      <c r="E921" s="32"/>
      <c r="F921" s="28"/>
      <c r="G921" s="28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8.75" customHeight="1">
      <c r="A922" s="28"/>
      <c r="B922" s="28"/>
      <c r="C922" s="32"/>
      <c r="D922" s="32"/>
      <c r="E922" s="32"/>
      <c r="F922" s="28"/>
      <c r="G922" s="28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8.75" customHeight="1">
      <c r="A923" s="28"/>
      <c r="B923" s="28"/>
      <c r="C923" s="32"/>
      <c r="D923" s="32"/>
      <c r="E923" s="32"/>
      <c r="F923" s="28"/>
      <c r="G923" s="28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8.75" customHeight="1">
      <c r="A924" s="28"/>
      <c r="B924" s="28"/>
      <c r="C924" s="32"/>
      <c r="D924" s="32"/>
      <c r="E924" s="32"/>
      <c r="F924" s="28"/>
      <c r="G924" s="28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8.75" customHeight="1">
      <c r="A925" s="28"/>
      <c r="B925" s="28"/>
      <c r="C925" s="32"/>
      <c r="D925" s="32"/>
      <c r="E925" s="32"/>
      <c r="F925" s="28"/>
      <c r="G925" s="28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8.75" customHeight="1">
      <c r="A926" s="28"/>
      <c r="B926" s="28"/>
      <c r="C926" s="32"/>
      <c r="D926" s="32"/>
      <c r="E926" s="32"/>
      <c r="F926" s="28"/>
      <c r="G926" s="28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8.75" customHeight="1">
      <c r="A927" s="28"/>
      <c r="B927" s="28"/>
      <c r="C927" s="32"/>
      <c r="D927" s="32"/>
      <c r="E927" s="32"/>
      <c r="F927" s="28"/>
      <c r="G927" s="28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8.75" customHeight="1">
      <c r="A928" s="28"/>
      <c r="B928" s="28"/>
      <c r="C928" s="32"/>
      <c r="D928" s="32"/>
      <c r="E928" s="32"/>
      <c r="F928" s="28"/>
      <c r="G928" s="28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8.75" customHeight="1">
      <c r="A929" s="28"/>
      <c r="B929" s="28"/>
      <c r="C929" s="32"/>
      <c r="D929" s="32"/>
      <c r="E929" s="32"/>
      <c r="F929" s="28"/>
      <c r="G929" s="28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8.75" customHeight="1">
      <c r="A930" s="28"/>
      <c r="B930" s="28"/>
      <c r="C930" s="32"/>
      <c r="D930" s="32"/>
      <c r="E930" s="32"/>
      <c r="F930" s="28"/>
      <c r="G930" s="28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8.75" customHeight="1">
      <c r="A931" s="28"/>
      <c r="B931" s="28"/>
      <c r="C931" s="32"/>
      <c r="D931" s="32"/>
      <c r="E931" s="32"/>
      <c r="F931" s="28"/>
      <c r="G931" s="28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8.75" customHeight="1">
      <c r="A932" s="28"/>
      <c r="B932" s="28"/>
      <c r="C932" s="32"/>
      <c r="D932" s="32"/>
      <c r="E932" s="32"/>
      <c r="F932" s="28"/>
      <c r="G932" s="28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8.75" customHeight="1">
      <c r="A933" s="28"/>
      <c r="B933" s="28"/>
      <c r="C933" s="32"/>
      <c r="D933" s="32"/>
      <c r="E933" s="32"/>
      <c r="F933" s="28"/>
      <c r="G933" s="28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8.75" customHeight="1">
      <c r="A934" s="28"/>
      <c r="B934" s="28"/>
      <c r="C934" s="32"/>
      <c r="D934" s="32"/>
      <c r="E934" s="32"/>
      <c r="F934" s="28"/>
      <c r="G934" s="28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8.75" customHeight="1">
      <c r="A935" s="28"/>
      <c r="B935" s="28"/>
      <c r="C935" s="32"/>
      <c r="D935" s="32"/>
      <c r="E935" s="32"/>
      <c r="F935" s="28"/>
      <c r="G935" s="28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8.75" customHeight="1">
      <c r="A936" s="28"/>
      <c r="B936" s="28"/>
      <c r="C936" s="32"/>
      <c r="D936" s="32"/>
      <c r="E936" s="32"/>
      <c r="F936" s="28"/>
      <c r="G936" s="28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8.75" customHeight="1">
      <c r="A937" s="28"/>
      <c r="B937" s="28"/>
      <c r="C937" s="32"/>
      <c r="D937" s="32"/>
      <c r="E937" s="32"/>
      <c r="F937" s="28"/>
      <c r="G937" s="28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8.75" customHeight="1">
      <c r="A938" s="28"/>
      <c r="B938" s="28"/>
      <c r="C938" s="32"/>
      <c r="D938" s="32"/>
      <c r="E938" s="32"/>
      <c r="F938" s="28"/>
      <c r="G938" s="28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8.75" customHeight="1">
      <c r="A939" s="28"/>
      <c r="B939" s="28"/>
      <c r="C939" s="32"/>
      <c r="D939" s="32"/>
      <c r="E939" s="32"/>
      <c r="F939" s="28"/>
      <c r="G939" s="28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8.75" customHeight="1">
      <c r="A940" s="28"/>
      <c r="B940" s="28"/>
      <c r="C940" s="32"/>
      <c r="D940" s="32"/>
      <c r="E940" s="32"/>
      <c r="F940" s="28"/>
      <c r="G940" s="28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8.75" customHeight="1">
      <c r="A941" s="28"/>
      <c r="B941" s="28"/>
      <c r="C941" s="32"/>
      <c r="D941" s="32"/>
      <c r="E941" s="32"/>
      <c r="F941" s="28"/>
      <c r="G941" s="28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8.75" customHeight="1">
      <c r="A942" s="28"/>
      <c r="B942" s="28"/>
      <c r="C942" s="32"/>
      <c r="D942" s="32"/>
      <c r="E942" s="32"/>
      <c r="F942" s="28"/>
      <c r="G942" s="28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8.75" customHeight="1">
      <c r="A943" s="28"/>
      <c r="B943" s="28"/>
      <c r="C943" s="32"/>
      <c r="D943" s="32"/>
      <c r="E943" s="32"/>
      <c r="F943" s="28"/>
      <c r="G943" s="28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8.75" customHeight="1">
      <c r="A944" s="28"/>
      <c r="B944" s="28"/>
      <c r="C944" s="32"/>
      <c r="D944" s="32"/>
      <c r="E944" s="32"/>
      <c r="F944" s="28"/>
      <c r="G944" s="28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8.75" customHeight="1">
      <c r="A945" s="28"/>
      <c r="B945" s="28"/>
      <c r="C945" s="32"/>
      <c r="D945" s="32"/>
      <c r="E945" s="32"/>
      <c r="F945" s="28"/>
      <c r="G945" s="28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8.75" customHeight="1">
      <c r="A946" s="28"/>
      <c r="B946" s="28"/>
      <c r="C946" s="32"/>
      <c r="D946" s="32"/>
      <c r="E946" s="32"/>
      <c r="F946" s="28"/>
      <c r="G946" s="28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8.75" customHeight="1">
      <c r="A947" s="28"/>
      <c r="B947" s="28"/>
      <c r="C947" s="32"/>
      <c r="D947" s="32"/>
      <c r="E947" s="32"/>
      <c r="F947" s="28"/>
      <c r="G947" s="28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8.75" customHeight="1">
      <c r="A948" s="28"/>
      <c r="B948" s="28"/>
      <c r="C948" s="32"/>
      <c r="D948" s="32"/>
      <c r="E948" s="32"/>
      <c r="F948" s="28"/>
      <c r="G948" s="28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8.75" customHeight="1">
      <c r="A949" s="28"/>
      <c r="B949" s="28"/>
      <c r="C949" s="32"/>
      <c r="D949" s="32"/>
      <c r="E949" s="32"/>
      <c r="F949" s="28"/>
      <c r="G949" s="28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8.75" customHeight="1">
      <c r="A950" s="28"/>
      <c r="B950" s="28"/>
      <c r="C950" s="32"/>
      <c r="D950" s="32"/>
      <c r="E950" s="32"/>
      <c r="F950" s="28"/>
      <c r="G950" s="28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8.75" customHeight="1">
      <c r="A951" s="28"/>
      <c r="B951" s="28"/>
      <c r="C951" s="32"/>
      <c r="D951" s="32"/>
      <c r="E951" s="32"/>
      <c r="F951" s="28"/>
      <c r="G951" s="28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8.75" customHeight="1">
      <c r="A952" s="28"/>
      <c r="B952" s="28"/>
      <c r="C952" s="32"/>
      <c r="D952" s="32"/>
      <c r="E952" s="32"/>
      <c r="F952" s="28"/>
      <c r="G952" s="28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8.75" customHeight="1">
      <c r="A953" s="28"/>
      <c r="B953" s="28"/>
      <c r="C953" s="32"/>
      <c r="D953" s="32"/>
      <c r="E953" s="32"/>
      <c r="F953" s="28"/>
      <c r="G953" s="28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8.75" customHeight="1">
      <c r="A954" s="28"/>
      <c r="B954" s="28"/>
      <c r="C954" s="32"/>
      <c r="D954" s="32"/>
      <c r="E954" s="32"/>
      <c r="F954" s="28"/>
      <c r="G954" s="28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8.75" customHeight="1">
      <c r="A955" s="28"/>
      <c r="B955" s="28"/>
      <c r="C955" s="32"/>
      <c r="D955" s="32"/>
      <c r="E955" s="32"/>
      <c r="F955" s="28"/>
      <c r="G955" s="28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8.75" customHeight="1">
      <c r="A956" s="28"/>
      <c r="B956" s="28"/>
      <c r="C956" s="32"/>
      <c r="D956" s="32"/>
      <c r="E956" s="32"/>
      <c r="F956" s="28"/>
      <c r="G956" s="28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8.75" customHeight="1">
      <c r="A957" s="28"/>
      <c r="B957" s="28"/>
      <c r="C957" s="32"/>
      <c r="D957" s="32"/>
      <c r="E957" s="32"/>
      <c r="F957" s="28"/>
      <c r="G957" s="28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8.75" customHeight="1">
      <c r="A958" s="28"/>
      <c r="B958" s="28"/>
      <c r="C958" s="32"/>
      <c r="D958" s="32"/>
      <c r="E958" s="32"/>
      <c r="F958" s="28"/>
      <c r="G958" s="28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8.75" customHeight="1">
      <c r="A959" s="28"/>
      <c r="B959" s="28"/>
      <c r="C959" s="32"/>
      <c r="D959" s="32"/>
      <c r="E959" s="32"/>
      <c r="F959" s="28"/>
      <c r="G959" s="28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8.75" customHeight="1">
      <c r="A960" s="28"/>
      <c r="B960" s="28"/>
      <c r="C960" s="32"/>
      <c r="D960" s="32"/>
      <c r="E960" s="32"/>
      <c r="F960" s="28"/>
      <c r="G960" s="28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8.75" customHeight="1">
      <c r="A961" s="28"/>
      <c r="B961" s="28"/>
      <c r="C961" s="32"/>
      <c r="D961" s="32"/>
      <c r="E961" s="32"/>
      <c r="F961" s="28"/>
      <c r="G961" s="28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8.75" customHeight="1">
      <c r="A962" s="28"/>
      <c r="B962" s="28"/>
      <c r="C962" s="32"/>
      <c r="D962" s="32"/>
      <c r="E962" s="32"/>
      <c r="F962" s="28"/>
      <c r="G962" s="28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8.75" customHeight="1">
      <c r="A963" s="28"/>
      <c r="B963" s="28"/>
      <c r="C963" s="32"/>
      <c r="D963" s="32"/>
      <c r="E963" s="32"/>
      <c r="F963" s="28"/>
      <c r="G963" s="28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8.75" customHeight="1">
      <c r="A964" s="28"/>
      <c r="B964" s="28"/>
      <c r="C964" s="32"/>
      <c r="D964" s="32"/>
      <c r="E964" s="32"/>
      <c r="F964" s="28"/>
      <c r="G964" s="28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8.75" customHeight="1">
      <c r="A965" s="28"/>
      <c r="B965" s="28"/>
      <c r="C965" s="32"/>
      <c r="D965" s="32"/>
      <c r="E965" s="32"/>
      <c r="F965" s="28"/>
      <c r="G965" s="28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8.75" customHeight="1">
      <c r="A966" s="28"/>
      <c r="B966" s="28"/>
      <c r="C966" s="32"/>
      <c r="D966" s="32"/>
      <c r="E966" s="32"/>
      <c r="F966" s="28"/>
      <c r="G966" s="28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8.75" customHeight="1">
      <c r="A967" s="28"/>
      <c r="B967" s="28"/>
      <c r="C967" s="32"/>
      <c r="D967" s="32"/>
      <c r="E967" s="32"/>
      <c r="F967" s="28"/>
      <c r="G967" s="28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8.75" customHeight="1">
      <c r="A968" s="28"/>
      <c r="B968" s="28"/>
      <c r="C968" s="32"/>
      <c r="D968" s="32"/>
      <c r="E968" s="32"/>
      <c r="F968" s="28"/>
      <c r="G968" s="28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8.75" customHeight="1">
      <c r="A969" s="28"/>
      <c r="B969" s="28"/>
      <c r="C969" s="32"/>
      <c r="D969" s="32"/>
      <c r="E969" s="32"/>
      <c r="F969" s="28"/>
      <c r="G969" s="28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8.75" customHeight="1">
      <c r="A970" s="28"/>
      <c r="B970" s="28"/>
      <c r="C970" s="32"/>
      <c r="D970" s="32"/>
      <c r="E970" s="32"/>
      <c r="F970" s="28"/>
      <c r="G970" s="28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8.75" customHeight="1">
      <c r="A971" s="28"/>
      <c r="B971" s="28"/>
      <c r="C971" s="32"/>
      <c r="D971" s="32"/>
      <c r="E971" s="32"/>
      <c r="F971" s="28"/>
      <c r="G971" s="28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8.75" customHeight="1">
      <c r="A972" s="28"/>
      <c r="B972" s="28"/>
      <c r="C972" s="32"/>
      <c r="D972" s="32"/>
      <c r="E972" s="32"/>
      <c r="F972" s="28"/>
      <c r="G972" s="28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8.75" customHeight="1">
      <c r="A973" s="28"/>
      <c r="B973" s="28"/>
      <c r="C973" s="32"/>
      <c r="D973" s="32"/>
      <c r="E973" s="32"/>
      <c r="F973" s="28"/>
      <c r="G973" s="28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8.75" customHeight="1">
      <c r="A974" s="28"/>
      <c r="B974" s="28"/>
      <c r="C974" s="32"/>
      <c r="D974" s="32"/>
      <c r="E974" s="32"/>
      <c r="F974" s="28"/>
      <c r="G974" s="28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8.75" customHeight="1">
      <c r="A975" s="28"/>
      <c r="B975" s="28"/>
      <c r="C975" s="32"/>
      <c r="D975" s="32"/>
      <c r="E975" s="32"/>
      <c r="F975" s="28"/>
      <c r="G975" s="28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8.75" customHeight="1">
      <c r="A976" s="28"/>
      <c r="B976" s="28"/>
      <c r="C976" s="32"/>
      <c r="D976" s="32"/>
      <c r="E976" s="32"/>
      <c r="F976" s="28"/>
      <c r="G976" s="28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8.75" customHeight="1">
      <c r="A977" s="28"/>
      <c r="B977" s="28"/>
      <c r="C977" s="32"/>
      <c r="D977" s="32"/>
      <c r="E977" s="32"/>
      <c r="F977" s="28"/>
      <c r="G977" s="28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8.75" customHeight="1">
      <c r="A978" s="28"/>
      <c r="B978" s="28"/>
      <c r="C978" s="32"/>
      <c r="D978" s="32"/>
      <c r="E978" s="32"/>
      <c r="F978" s="28"/>
      <c r="G978" s="28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8.75" customHeight="1">
      <c r="A979" s="28"/>
      <c r="B979" s="28"/>
      <c r="C979" s="32"/>
      <c r="D979" s="32"/>
      <c r="E979" s="32"/>
      <c r="F979" s="28"/>
      <c r="G979" s="28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8.75" customHeight="1">
      <c r="A980" s="28"/>
      <c r="B980" s="28"/>
      <c r="C980" s="32"/>
      <c r="D980" s="32"/>
      <c r="E980" s="32"/>
      <c r="F980" s="28"/>
      <c r="G980" s="28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8.75" customHeight="1">
      <c r="A981" s="28"/>
      <c r="B981" s="28"/>
      <c r="C981" s="32"/>
      <c r="D981" s="32"/>
      <c r="E981" s="32"/>
      <c r="F981" s="28"/>
      <c r="G981" s="28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8.75" customHeight="1">
      <c r="A982" s="28"/>
      <c r="B982" s="28"/>
      <c r="C982" s="32"/>
      <c r="D982" s="32"/>
      <c r="E982" s="32"/>
      <c r="F982" s="28"/>
      <c r="G982" s="28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8.75" customHeight="1">
      <c r="A983" s="28"/>
      <c r="B983" s="28"/>
      <c r="C983" s="32"/>
      <c r="D983" s="32"/>
      <c r="E983" s="32"/>
      <c r="F983" s="28"/>
      <c r="G983" s="28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8.75" customHeight="1">
      <c r="A984" s="28"/>
      <c r="B984" s="28"/>
      <c r="C984" s="32"/>
      <c r="D984" s="32"/>
      <c r="E984" s="32"/>
      <c r="F984" s="28"/>
      <c r="G984" s="28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8.75" customHeight="1">
      <c r="A985" s="28"/>
      <c r="B985" s="28"/>
      <c r="C985" s="32"/>
      <c r="D985" s="32"/>
      <c r="E985" s="32"/>
      <c r="F985" s="28"/>
      <c r="G985" s="28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8.75" customHeight="1">
      <c r="A986" s="28"/>
      <c r="B986" s="28"/>
      <c r="C986" s="32"/>
      <c r="D986" s="32"/>
      <c r="E986" s="32"/>
      <c r="F986" s="28"/>
      <c r="G986" s="28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8.75" customHeight="1">
      <c r="A987" s="28"/>
      <c r="B987" s="28"/>
      <c r="C987" s="32"/>
      <c r="D987" s="32"/>
      <c r="E987" s="32"/>
      <c r="F987" s="28"/>
      <c r="G987" s="28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8.75" customHeight="1">
      <c r="A988" s="28"/>
      <c r="B988" s="28"/>
      <c r="C988" s="32"/>
      <c r="D988" s="32"/>
      <c r="E988" s="32"/>
      <c r="F988" s="28"/>
      <c r="G988" s="28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8.75" customHeight="1">
      <c r="A989" s="28"/>
      <c r="B989" s="28"/>
      <c r="C989" s="32"/>
      <c r="D989" s="32"/>
      <c r="E989" s="32"/>
      <c r="F989" s="28"/>
      <c r="G989" s="28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8.75" customHeight="1">
      <c r="A990" s="28"/>
      <c r="B990" s="28"/>
      <c r="C990" s="32"/>
      <c r="D990" s="32"/>
      <c r="E990" s="32"/>
      <c r="F990" s="28"/>
      <c r="G990" s="28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8.75" customHeight="1">
      <c r="A991" s="28"/>
      <c r="B991" s="28"/>
      <c r="C991" s="32"/>
      <c r="D991" s="32"/>
      <c r="E991" s="32"/>
      <c r="F991" s="28"/>
      <c r="G991" s="28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8.75" customHeight="1">
      <c r="A992" s="28"/>
      <c r="B992" s="28"/>
      <c r="C992" s="32"/>
      <c r="D992" s="32"/>
      <c r="E992" s="32"/>
      <c r="F992" s="28"/>
      <c r="G992" s="28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8.75" customHeight="1">
      <c r="A993" s="28"/>
      <c r="B993" s="28"/>
      <c r="C993" s="32"/>
      <c r="D993" s="32"/>
      <c r="E993" s="32"/>
      <c r="F993" s="28"/>
      <c r="G993" s="28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8.75" customHeight="1">
      <c r="A994" s="28"/>
      <c r="B994" s="28"/>
      <c r="C994" s="32"/>
      <c r="D994" s="32"/>
      <c r="E994" s="32"/>
      <c r="F994" s="28"/>
      <c r="G994" s="28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8.75" customHeight="1">
      <c r="A995" s="28"/>
      <c r="B995" s="28"/>
      <c r="C995" s="32"/>
      <c r="D995" s="32"/>
      <c r="E995" s="32"/>
      <c r="F995" s="28"/>
      <c r="G995" s="28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8.75" customHeight="1">
      <c r="A996" s="28"/>
      <c r="B996" s="28"/>
      <c r="C996" s="32"/>
      <c r="D996" s="32"/>
      <c r="E996" s="32"/>
      <c r="F996" s="28"/>
      <c r="G996" s="28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8.75" customHeight="1">
      <c r="A997" s="28"/>
      <c r="B997" s="28"/>
      <c r="C997" s="32"/>
      <c r="D997" s="32"/>
      <c r="E997" s="32"/>
      <c r="F997" s="28"/>
      <c r="G997" s="28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8.75" customHeight="1">
      <c r="A998" s="28"/>
      <c r="B998" s="28"/>
      <c r="C998" s="32"/>
      <c r="D998" s="32"/>
      <c r="E998" s="32"/>
      <c r="F998" s="28"/>
      <c r="G998" s="28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8.75" customHeight="1">
      <c r="A999" s="28"/>
      <c r="B999" s="28"/>
      <c r="C999" s="32"/>
      <c r="D999" s="32"/>
      <c r="E999" s="32"/>
      <c r="F999" s="28"/>
      <c r="G999" s="28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8.75" customHeight="1">
      <c r="A1000" s="28"/>
      <c r="B1000" s="28"/>
      <c r="C1000" s="32"/>
      <c r="D1000" s="32"/>
      <c r="E1000" s="32"/>
      <c r="F1000" s="28"/>
      <c r="G1000" s="28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2026-01-02T19:32:16Z</dcterms:created>
  <dc:creator>Microsoft Office User</dc:creator>
</cp:coreProperties>
</file>